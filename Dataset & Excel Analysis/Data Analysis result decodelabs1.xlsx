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54238F28-122B-46C5-9622-B56943FEE845}" xr6:coauthVersionLast="47" xr6:coauthVersionMax="47" xr10:uidLastSave="{00000000-0000-0000-0000-000000000000}"/>
  <bookViews>
    <workbookView xWindow="-110" yWindow="-110" windowWidth="19420" windowHeight="10300" firstSheet="1" activeTab="3" xr2:uid="{AB49758B-7BD6-44F5-B5FE-6507D9E1EBE7}"/>
  </bookViews>
  <sheets>
    <sheet name="Dataset" sheetId="1" r:id="rId1"/>
    <sheet name="clean_data" sheetId="7" r:id="rId2"/>
    <sheet name="Analysis" sheetId="8" r:id="rId3"/>
    <sheet name="Dashboard" sheetId="12" r:id="rId4"/>
    <sheet name="Outliner " sheetId="10" r:id="rId5"/>
  </sheets>
  <definedNames>
    <definedName name="AOV">Analysis!$D$22</definedName>
    <definedName name="quantity">Analysis!$B$22</definedName>
    <definedName name="revenue">Analysis!$A$22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04" i="7" l="1"/>
  <c r="N1203" i="7"/>
  <c r="F1203" i="7"/>
  <c r="E1203" i="7"/>
  <c r="N1202" i="7"/>
  <c r="F1202" i="7"/>
  <c r="E1202" i="7"/>
  <c r="E1185" i="7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N1002" i="7"/>
  <c r="N1003" i="7"/>
  <c r="N1004" i="7"/>
  <c r="N1005" i="7"/>
  <c r="N1006" i="7"/>
  <c r="N1007" i="7"/>
  <c r="N1008" i="7"/>
  <c r="N1009" i="7"/>
  <c r="N1010" i="7"/>
  <c r="N1011" i="7"/>
  <c r="N1012" i="7"/>
  <c r="N1013" i="7"/>
  <c r="N1014" i="7"/>
  <c r="N1015" i="7"/>
  <c r="N1016" i="7"/>
  <c r="N1017" i="7"/>
  <c r="N1018" i="7"/>
  <c r="N1019" i="7"/>
  <c r="N1020" i="7"/>
  <c r="N1021" i="7"/>
  <c r="N1022" i="7"/>
  <c r="N1023" i="7"/>
  <c r="N1024" i="7"/>
  <c r="N1025" i="7"/>
  <c r="N1026" i="7"/>
  <c r="N1027" i="7"/>
  <c r="N1028" i="7"/>
  <c r="N1029" i="7"/>
  <c r="N1030" i="7"/>
  <c r="N1031" i="7"/>
  <c r="N1032" i="7"/>
  <c r="N1033" i="7"/>
  <c r="N1034" i="7"/>
  <c r="N1035" i="7"/>
  <c r="N1036" i="7"/>
  <c r="N1037" i="7"/>
  <c r="N1038" i="7"/>
  <c r="N1039" i="7"/>
  <c r="N1040" i="7"/>
  <c r="N1041" i="7"/>
  <c r="N1042" i="7"/>
  <c r="N1043" i="7"/>
  <c r="N1044" i="7"/>
  <c r="N1045" i="7"/>
  <c r="N1046" i="7"/>
  <c r="N1047" i="7"/>
  <c r="N1048" i="7"/>
  <c r="N1049" i="7"/>
  <c r="N1050" i="7"/>
  <c r="N1051" i="7"/>
  <c r="N1052" i="7"/>
  <c r="N1053" i="7"/>
  <c r="N1054" i="7"/>
  <c r="N1055" i="7"/>
  <c r="N1056" i="7"/>
  <c r="N1057" i="7"/>
  <c r="N1058" i="7"/>
  <c r="N1059" i="7"/>
  <c r="N1060" i="7"/>
  <c r="N1061" i="7"/>
  <c r="N1062" i="7"/>
  <c r="N1063" i="7"/>
  <c r="N1064" i="7"/>
  <c r="N1065" i="7"/>
  <c r="N1066" i="7"/>
  <c r="N1067" i="7"/>
  <c r="N1068" i="7"/>
  <c r="N1069" i="7"/>
  <c r="N1070" i="7"/>
  <c r="N1071" i="7"/>
  <c r="N1072" i="7"/>
  <c r="N1073" i="7"/>
  <c r="N1074" i="7"/>
  <c r="N1075" i="7"/>
  <c r="N1076" i="7"/>
  <c r="N1077" i="7"/>
  <c r="N1078" i="7"/>
  <c r="N1079" i="7"/>
  <c r="N1080" i="7"/>
  <c r="N1081" i="7"/>
  <c r="N1082" i="7"/>
  <c r="N1083" i="7"/>
  <c r="N1084" i="7"/>
  <c r="N1085" i="7"/>
  <c r="N1086" i="7"/>
  <c r="N1087" i="7"/>
  <c r="N1088" i="7"/>
  <c r="N1089" i="7"/>
  <c r="N1090" i="7"/>
  <c r="N1091" i="7"/>
  <c r="N1092" i="7"/>
  <c r="N1093" i="7"/>
  <c r="N1094" i="7"/>
  <c r="N1095" i="7"/>
  <c r="N1096" i="7"/>
  <c r="N1097" i="7"/>
  <c r="N1098" i="7"/>
  <c r="N1099" i="7"/>
  <c r="N1100" i="7"/>
  <c r="N1101" i="7"/>
  <c r="N1102" i="7"/>
  <c r="N1103" i="7"/>
  <c r="N1104" i="7"/>
  <c r="N1105" i="7"/>
  <c r="N1106" i="7"/>
  <c r="N1107" i="7"/>
  <c r="N1108" i="7"/>
  <c r="N1109" i="7"/>
  <c r="N1110" i="7"/>
  <c r="N1111" i="7"/>
  <c r="N1112" i="7"/>
  <c r="N1113" i="7"/>
  <c r="N1114" i="7"/>
  <c r="N1115" i="7"/>
  <c r="N1116" i="7"/>
  <c r="N1117" i="7"/>
  <c r="N1118" i="7"/>
  <c r="N1119" i="7"/>
  <c r="N1120" i="7"/>
  <c r="N1121" i="7"/>
  <c r="N1122" i="7"/>
  <c r="N1123" i="7"/>
  <c r="N1124" i="7"/>
  <c r="N1125" i="7"/>
  <c r="N1126" i="7"/>
  <c r="N1127" i="7"/>
  <c r="N1128" i="7"/>
  <c r="N1129" i="7"/>
  <c r="N1130" i="7"/>
  <c r="N1131" i="7"/>
  <c r="N1132" i="7"/>
  <c r="N1133" i="7"/>
  <c r="N1134" i="7"/>
  <c r="N1135" i="7"/>
  <c r="N1136" i="7"/>
  <c r="N1137" i="7"/>
  <c r="N1138" i="7"/>
  <c r="N1139" i="7"/>
  <c r="N1140" i="7"/>
  <c r="N1141" i="7"/>
  <c r="N1142" i="7"/>
  <c r="N1143" i="7"/>
  <c r="N1144" i="7"/>
  <c r="N1145" i="7"/>
  <c r="N1146" i="7"/>
  <c r="N1147" i="7"/>
  <c r="N1148" i="7"/>
  <c r="N1149" i="7"/>
  <c r="N1150" i="7"/>
  <c r="N1151" i="7"/>
  <c r="N1152" i="7"/>
  <c r="N1153" i="7"/>
  <c r="N1154" i="7"/>
  <c r="N1155" i="7"/>
  <c r="N1156" i="7"/>
  <c r="N1157" i="7"/>
  <c r="N1158" i="7"/>
  <c r="N1159" i="7"/>
  <c r="N1160" i="7"/>
  <c r="N1161" i="7"/>
  <c r="N1162" i="7"/>
  <c r="N1163" i="7"/>
  <c r="N1164" i="7"/>
  <c r="N1165" i="7"/>
  <c r="N1166" i="7"/>
  <c r="N1167" i="7"/>
  <c r="N1168" i="7"/>
  <c r="N1169" i="7"/>
  <c r="N1170" i="7"/>
  <c r="N1171" i="7"/>
  <c r="N1172" i="7"/>
  <c r="N1173" i="7"/>
  <c r="N1174" i="7"/>
  <c r="N1175" i="7"/>
  <c r="N1176" i="7"/>
  <c r="N1177" i="7"/>
  <c r="N1178" i="7"/>
  <c r="N1179" i="7"/>
  <c r="N1180" i="7"/>
  <c r="N1181" i="7"/>
  <c r="N1182" i="7"/>
  <c r="N1183" i="7"/>
  <c r="N1184" i="7"/>
  <c r="N1185" i="7"/>
  <c r="N1186" i="7"/>
  <c r="N1187" i="7"/>
  <c r="N1188" i="7"/>
  <c r="N1189" i="7"/>
  <c r="N1190" i="7"/>
  <c r="N1191" i="7"/>
  <c r="N1192" i="7"/>
  <c r="N1193" i="7"/>
  <c r="N1194" i="7"/>
  <c r="N1195" i="7"/>
  <c r="N1196" i="7"/>
  <c r="N1197" i="7"/>
  <c r="N1198" i="7"/>
  <c r="N1199" i="7"/>
  <c r="N1200" i="7"/>
  <c r="N1201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E1201" i="7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L2" i="7"/>
  <c r="L3" i="7"/>
  <c r="L4" i="7"/>
  <c r="L5" i="7"/>
  <c r="L6" i="7"/>
  <c r="L7" i="7"/>
  <c r="L8" i="7"/>
  <c r="L9" i="7"/>
  <c r="L11" i="7"/>
  <c r="L12" i="7"/>
  <c r="L13" i="7"/>
  <c r="L14" i="7"/>
  <c r="L15" i="7"/>
  <c r="L16" i="7"/>
  <c r="L18" i="7"/>
  <c r="L20" i="7"/>
  <c r="L21" i="7"/>
  <c r="L22" i="7"/>
  <c r="L24" i="7"/>
  <c r="L25" i="7"/>
  <c r="L26" i="7"/>
  <c r="L27" i="7"/>
  <c r="L29" i="7"/>
  <c r="L31" i="7"/>
  <c r="L32" i="7"/>
  <c r="L35" i="7"/>
  <c r="L36" i="7"/>
  <c r="L37" i="7"/>
  <c r="L39" i="7"/>
  <c r="L40" i="7"/>
  <c r="L41" i="7"/>
  <c r="L42" i="7"/>
  <c r="L43" i="7"/>
  <c r="L46" i="7"/>
  <c r="L47" i="7"/>
  <c r="L48" i="7"/>
  <c r="L49" i="7"/>
  <c r="L51" i="7"/>
  <c r="L52" i="7"/>
  <c r="L53" i="7"/>
  <c r="L54" i="7"/>
  <c r="L55" i="7"/>
  <c r="L56" i="7"/>
  <c r="L58" i="7"/>
  <c r="L59" i="7"/>
  <c r="L60" i="7"/>
  <c r="L62" i="7"/>
  <c r="L63" i="7"/>
  <c r="L64" i="7"/>
  <c r="L65" i="7"/>
  <c r="L66" i="7"/>
  <c r="L68" i="7"/>
  <c r="L70" i="7"/>
  <c r="L72" i="7"/>
  <c r="L77" i="7"/>
  <c r="L78" i="7"/>
  <c r="L80" i="7"/>
  <c r="L83" i="7"/>
  <c r="L84" i="7"/>
  <c r="L86" i="7"/>
  <c r="L87" i="7"/>
  <c r="L88" i="7"/>
  <c r="L89" i="7"/>
  <c r="L91" i="7"/>
  <c r="L92" i="7"/>
  <c r="L93" i="7"/>
  <c r="L94" i="7"/>
  <c r="L96" i="7"/>
  <c r="L101" i="7"/>
  <c r="L104" i="7"/>
  <c r="L105" i="7"/>
  <c r="L106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7" i="7"/>
  <c r="L128" i="7"/>
  <c r="L130" i="7"/>
  <c r="L131" i="7"/>
  <c r="L132" i="7"/>
  <c r="L134" i="7"/>
  <c r="L135" i="7"/>
  <c r="L137" i="7"/>
  <c r="L138" i="7"/>
  <c r="L140" i="7"/>
  <c r="L142" i="7"/>
  <c r="L143" i="7"/>
  <c r="L144" i="7"/>
  <c r="L147" i="7"/>
  <c r="L149" i="7"/>
  <c r="L150" i="7"/>
  <c r="L152" i="7"/>
  <c r="L154" i="7"/>
  <c r="L155" i="7"/>
  <c r="L157" i="7"/>
  <c r="L158" i="7"/>
  <c r="L159" i="7"/>
  <c r="L160" i="7"/>
  <c r="L161" i="7"/>
  <c r="L163" i="7"/>
  <c r="L164" i="7"/>
  <c r="L166" i="7"/>
  <c r="L167" i="7"/>
  <c r="L168" i="7"/>
  <c r="L169" i="7"/>
  <c r="L171" i="7"/>
  <c r="L172" i="7"/>
  <c r="L173" i="7"/>
  <c r="L174" i="7"/>
  <c r="L175" i="7"/>
  <c r="L176" i="7"/>
  <c r="L177" i="7"/>
  <c r="L178" i="7"/>
  <c r="L180" i="7"/>
  <c r="L184" i="7"/>
  <c r="L185" i="7"/>
  <c r="L187" i="7"/>
  <c r="L188" i="7"/>
  <c r="L189" i="7"/>
  <c r="L190" i="7"/>
  <c r="L191" i="7"/>
  <c r="L192" i="7"/>
  <c r="L193" i="7"/>
  <c r="L194" i="7"/>
  <c r="L196" i="7"/>
  <c r="L198" i="7"/>
  <c r="L199" i="7"/>
  <c r="L200" i="7"/>
  <c r="L201" i="7"/>
  <c r="L202" i="7"/>
  <c r="L203" i="7"/>
  <c r="L204" i="7"/>
  <c r="L205" i="7"/>
  <c r="L206" i="7"/>
  <c r="L208" i="7"/>
  <c r="L210" i="7"/>
  <c r="L211" i="7"/>
  <c r="L212" i="7"/>
  <c r="L213" i="7"/>
  <c r="L214" i="7"/>
  <c r="L215" i="7"/>
  <c r="L217" i="7"/>
  <c r="L218" i="7"/>
  <c r="L220" i="7"/>
  <c r="L221" i="7"/>
  <c r="L222" i="7"/>
  <c r="L223" i="7"/>
  <c r="L225" i="7"/>
  <c r="L226" i="7"/>
  <c r="L227" i="7"/>
  <c r="L229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8" i="7"/>
  <c r="L250" i="7"/>
  <c r="L251" i="7"/>
  <c r="L252" i="7"/>
  <c r="L254" i="7"/>
  <c r="L255" i="7"/>
  <c r="L257" i="7"/>
  <c r="L258" i="7"/>
  <c r="L259" i="7"/>
  <c r="L260" i="7"/>
  <c r="L261" i="7"/>
  <c r="L263" i="7"/>
  <c r="L264" i="7"/>
  <c r="L265" i="7"/>
  <c r="L266" i="7"/>
  <c r="L267" i="7"/>
  <c r="L268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4" i="7"/>
  <c r="L286" i="7"/>
  <c r="L288" i="7"/>
  <c r="L290" i="7"/>
  <c r="L291" i="7"/>
  <c r="L292" i="7"/>
  <c r="L293" i="7"/>
  <c r="L296" i="7"/>
  <c r="L297" i="7"/>
  <c r="L298" i="7"/>
  <c r="L299" i="7"/>
  <c r="L301" i="7"/>
  <c r="L302" i="7"/>
  <c r="L303" i="7"/>
  <c r="L304" i="7"/>
  <c r="L306" i="7"/>
  <c r="L307" i="7"/>
  <c r="L308" i="7"/>
  <c r="L310" i="7"/>
  <c r="L311" i="7"/>
  <c r="L314" i="7"/>
  <c r="L315" i="7"/>
  <c r="L316" i="7"/>
  <c r="L317" i="7"/>
  <c r="L318" i="7"/>
  <c r="L320" i="7"/>
  <c r="L322" i="7"/>
  <c r="L323" i="7"/>
  <c r="L324" i="7"/>
  <c r="L325" i="7"/>
  <c r="L328" i="7"/>
  <c r="L329" i="7"/>
  <c r="L330" i="7"/>
  <c r="L332" i="7"/>
  <c r="L333" i="7"/>
  <c r="L334" i="7"/>
  <c r="L335" i="7"/>
  <c r="L336" i="7"/>
  <c r="L338" i="7"/>
  <c r="L339" i="7"/>
  <c r="L341" i="7"/>
  <c r="L343" i="7"/>
  <c r="L345" i="7"/>
  <c r="L346" i="7"/>
  <c r="L347" i="7"/>
  <c r="L349" i="7"/>
  <c r="L350" i="7"/>
  <c r="L351" i="7"/>
  <c r="L354" i="7"/>
  <c r="L355" i="7"/>
  <c r="L357" i="7"/>
  <c r="L358" i="7"/>
  <c r="L359" i="7"/>
  <c r="L360" i="7"/>
  <c r="L361" i="7"/>
  <c r="L363" i="7"/>
  <c r="L364" i="7"/>
  <c r="L365" i="7"/>
  <c r="L366" i="7"/>
  <c r="L367" i="7"/>
  <c r="L369" i="7"/>
  <c r="L371" i="7"/>
  <c r="L372" i="7"/>
  <c r="L373" i="7"/>
  <c r="L375" i="7"/>
  <c r="L376" i="7"/>
  <c r="L377" i="7"/>
  <c r="L378" i="7"/>
  <c r="L379" i="7"/>
  <c r="L380" i="7"/>
  <c r="L382" i="7"/>
  <c r="L383" i="7"/>
  <c r="L384" i="7"/>
  <c r="L385" i="7"/>
  <c r="L386" i="7"/>
  <c r="L387" i="7"/>
  <c r="L389" i="7"/>
  <c r="L390" i="7"/>
  <c r="L391" i="7"/>
  <c r="L392" i="7"/>
  <c r="L393" i="7"/>
  <c r="L394" i="7"/>
  <c r="L397" i="7"/>
  <c r="L398" i="7"/>
  <c r="L399" i="7"/>
  <c r="L400" i="7"/>
  <c r="L401" i="7"/>
  <c r="L402" i="7"/>
  <c r="L405" i="7"/>
  <c r="L407" i="7"/>
  <c r="L408" i="7"/>
  <c r="L409" i="7"/>
  <c r="L410" i="7"/>
  <c r="L411" i="7"/>
  <c r="L415" i="7"/>
  <c r="L416" i="7"/>
  <c r="L417" i="7"/>
  <c r="L418" i="7"/>
  <c r="L421" i="7"/>
  <c r="L422" i="7"/>
  <c r="L424" i="7"/>
  <c r="L425" i="7"/>
  <c r="L427" i="7"/>
  <c r="L429" i="7"/>
  <c r="L430" i="7"/>
  <c r="L431" i="7"/>
  <c r="L432" i="7"/>
  <c r="L433" i="7"/>
  <c r="L435" i="7"/>
  <c r="L437" i="7"/>
  <c r="L439" i="7"/>
  <c r="L440" i="7"/>
  <c r="L441" i="7"/>
  <c r="L442" i="7"/>
  <c r="L443" i="7"/>
  <c r="L444" i="7"/>
  <c r="L446" i="7"/>
  <c r="L447" i="7"/>
  <c r="L448" i="7"/>
  <c r="L450" i="7"/>
  <c r="L452" i="7"/>
  <c r="L453" i="7"/>
  <c r="L454" i="7"/>
  <c r="L455" i="7"/>
  <c r="L456" i="7"/>
  <c r="L457" i="7"/>
  <c r="L458" i="7"/>
  <c r="L459" i="7"/>
  <c r="L460" i="7"/>
  <c r="L462" i="7"/>
  <c r="L463" i="7"/>
  <c r="L465" i="7"/>
  <c r="L466" i="7"/>
  <c r="L468" i="7"/>
  <c r="L469" i="7"/>
  <c r="L470" i="7"/>
  <c r="L472" i="7"/>
  <c r="L473" i="7"/>
  <c r="L474" i="7"/>
  <c r="L476" i="7"/>
  <c r="L477" i="7"/>
  <c r="L478" i="7"/>
  <c r="L479" i="7"/>
  <c r="L480" i="7"/>
  <c r="L482" i="7"/>
  <c r="L483" i="7"/>
  <c r="L485" i="7"/>
  <c r="L487" i="7"/>
  <c r="L488" i="7"/>
  <c r="L489" i="7"/>
  <c r="L490" i="7"/>
  <c r="L491" i="7"/>
  <c r="L493" i="7"/>
  <c r="L494" i="7"/>
  <c r="L495" i="7"/>
  <c r="L496" i="7"/>
  <c r="L497" i="7"/>
  <c r="L498" i="7"/>
  <c r="L500" i="7"/>
  <c r="L501" i="7"/>
  <c r="L502" i="7"/>
  <c r="L503" i="7"/>
  <c r="L504" i="7"/>
  <c r="L505" i="7"/>
  <c r="L506" i="7"/>
  <c r="L508" i="7"/>
  <c r="L509" i="7"/>
  <c r="L511" i="7"/>
  <c r="L512" i="7"/>
  <c r="L513" i="7"/>
  <c r="L514" i="7"/>
  <c r="L516" i="7"/>
  <c r="L517" i="7"/>
  <c r="L519" i="7"/>
  <c r="L520" i="7"/>
  <c r="L521" i="7"/>
  <c r="L524" i="7"/>
  <c r="L525" i="7"/>
  <c r="L527" i="7"/>
  <c r="L528" i="7"/>
  <c r="L529" i="7"/>
  <c r="L530" i="7"/>
  <c r="L531" i="7"/>
  <c r="L535" i="7"/>
  <c r="L536" i="7"/>
  <c r="L537" i="7"/>
  <c r="L539" i="7"/>
  <c r="L540" i="7"/>
  <c r="L541" i="7"/>
  <c r="L544" i="7"/>
  <c r="L545" i="7"/>
  <c r="L546" i="7"/>
  <c r="L548" i="7"/>
  <c r="L549" i="7"/>
  <c r="L550" i="7"/>
  <c r="L551" i="7"/>
  <c r="L552" i="7"/>
  <c r="L553" i="7"/>
  <c r="L554" i="7"/>
  <c r="L555" i="7"/>
  <c r="L556" i="7"/>
  <c r="L558" i="7"/>
  <c r="L559" i="7"/>
  <c r="L560" i="7"/>
  <c r="L561" i="7"/>
  <c r="L564" i="7"/>
  <c r="L565" i="7"/>
  <c r="L566" i="7"/>
  <c r="L568" i="7"/>
  <c r="L569" i="7"/>
  <c r="L571" i="7"/>
  <c r="L572" i="7"/>
  <c r="L573" i="7"/>
  <c r="L574" i="7"/>
  <c r="L576" i="7"/>
  <c r="L577" i="7"/>
  <c r="L579" i="7"/>
  <c r="L580" i="7"/>
  <c r="L581" i="7"/>
  <c r="L582" i="7"/>
  <c r="L584" i="7"/>
  <c r="L586" i="7"/>
  <c r="L587" i="7"/>
  <c r="L588" i="7"/>
  <c r="L589" i="7"/>
  <c r="L591" i="7"/>
  <c r="L593" i="7"/>
  <c r="L595" i="7"/>
  <c r="L597" i="7"/>
  <c r="L598" i="7"/>
  <c r="L599" i="7"/>
  <c r="L601" i="7"/>
  <c r="L602" i="7"/>
  <c r="L604" i="7"/>
  <c r="L605" i="7"/>
  <c r="L607" i="7"/>
  <c r="L608" i="7"/>
  <c r="L609" i="7"/>
  <c r="L610" i="7"/>
  <c r="L611" i="7"/>
  <c r="L612" i="7"/>
  <c r="L613" i="7"/>
  <c r="L615" i="7"/>
  <c r="L617" i="7"/>
  <c r="L618" i="7"/>
  <c r="L622" i="7"/>
  <c r="L623" i="7"/>
  <c r="L625" i="7"/>
  <c r="L627" i="7"/>
  <c r="L628" i="7"/>
  <c r="L629" i="7"/>
  <c r="L630" i="7"/>
  <c r="L633" i="7"/>
  <c r="L634" i="7"/>
  <c r="L635" i="7"/>
  <c r="L636" i="7"/>
  <c r="L638" i="7"/>
  <c r="L639" i="7"/>
  <c r="L640" i="7"/>
  <c r="L642" i="7"/>
  <c r="L643" i="7"/>
  <c r="L644" i="7"/>
  <c r="L645" i="7"/>
  <c r="L646" i="7"/>
  <c r="L647" i="7"/>
  <c r="L648" i="7"/>
  <c r="L649" i="7"/>
  <c r="L650" i="7"/>
  <c r="L651" i="7"/>
  <c r="L652" i="7"/>
  <c r="L654" i="7"/>
  <c r="L655" i="7"/>
  <c r="L657" i="7"/>
  <c r="L658" i="7"/>
  <c r="L659" i="7"/>
  <c r="L660" i="7"/>
  <c r="L661" i="7"/>
  <c r="L662" i="7"/>
  <c r="L663" i="7"/>
  <c r="L665" i="7"/>
  <c r="L667" i="7"/>
  <c r="L669" i="7"/>
  <c r="L670" i="7"/>
  <c r="L672" i="7"/>
  <c r="L673" i="7"/>
  <c r="L674" i="7"/>
  <c r="L675" i="7"/>
  <c r="L676" i="7"/>
  <c r="L678" i="7"/>
  <c r="L679" i="7"/>
  <c r="L680" i="7"/>
  <c r="L681" i="7"/>
  <c r="L684" i="7"/>
  <c r="L685" i="7"/>
  <c r="L687" i="7"/>
  <c r="L688" i="7"/>
  <c r="L689" i="7"/>
  <c r="L690" i="7"/>
  <c r="L694" i="7"/>
  <c r="L696" i="7"/>
  <c r="L697" i="7"/>
  <c r="L698" i="7"/>
  <c r="L699" i="7"/>
  <c r="L700" i="7"/>
  <c r="L702" i="7"/>
  <c r="L703" i="7"/>
  <c r="L705" i="7"/>
  <c r="L706" i="7"/>
  <c r="L707" i="7"/>
  <c r="L708" i="7"/>
  <c r="L709" i="7"/>
  <c r="L710" i="7"/>
  <c r="L711" i="7"/>
  <c r="L713" i="7"/>
  <c r="L714" i="7"/>
  <c r="L715" i="7"/>
  <c r="L716" i="7"/>
  <c r="L717" i="7"/>
  <c r="L718" i="7"/>
  <c r="L719" i="7"/>
  <c r="L720" i="7"/>
  <c r="L721" i="7"/>
  <c r="L722" i="7"/>
  <c r="L724" i="7"/>
  <c r="L725" i="7"/>
  <c r="L726" i="7"/>
  <c r="L728" i="7"/>
  <c r="L729" i="7"/>
  <c r="L730" i="7"/>
  <c r="L731" i="7"/>
  <c r="L732" i="7"/>
  <c r="L735" i="7"/>
  <c r="L736" i="7"/>
  <c r="L738" i="7"/>
  <c r="L739" i="7"/>
  <c r="L740" i="7"/>
  <c r="L741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9" i="7"/>
  <c r="L760" i="7"/>
  <c r="L761" i="7"/>
  <c r="L764" i="7"/>
  <c r="L765" i="7"/>
  <c r="L766" i="7"/>
  <c r="L767" i="7"/>
  <c r="L768" i="7"/>
  <c r="L770" i="7"/>
  <c r="L773" i="7"/>
  <c r="L776" i="7"/>
  <c r="L778" i="7"/>
  <c r="L780" i="7"/>
  <c r="L781" i="7"/>
  <c r="L782" i="7"/>
  <c r="L783" i="7"/>
  <c r="L784" i="7"/>
  <c r="L785" i="7"/>
  <c r="L786" i="7"/>
  <c r="L787" i="7"/>
  <c r="L790" i="7"/>
  <c r="L791" i="7"/>
  <c r="L794" i="7"/>
  <c r="L796" i="7"/>
  <c r="L797" i="7"/>
  <c r="L798" i="7"/>
  <c r="L800" i="7"/>
  <c r="L801" i="7"/>
  <c r="L802" i="7"/>
  <c r="L803" i="7"/>
  <c r="L804" i="7"/>
  <c r="L805" i="7"/>
  <c r="L806" i="7"/>
  <c r="L807" i="7"/>
  <c r="L808" i="7"/>
  <c r="L809" i="7"/>
  <c r="L811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4" i="7"/>
  <c r="L835" i="7"/>
  <c r="L837" i="7"/>
  <c r="L838" i="7"/>
  <c r="L842" i="7"/>
  <c r="L844" i="7"/>
  <c r="L845" i="7"/>
  <c r="L846" i="7"/>
  <c r="L847" i="7"/>
  <c r="L849" i="7"/>
  <c r="L851" i="7"/>
  <c r="L852" i="7"/>
  <c r="L853" i="7"/>
  <c r="L854" i="7"/>
  <c r="L855" i="7"/>
  <c r="L856" i="7"/>
  <c r="L857" i="7"/>
  <c r="L861" i="7"/>
  <c r="L862" i="7"/>
  <c r="L863" i="7"/>
  <c r="L864" i="7"/>
  <c r="L865" i="7"/>
  <c r="L866" i="7"/>
  <c r="L867" i="7"/>
  <c r="L868" i="7"/>
  <c r="L869" i="7"/>
  <c r="L871" i="7"/>
  <c r="L872" i="7"/>
  <c r="L873" i="7"/>
  <c r="L875" i="7"/>
  <c r="L876" i="7"/>
  <c r="L877" i="7"/>
  <c r="L878" i="7"/>
  <c r="L879" i="7"/>
  <c r="L880" i="7"/>
  <c r="L882" i="7"/>
  <c r="L884" i="7"/>
  <c r="L885" i="7"/>
  <c r="L887" i="7"/>
  <c r="L891" i="7"/>
  <c r="L893" i="7"/>
  <c r="L894" i="7"/>
  <c r="L895" i="7"/>
  <c r="L896" i="7"/>
  <c r="L897" i="7"/>
  <c r="L898" i="7"/>
  <c r="L899" i="7"/>
  <c r="L901" i="7"/>
  <c r="L903" i="7"/>
  <c r="L906" i="7"/>
  <c r="L907" i="7"/>
  <c r="L909" i="7"/>
  <c r="L910" i="7"/>
  <c r="L911" i="7"/>
  <c r="L912" i="7"/>
  <c r="L913" i="7"/>
  <c r="L914" i="7"/>
  <c r="L915" i="7"/>
  <c r="L916" i="7"/>
  <c r="L917" i="7"/>
  <c r="L919" i="7"/>
  <c r="L921" i="7"/>
  <c r="L923" i="7"/>
  <c r="L925" i="7"/>
  <c r="L926" i="7"/>
  <c r="L927" i="7"/>
  <c r="L928" i="7"/>
  <c r="L929" i="7"/>
  <c r="L930" i="7"/>
  <c r="L932" i="7"/>
  <c r="L933" i="7"/>
  <c r="L934" i="7"/>
  <c r="L936" i="7"/>
  <c r="L937" i="7"/>
  <c r="L938" i="7"/>
  <c r="L939" i="7"/>
  <c r="L940" i="7"/>
  <c r="L941" i="7"/>
  <c r="L942" i="7"/>
  <c r="L943" i="7"/>
  <c r="L945" i="7"/>
  <c r="L946" i="7"/>
  <c r="L947" i="7"/>
  <c r="L948" i="7"/>
  <c r="L949" i="7"/>
  <c r="L952" i="7"/>
  <c r="L953" i="7"/>
  <c r="L955" i="7"/>
  <c r="L956" i="7"/>
  <c r="L957" i="7"/>
  <c r="L958" i="7"/>
  <c r="L959" i="7"/>
  <c r="L960" i="7"/>
  <c r="L961" i="7"/>
  <c r="L962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7" i="7"/>
  <c r="L978" i="7"/>
  <c r="L979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4" i="7"/>
  <c r="L1005" i="7"/>
  <c r="L1006" i="7"/>
  <c r="L1008" i="7"/>
  <c r="L1009" i="7"/>
  <c r="L1010" i="7"/>
  <c r="L1011" i="7"/>
  <c r="L1012" i="7"/>
  <c r="L1015" i="7"/>
  <c r="L1016" i="7"/>
  <c r="L1017" i="7"/>
  <c r="L1018" i="7"/>
  <c r="L1019" i="7"/>
  <c r="L1021" i="7"/>
  <c r="L1022" i="7"/>
  <c r="L1023" i="7"/>
  <c r="L1024" i="7"/>
  <c r="L1026" i="7"/>
  <c r="L1027" i="7"/>
  <c r="L1028" i="7"/>
  <c r="L1031" i="7"/>
  <c r="L1032" i="7"/>
  <c r="L1033" i="7"/>
  <c r="L1034" i="7"/>
  <c r="L1035" i="7"/>
  <c r="L1036" i="7"/>
  <c r="L1038" i="7"/>
  <c r="L1039" i="7"/>
  <c r="L1041" i="7"/>
  <c r="L1042" i="7"/>
  <c r="L1043" i="7"/>
  <c r="L1044" i="7"/>
  <c r="L1046" i="7"/>
  <c r="L1048" i="7"/>
  <c r="L1049" i="7"/>
  <c r="L1053" i="7"/>
  <c r="L1054" i="7"/>
  <c r="L1055" i="7"/>
  <c r="L1056" i="7"/>
  <c r="L1057" i="7"/>
  <c r="L1058" i="7"/>
  <c r="L1059" i="7"/>
  <c r="L1060" i="7"/>
  <c r="L1061" i="7"/>
  <c r="L1062" i="7"/>
  <c r="L1063" i="7"/>
  <c r="L1065" i="7"/>
  <c r="L1066" i="7"/>
  <c r="L1067" i="7"/>
  <c r="L1068" i="7"/>
  <c r="L1070" i="7"/>
  <c r="L1074" i="7"/>
  <c r="L1077" i="7"/>
  <c r="L1079" i="7"/>
  <c r="L1080" i="7"/>
  <c r="L1083" i="7"/>
  <c r="L1084" i="7"/>
  <c r="L1085" i="7"/>
  <c r="L1086" i="7"/>
  <c r="L1087" i="7"/>
  <c r="L1088" i="7"/>
  <c r="L1089" i="7"/>
  <c r="L1090" i="7"/>
  <c r="L1094" i="7"/>
  <c r="L1095" i="7"/>
  <c r="L1096" i="7"/>
  <c r="L1097" i="7"/>
  <c r="L1099" i="7"/>
  <c r="L1101" i="7"/>
  <c r="L1102" i="7"/>
  <c r="L1103" i="7"/>
  <c r="L1107" i="7"/>
  <c r="L1108" i="7"/>
  <c r="L1109" i="7"/>
  <c r="L1110" i="7"/>
  <c r="L1111" i="7"/>
  <c r="L1112" i="7"/>
  <c r="L1113" i="7"/>
  <c r="L1114" i="7"/>
  <c r="L1118" i="7"/>
  <c r="L1119" i="7"/>
  <c r="L1121" i="7"/>
  <c r="L1123" i="7"/>
  <c r="L1125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1" i="7"/>
  <c r="L1147" i="7"/>
  <c r="L1148" i="7"/>
  <c r="L1149" i="7"/>
  <c r="L1150" i="7"/>
  <c r="L1151" i="7"/>
  <c r="L1152" i="7"/>
  <c r="L1156" i="7"/>
  <c r="L1157" i="7"/>
  <c r="L1159" i="7"/>
  <c r="L1160" i="7"/>
  <c r="L1162" i="7"/>
  <c r="L1163" i="7"/>
  <c r="L1164" i="7"/>
  <c r="L1165" i="7"/>
  <c r="L1166" i="7"/>
  <c r="L1168" i="7"/>
  <c r="L1169" i="7"/>
  <c r="L1170" i="7"/>
  <c r="L1171" i="7"/>
  <c r="L1172" i="7"/>
  <c r="L1173" i="7"/>
  <c r="L1175" i="7"/>
  <c r="L1176" i="7"/>
  <c r="L1177" i="7"/>
  <c r="L1178" i="7"/>
  <c r="L1179" i="7"/>
  <c r="L1180" i="7"/>
  <c r="L1181" i="7"/>
  <c r="L1182" i="7"/>
  <c r="L1183" i="7"/>
  <c r="L1184" i="7"/>
  <c r="L1185" i="7"/>
  <c r="L1187" i="7"/>
  <c r="L1188" i="7"/>
  <c r="L1189" i="7"/>
  <c r="L1190" i="7"/>
  <c r="L1192" i="7"/>
  <c r="L1193" i="7"/>
  <c r="L1195" i="7"/>
  <c r="L1196" i="7"/>
  <c r="L1197" i="7"/>
  <c r="L1199" i="7"/>
  <c r="L1200" i="7"/>
  <c r="L1201" i="7"/>
  <c r="K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6" i="7"/>
  <c r="A1157" i="7"/>
  <c r="A1158" i="7"/>
  <c r="A1159" i="7"/>
  <c r="A1160" i="7"/>
  <c r="A1161" i="7"/>
  <c r="A1162" i="7"/>
  <c r="A1163" i="7"/>
  <c r="A1164" i="7"/>
  <c r="A1165" i="7"/>
  <c r="A1166" i="7"/>
  <c r="A1167" i="7"/>
  <c r="A1168" i="7"/>
  <c r="A1169" i="7"/>
  <c r="A1170" i="7"/>
  <c r="A1171" i="7"/>
  <c r="A1172" i="7"/>
  <c r="A1173" i="7"/>
  <c r="A1174" i="7"/>
  <c r="A1175" i="7"/>
  <c r="A1176" i="7"/>
  <c r="A1177" i="7"/>
  <c r="A1178" i="7"/>
  <c r="A1179" i="7"/>
  <c r="A1180" i="7"/>
  <c r="A1181" i="7"/>
  <c r="A1182" i="7"/>
  <c r="A1183" i="7"/>
  <c r="A1184" i="7"/>
  <c r="A1185" i="7"/>
  <c r="A1186" i="7"/>
  <c r="A1187" i="7"/>
  <c r="A1188" i="7"/>
  <c r="A1189" i="7"/>
  <c r="A1190" i="7"/>
  <c r="A1191" i="7"/>
  <c r="A1192" i="7"/>
  <c r="A1193" i="7"/>
  <c r="A1194" i="7"/>
  <c r="A1195" i="7"/>
  <c r="A1196" i="7"/>
  <c r="A1197" i="7"/>
  <c r="A1198" i="7"/>
  <c r="A1199" i="7"/>
  <c r="A1200" i="7"/>
  <c r="A1201" i="7"/>
</calcChain>
</file>

<file path=xl/sharedStrings.xml><?xml version="1.0" encoding="utf-8"?>
<sst xmlns="http://schemas.openxmlformats.org/spreadsheetml/2006/main" count="13329" uniqueCount="4311">
  <si>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</si>
  <si>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</si>
  <si>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</si>
  <si>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</si>
  <si>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</si>
  <si>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</si>
  <si>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</si>
  <si>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</si>
  <si>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</si>
  <si>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</si>
  <si>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</si>
  <si>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</si>
  <si>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</si>
  <si>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</si>
  <si>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</si>
  <si>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</si>
  <si>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</si>
  <si>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</si>
  <si>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</si>
  <si>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</si>
  <si>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</si>
  <si>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</si>
  <si>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</si>
  <si>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</si>
  <si>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</si>
  <si>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</si>
  <si>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</si>
  <si>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</si>
  <si>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</si>
  <si>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</si>
  <si>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</si>
  <si>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</si>
  <si>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</si>
  <si>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</si>
  <si>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</si>
  <si>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</si>
  <si>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</si>
  <si>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</si>
  <si>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</si>
  <si>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</si>
  <si>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</si>
  <si>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</si>
  <si>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</si>
  <si>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</si>
  <si>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</si>
  <si>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</si>
  <si>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</si>
  <si>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</si>
  <si>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</si>
  <si>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</si>
  <si>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</si>
  <si>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</si>
  <si>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</si>
  <si>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</si>
  <si>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</si>
  <si>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</si>
  <si>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</si>
  <si>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</si>
  <si>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</si>
  <si>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</si>
  <si>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</si>
  <si>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</si>
  <si>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</si>
  <si>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</si>
  <si>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</si>
  <si>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</si>
  <si>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</si>
  <si>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</si>
  <si>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</si>
  <si>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</si>
  <si>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</si>
  <si>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</si>
  <si>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</si>
  <si>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</si>
  <si>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</si>
  <si>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</si>
  <si>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</si>
  <si>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</si>
  <si>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</si>
  <si>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</si>
  <si>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</si>
  <si>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</si>
  <si>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</si>
  <si>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</si>
  <si>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</si>
  <si>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</si>
  <si>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</si>
  <si>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</si>
  <si>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</si>
  <si>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</si>
  <si>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</si>
  <si>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</si>
  <si>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</si>
  <si>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</si>
  <si>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</si>
  <si>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</si>
  <si>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</si>
  <si>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</si>
  <si>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</si>
  <si>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</si>
  <si>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</si>
  <si>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</si>
  <si>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</si>
  <si>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</si>
  <si>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</si>
  <si>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</si>
  <si>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</si>
  <si>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</si>
  <si>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</si>
  <si>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</si>
  <si>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</si>
  <si>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</si>
  <si>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</si>
  <si>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</si>
  <si>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</si>
  <si>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</si>
  <si>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</si>
  <si>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</si>
  <si>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</si>
  <si>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</si>
  <si>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</si>
  <si>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</si>
  <si>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</si>
  <si>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</si>
  <si>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</si>
  <si>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</si>
  <si>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</si>
  <si>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</si>
  <si>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</si>
  <si>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</si>
  <si>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</si>
  <si>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</si>
  <si>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</si>
  <si>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</si>
  <si>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</si>
  <si>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</si>
  <si>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</si>
  <si>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</si>
  <si>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</si>
  <si>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</si>
  <si>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</si>
  <si>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</si>
  <si>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</si>
  <si>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</si>
  <si>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</si>
  <si>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</si>
  <si>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</si>
  <si>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</si>
  <si>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</si>
  <si>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</si>
  <si>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</si>
  <si>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</si>
  <si>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</si>
  <si>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</si>
  <si>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</si>
  <si>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</si>
  <si>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</si>
  <si>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</si>
  <si>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</si>
  <si>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</si>
  <si>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</si>
  <si>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</si>
  <si>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</si>
  <si>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</si>
  <si>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</si>
  <si>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</si>
  <si>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</si>
  <si>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</si>
  <si>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</si>
  <si>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</si>
  <si>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</si>
  <si>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</si>
  <si>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</si>
  <si>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</si>
  <si>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</si>
  <si>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</si>
  <si>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</si>
  <si>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</si>
  <si>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</si>
  <si>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</si>
  <si>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</si>
  <si>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</si>
  <si>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</si>
  <si>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</si>
  <si>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</si>
  <si>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</si>
  <si>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</si>
  <si>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</si>
  <si>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</si>
  <si>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</si>
  <si>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</si>
  <si>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</si>
  <si>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</si>
  <si>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</si>
  <si>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</si>
  <si>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</si>
  <si>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</si>
  <si>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</si>
  <si>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</si>
  <si>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</si>
  <si>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</si>
  <si>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</si>
  <si>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</si>
  <si>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</si>
  <si>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</si>
  <si>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</si>
  <si>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</si>
  <si>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</si>
  <si>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</si>
  <si>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</si>
  <si>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</si>
  <si>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</si>
  <si>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</si>
  <si>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</si>
  <si>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</si>
  <si>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</si>
  <si>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</si>
  <si>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</si>
  <si>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</si>
  <si>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</si>
  <si>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</si>
  <si>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</si>
  <si>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</si>
  <si>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</si>
  <si>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</si>
  <si>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</si>
  <si>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</si>
  <si>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</si>
  <si>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</si>
  <si>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</si>
  <si>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</si>
  <si>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</si>
  <si>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</si>
  <si>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</si>
  <si>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</si>
  <si>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</si>
  <si>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</si>
  <si>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</si>
  <si>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</si>
  <si>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</si>
  <si>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</si>
  <si>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</si>
  <si>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</si>
  <si>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</si>
  <si>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</si>
  <si>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</si>
  <si>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</si>
  <si>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</si>
  <si>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</si>
  <si>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</si>
  <si>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</si>
  <si>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</si>
  <si>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</si>
  <si>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</si>
  <si>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</si>
  <si>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</si>
  <si>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</si>
  <si>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</si>
  <si>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</si>
  <si>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</si>
  <si>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</si>
  <si>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</si>
  <si>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</si>
  <si>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</si>
  <si>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</si>
  <si>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</si>
  <si>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</si>
  <si>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</si>
  <si>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</si>
  <si>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</si>
  <si>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</si>
  <si>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</si>
  <si>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</si>
  <si>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</si>
  <si>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</si>
  <si>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</si>
  <si>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</si>
  <si>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</si>
  <si>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</si>
  <si>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</si>
  <si>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</si>
  <si>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</si>
  <si>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</si>
  <si>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</si>
  <si>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</si>
  <si>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</si>
  <si>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</si>
  <si>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</si>
  <si>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</si>
  <si>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</si>
  <si>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</si>
  <si>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</si>
  <si>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</si>
  <si>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</si>
  <si>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</si>
  <si>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</si>
  <si>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</si>
  <si>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</si>
  <si>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</si>
  <si>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</si>
  <si>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</si>
  <si>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</si>
  <si>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</si>
  <si>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</si>
  <si>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</si>
  <si>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</si>
  <si>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</si>
  <si>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</si>
  <si>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</si>
  <si>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</si>
  <si>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</si>
  <si>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</si>
  <si>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</si>
  <si>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</si>
  <si>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</si>
  <si>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</si>
  <si>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</si>
  <si>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</si>
  <si>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</si>
  <si>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</si>
  <si>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</si>
  <si>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</si>
  <si>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</si>
  <si>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</si>
  <si>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</si>
  <si>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</si>
  <si>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</si>
  <si>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</si>
  <si>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</si>
  <si>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</si>
  <si>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</si>
  <si>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</si>
  <si>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</si>
  <si>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</si>
  <si>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</si>
  <si>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</si>
  <si>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</si>
  <si>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</si>
  <si>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</si>
  <si>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</si>
  <si>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</si>
  <si>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</si>
  <si>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</si>
  <si>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</si>
  <si>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</si>
  <si>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</si>
  <si>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</si>
  <si>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</si>
  <si>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</si>
  <si>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</si>
  <si>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</si>
  <si>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</si>
  <si>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</si>
  <si>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</si>
  <si>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</si>
  <si>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</si>
  <si>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</si>
  <si>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</si>
  <si>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</si>
  <si>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</si>
  <si>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</si>
  <si>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</si>
  <si>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</si>
  <si>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</si>
  <si>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</si>
  <si>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</si>
  <si>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</si>
  <si>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</si>
  <si>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</si>
  <si>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</si>
  <si>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</si>
  <si>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</si>
  <si>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</si>
  <si>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</si>
  <si>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</si>
  <si>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</si>
  <si>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</si>
  <si>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</si>
  <si>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</si>
  <si>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</si>
  <si>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</si>
  <si>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</si>
  <si>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</si>
  <si>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</si>
  <si>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</si>
  <si>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</si>
  <si>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</si>
  <si>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</si>
  <si>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</si>
  <si>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</si>
  <si>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</si>
  <si>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</si>
  <si>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</si>
  <si>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</si>
  <si>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</si>
  <si>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</si>
  <si>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</si>
  <si>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</si>
  <si>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</si>
  <si>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</si>
  <si>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</si>
  <si>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</si>
  <si>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</si>
  <si>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</si>
  <si>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</si>
  <si>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</si>
  <si>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</si>
  <si>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</si>
  <si>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</si>
  <si>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</si>
  <si>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</si>
  <si>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</si>
  <si>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</si>
  <si>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</si>
  <si>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</si>
  <si>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</si>
  <si>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</si>
  <si>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</si>
  <si>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</si>
  <si>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</si>
  <si>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</si>
  <si>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</si>
  <si>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</si>
  <si>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</si>
  <si>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</si>
  <si>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</si>
  <si>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</si>
  <si>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</si>
  <si>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</si>
  <si>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</si>
  <si>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</si>
  <si>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</si>
  <si>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</si>
  <si>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</si>
  <si>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</si>
  <si>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</si>
  <si>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</si>
  <si>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</si>
  <si>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</si>
  <si>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</si>
  <si>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</si>
  <si>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</si>
  <si>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</si>
  <si>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</si>
  <si>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</si>
  <si>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</si>
  <si>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</si>
  <si>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</si>
  <si>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</si>
  <si>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</si>
  <si>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</si>
  <si>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</si>
  <si>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</si>
  <si>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</si>
  <si>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</si>
  <si>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</si>
  <si>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</si>
  <si>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</si>
  <si>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</si>
  <si>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</si>
  <si>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</si>
  <si>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</si>
  <si>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</si>
  <si>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</si>
  <si>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</si>
  <si>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</si>
  <si>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</si>
  <si>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</si>
  <si>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</si>
  <si>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</si>
  <si>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</si>
  <si>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</si>
  <si>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</si>
  <si>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</si>
  <si>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</si>
  <si>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</si>
  <si>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</si>
  <si>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</si>
  <si>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</si>
  <si>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</si>
  <si>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</si>
  <si>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</si>
  <si>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</si>
  <si>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</si>
  <si>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</si>
  <si>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</si>
  <si>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</si>
  <si>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</si>
  <si>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</si>
  <si>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</si>
  <si>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</si>
  <si>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</si>
  <si>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</si>
  <si>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</si>
  <si>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</si>
  <si>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</si>
  <si>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</si>
  <si>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</si>
  <si>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</si>
  <si>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</si>
  <si>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</si>
  <si>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</si>
  <si>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</si>
  <si>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</si>
  <si>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</si>
  <si>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</si>
  <si>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</si>
  <si>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</si>
  <si>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</si>
  <si>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</si>
  <si>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</si>
  <si>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</si>
  <si>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</si>
  <si>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</si>
  <si>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</si>
  <si>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</si>
  <si>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</si>
  <si>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</si>
  <si>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</si>
  <si>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</si>
  <si>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</si>
  <si>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</si>
  <si>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</si>
  <si>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</si>
  <si>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</si>
  <si>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</si>
  <si>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</si>
  <si>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</si>
  <si>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</si>
  <si>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</si>
  <si>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</si>
  <si>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</si>
  <si>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</si>
  <si>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</si>
  <si>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</si>
  <si>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</si>
  <si>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</si>
  <si>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</si>
  <si>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</si>
  <si>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</si>
  <si>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</si>
  <si>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</si>
  <si>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</si>
  <si>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</si>
  <si>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</si>
  <si>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</si>
  <si>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</si>
  <si>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</si>
  <si>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</si>
  <si>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</si>
  <si>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</si>
  <si>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</si>
  <si>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</si>
  <si>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</si>
  <si>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</si>
  <si>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</si>
  <si>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</si>
  <si>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</si>
  <si>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</si>
  <si>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</si>
  <si>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</si>
  <si>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</si>
  <si>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</si>
  <si>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</si>
  <si>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</si>
  <si>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</si>
  <si>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</si>
  <si>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</si>
  <si>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</si>
  <si>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</si>
  <si>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</si>
  <si>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</si>
  <si>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</si>
  <si>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</si>
  <si>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</si>
  <si>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</si>
  <si>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</si>
  <si>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</si>
  <si>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</si>
  <si>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</si>
  <si>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</si>
  <si>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</si>
  <si>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</si>
  <si>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</si>
  <si>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</si>
  <si>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</si>
  <si>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</si>
  <si>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</si>
  <si>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</si>
  <si>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</si>
  <si>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</si>
  <si>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</si>
  <si>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</si>
  <si>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</si>
  <si>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</si>
  <si>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</si>
  <si>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</si>
  <si>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</si>
  <si>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</si>
  <si>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</si>
  <si>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</si>
  <si>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</si>
  <si>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</si>
  <si>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</si>
  <si>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</si>
  <si>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</si>
  <si>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</si>
  <si>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</si>
  <si>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</si>
  <si>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</si>
  <si>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</si>
  <si>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</si>
  <si>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</si>
  <si>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</si>
  <si>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</si>
  <si>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</si>
  <si>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</si>
  <si>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</si>
  <si>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</si>
  <si>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</si>
  <si>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</si>
  <si>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</si>
  <si>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</si>
  <si>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</si>
  <si>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</si>
  <si>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</si>
  <si>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</si>
  <si>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</si>
  <si>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</si>
  <si>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</si>
  <si>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</si>
  <si>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</si>
  <si>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</si>
  <si>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</si>
  <si>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</si>
  <si>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</si>
  <si>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</si>
  <si>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</si>
  <si>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</si>
  <si>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</si>
  <si>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</si>
  <si>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</si>
  <si>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</si>
  <si>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</si>
  <si>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</si>
  <si>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</si>
  <si>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</si>
  <si>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</si>
  <si>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</si>
  <si>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</si>
  <si>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</si>
  <si>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</si>
  <si>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</si>
  <si>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</si>
  <si>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</si>
  <si>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</si>
  <si>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</si>
  <si>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</si>
  <si>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</si>
  <si>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</si>
  <si>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</si>
  <si>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</si>
  <si>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</si>
  <si>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</si>
  <si>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</si>
  <si>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</si>
  <si>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</si>
  <si>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</si>
  <si>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</si>
  <si>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</si>
  <si>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</si>
  <si>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</si>
  <si>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</si>
  <si>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</si>
  <si>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</si>
  <si>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</si>
  <si>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</si>
  <si>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</si>
  <si>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</si>
  <si>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</si>
  <si>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</si>
  <si>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</si>
  <si>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</si>
  <si>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</si>
  <si>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</si>
  <si>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</si>
  <si>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</si>
  <si>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</si>
  <si>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</si>
  <si>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</si>
  <si>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</si>
  <si>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</si>
  <si>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</si>
  <si>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</si>
  <si>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</si>
  <si>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</si>
  <si>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</si>
  <si>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</si>
  <si>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</si>
  <si>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</si>
  <si>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</si>
  <si>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</si>
  <si>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</si>
  <si>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</si>
  <si>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</si>
  <si>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</si>
  <si>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</si>
  <si>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</si>
  <si>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</si>
  <si>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</si>
  <si>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</si>
  <si>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</si>
  <si>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</si>
  <si>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</si>
  <si>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</si>
  <si>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</si>
  <si>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</si>
  <si>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</si>
  <si>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</si>
  <si>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</si>
  <si>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</si>
  <si>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</si>
  <si>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</si>
  <si>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</si>
  <si>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</si>
  <si>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</si>
  <si>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</si>
  <si>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</si>
  <si>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</si>
  <si>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</si>
  <si>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</si>
  <si>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</si>
  <si>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</si>
  <si>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</si>
  <si>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</si>
  <si>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</si>
  <si>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</si>
  <si>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</si>
  <si>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</si>
  <si>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</si>
  <si>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</si>
  <si>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</si>
  <si>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</si>
  <si>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</si>
  <si>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</si>
  <si>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</si>
  <si>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</si>
  <si>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</si>
  <si>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</si>
  <si>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</si>
  <si>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</si>
  <si>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</si>
  <si>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</si>
  <si>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</si>
  <si>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</si>
  <si>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</si>
  <si>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</si>
  <si>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</si>
  <si>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</si>
  <si>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</si>
  <si>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</si>
  <si>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</si>
  <si>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</si>
  <si>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</si>
  <si>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</si>
  <si>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</si>
  <si>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</si>
  <si>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</si>
  <si>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</si>
  <si>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</si>
  <si>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</si>
  <si>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</si>
  <si>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</si>
  <si>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</si>
  <si>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</si>
  <si>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</si>
  <si>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</si>
  <si>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</si>
  <si>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</si>
  <si>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</si>
  <si>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</si>
  <si>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</si>
  <si>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</si>
  <si>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</si>
  <si>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</si>
  <si>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</si>
  <si>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</si>
  <si>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</si>
  <si>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</si>
  <si>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</si>
  <si>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</si>
  <si>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</si>
  <si>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</si>
  <si>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</si>
  <si>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</si>
  <si>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</si>
  <si>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</si>
  <si>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</si>
  <si>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</si>
  <si>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</si>
  <si>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</si>
  <si>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</si>
  <si>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</si>
  <si>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</si>
  <si>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</si>
  <si>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</si>
  <si>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</si>
  <si>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</si>
  <si>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</si>
  <si>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</si>
  <si>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</si>
  <si>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</si>
  <si>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</si>
  <si>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</si>
  <si>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</si>
  <si>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</si>
  <si>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</si>
  <si>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</si>
  <si>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</si>
  <si>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</si>
  <si>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</si>
  <si>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</si>
  <si>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</si>
  <si>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</si>
  <si>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</si>
  <si>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</si>
  <si>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</si>
  <si>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</si>
  <si>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</si>
  <si>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</si>
  <si>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</si>
  <si>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</si>
  <si>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</si>
  <si>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</si>
  <si>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</si>
  <si>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</si>
  <si>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</si>
  <si>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</si>
  <si>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</si>
  <si>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</si>
  <si>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</si>
  <si>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</si>
  <si>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</si>
  <si>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</si>
  <si>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</si>
  <si>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</si>
  <si>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</si>
  <si>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</si>
  <si>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</si>
  <si>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</si>
  <si>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</si>
  <si>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</si>
  <si>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</si>
  <si>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</si>
  <si>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</si>
  <si>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</si>
  <si>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</si>
  <si>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</si>
  <si>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</si>
  <si>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</si>
  <si>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</si>
  <si>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</si>
  <si>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</si>
  <si>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</si>
  <si>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</si>
  <si>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</si>
  <si>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</si>
  <si>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</si>
  <si>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</si>
  <si>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</si>
  <si>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</si>
  <si>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</si>
  <si>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</si>
  <si>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</si>
  <si>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</si>
  <si>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</si>
  <si>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</si>
  <si>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</si>
  <si>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</si>
  <si>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</si>
  <si>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</si>
  <si>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</si>
  <si>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</si>
  <si>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</si>
  <si>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</si>
  <si>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</si>
  <si>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</si>
  <si>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</si>
  <si>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</si>
  <si>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</si>
  <si>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</si>
  <si>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</si>
  <si>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</si>
  <si>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</si>
  <si>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</si>
  <si>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</si>
  <si>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</si>
  <si>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</si>
  <si>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</si>
  <si>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</si>
  <si>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</si>
  <si>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</si>
  <si>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</si>
  <si>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</si>
  <si>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</si>
  <si>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</si>
  <si>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</si>
  <si>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</si>
  <si>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</si>
  <si>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</si>
  <si>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</si>
  <si>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</si>
  <si>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</si>
  <si>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</si>
  <si>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</si>
  <si>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</si>
  <si>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</si>
  <si>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</si>
  <si>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</si>
  <si>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</si>
  <si>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</si>
  <si>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</si>
  <si>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</si>
  <si>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</si>
  <si>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</si>
  <si>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</si>
  <si>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</si>
  <si>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</si>
  <si>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</si>
  <si>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</si>
  <si>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</si>
  <si>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</si>
  <si>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</si>
  <si>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</si>
  <si>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</si>
  <si>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</si>
  <si>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</si>
  <si>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</si>
  <si>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</si>
  <si>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</si>
  <si>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</si>
  <si>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</si>
  <si>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</si>
  <si>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</si>
  <si>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</si>
  <si>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</si>
  <si>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</si>
  <si>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</si>
  <si>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</si>
  <si>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</si>
  <si>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</si>
  <si>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</si>
  <si>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</si>
  <si>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</si>
  <si>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</si>
  <si>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</si>
  <si>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</si>
  <si>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</si>
  <si>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</si>
  <si>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</si>
  <si>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</si>
  <si>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</si>
  <si>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</si>
  <si>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</si>
  <si>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</si>
  <si>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</si>
  <si>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</si>
  <si>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</si>
  <si>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</si>
  <si>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</si>
  <si>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</si>
  <si>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</si>
  <si>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</si>
  <si>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</si>
  <si>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</si>
  <si>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</si>
  <si>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</si>
  <si>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</si>
  <si>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</si>
  <si>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</si>
  <si>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</si>
  <si>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</si>
  <si>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</si>
  <si>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</si>
  <si>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</si>
  <si>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</si>
  <si>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</si>
  <si>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</si>
  <si>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</si>
  <si>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</si>
  <si>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</si>
  <si>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</si>
  <si>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</si>
  <si>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</si>
  <si>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</si>
  <si>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</si>
  <si>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</si>
  <si>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</si>
  <si>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</si>
  <si>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</si>
  <si>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</si>
  <si>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</si>
  <si>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</si>
  <si>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</si>
  <si>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</si>
  <si>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</si>
  <si>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</si>
  <si>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</si>
  <si>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</si>
  <si>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</si>
  <si>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</si>
  <si>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</si>
  <si>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</si>
  <si>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</si>
  <si>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</si>
  <si>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</si>
  <si>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</si>
  <si>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</si>
  <si>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</si>
  <si>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</si>
  <si>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</si>
  <si>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</si>
  <si>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</si>
  <si>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</si>
  <si>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</si>
  <si>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</si>
  <si>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</si>
  <si>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</si>
  <si>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</si>
  <si>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</si>
  <si>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</si>
  <si>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</si>
  <si>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</si>
  <si>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</si>
  <si>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</si>
  <si>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</si>
  <si>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</si>
  <si>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</si>
  <si>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</si>
  <si>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</si>
  <si>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</si>
  <si>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</si>
  <si>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</si>
  <si>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</si>
  <si>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</si>
  <si>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</si>
  <si>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</si>
  <si>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</si>
  <si>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</si>
  <si>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</si>
  <si>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</si>
  <si>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</si>
  <si>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</si>
  <si>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</si>
  <si>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</si>
  <si>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</si>
  <si>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</si>
  <si>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</si>
  <si>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</si>
  <si>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</si>
  <si>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</si>
  <si>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</si>
  <si>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</si>
  <si>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</si>
  <si>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</si>
  <si>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</si>
  <si>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</si>
  <si>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</si>
  <si>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</si>
  <si>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</si>
  <si>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</si>
  <si>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</si>
  <si>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</si>
  <si>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</si>
  <si>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</si>
  <si>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</si>
  <si>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</si>
  <si>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</si>
  <si>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</si>
  <si>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</si>
  <si>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</si>
  <si>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</si>
  <si>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</si>
  <si>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</si>
  <si>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</si>
  <si>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</si>
  <si>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</si>
  <si>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</si>
  <si>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</si>
  <si>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</si>
  <si>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</si>
  <si>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</si>
  <si>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</si>
  <si>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</si>
  <si>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</si>
  <si>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</si>
  <si>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</si>
  <si>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</si>
  <si>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</si>
  <si>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</si>
  <si>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</si>
  <si>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</si>
  <si>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</si>
  <si>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</si>
  <si>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</si>
  <si>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</si>
  <si>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</si>
  <si>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</si>
  <si>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</si>
  <si>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</si>
  <si>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</si>
  <si>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</si>
  <si>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</si>
  <si>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</si>
  <si>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</si>
  <si>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</si>
  <si>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</si>
  <si>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</si>
  <si>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</si>
  <si>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</si>
  <si>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</si>
  <si>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</si>
  <si>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</si>
  <si>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</si>
  <si>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</si>
  <si>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</si>
  <si>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</si>
  <si>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</si>
  <si>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</si>
  <si>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</si>
  <si>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</si>
  <si>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</si>
  <si>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</si>
  <si>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</si>
  <si>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</si>
  <si>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</si>
  <si>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</si>
  <si>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</si>
  <si>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</si>
  <si>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</si>
  <si>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</si>
  <si>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</si>
  <si>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</si>
  <si>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</si>
  <si>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</si>
  <si>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</si>
  <si>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</si>
  <si>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</si>
  <si>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</si>
  <si>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</si>
  <si>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</si>
  <si>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</si>
  <si>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</si>
  <si>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</si>
  <si>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</si>
  <si>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</si>
  <si>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</si>
  <si>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</si>
  <si>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</si>
  <si>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</si>
  <si>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</si>
  <si>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</si>
  <si>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</si>
  <si>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</si>
  <si>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</si>
  <si>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</si>
  <si>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</si>
  <si>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</si>
  <si>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</si>
  <si>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</si>
  <si>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</si>
  <si>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</si>
  <si>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</si>
  <si>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</si>
  <si>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</si>
  <si>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</si>
  <si>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</si>
  <si>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</si>
  <si>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</si>
  <si>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</si>
  <si>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</si>
  <si>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</si>
  <si>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</si>
  <si>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</si>
  <si>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</si>
  <si>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</si>
  <si>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</si>
  <si>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</si>
  <si>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</si>
  <si>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</si>
  <si>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</si>
  <si>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</si>
  <si>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</si>
  <si>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</si>
  <si>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</si>
  <si>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</si>
  <si>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</si>
  <si>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</si>
  <si>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</si>
  <si>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</si>
  <si>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</si>
  <si>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</si>
  <si>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</si>
  <si>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</si>
  <si>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</si>
  <si>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</si>
  <si>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</si>
  <si>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</si>
  <si>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</si>
  <si>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</si>
  <si>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</si>
  <si>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</si>
  <si>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</si>
  <si>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</si>
  <si>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</si>
  <si>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</si>
  <si>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</si>
  <si>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</si>
  <si>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</si>
  <si>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</si>
  <si>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</si>
  <si>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</si>
  <si>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</si>
  <si>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</si>
  <si>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</si>
  <si>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</si>
  <si>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</si>
  <si>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</si>
  <si>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</si>
  <si>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</si>
  <si>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</si>
  <si>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</si>
  <si>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</si>
  <si>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</si>
  <si>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</si>
  <si>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</si>
  <si>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</si>
  <si>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</si>
  <si>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</si>
  <si>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</si>
  <si>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</si>
  <si>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</si>
  <si>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</si>
  <si>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</si>
  <si>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</si>
  <si>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</si>
  <si>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</si>
  <si>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</si>
  <si>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</si>
  <si>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</si>
  <si>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</si>
  <si>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</si>
  <si>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</si>
  <si>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</si>
  <si>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</si>
  <si>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</si>
  <si>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</si>
  <si>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</si>
  <si>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</si>
  <si>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</si>
  <si>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</si>
  <si>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</si>
  <si>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</si>
  <si>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</si>
  <si>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</si>
  <si>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</si>
  <si>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</si>
  <si>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</si>
  <si>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</si>
  <si>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</si>
  <si>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</si>
  <si>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</si>
  <si>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</si>
  <si>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</si>
  <si>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</si>
  <si>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</si>
  <si>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</si>
  <si>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</si>
  <si>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</si>
  <si>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</si>
  <si>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</si>
  <si>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</si>
  <si>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</si>
  <si>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</si>
  <si>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</si>
  <si>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</si>
  <si>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</si>
  <si>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</si>
  <si>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</si>
  <si>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</si>
  <si>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</si>
  <si>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</si>
  <si>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</si>
  <si>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</si>
  <si>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</si>
  <si>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</si>
  <si>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</si>
  <si>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</si>
  <si>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</si>
  <si>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</si>
  <si>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</si>
  <si>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</si>
  <si>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</si>
  <si>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</si>
  <si>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</si>
  <si>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</si>
  <si>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</si>
  <si>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</si>
  <si>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</si>
  <si>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</si>
  <si>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</si>
  <si>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</si>
  <si>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</si>
  <si>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</si>
  <si>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</si>
  <si>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</si>
  <si>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</si>
  <si>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</si>
  <si>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</si>
  <si>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</si>
  <si>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</si>
  <si>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</si>
  <si>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</si>
  <si>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</si>
  <si>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</si>
  <si>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</si>
  <si>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</si>
  <si>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</si>
  <si>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</si>
  <si>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</si>
  <si>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</si>
  <si>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</si>
  <si>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</si>
  <si>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</si>
  <si>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</si>
  <si>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</si>
  <si>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</si>
  <si>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</si>
  <si>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</si>
  <si>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</si>
  <si>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</si>
  <si>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</si>
  <si>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</si>
  <si>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</si>
  <si>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</si>
  <si>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</si>
  <si>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</si>
  <si>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</si>
  <si>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</si>
  <si>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</si>
  <si>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</si>
  <si>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</si>
  <si>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</si>
  <si>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</si>
  <si>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</si>
  <si>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</si>
  <si>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</si>
  <si>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</si>
  <si>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</si>
  <si>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</si>
  <si>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</si>
  <si>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</si>
  <si>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</si>
  <si>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</si>
  <si>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</si>
  <si>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</si>
  <si>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</si>
  <si>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</si>
  <si>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</si>
  <si>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</si>
  <si>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</si>
  <si>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</si>
  <si>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</si>
  <si>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</si>
  <si>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</si>
  <si>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</si>
  <si>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</si>
  <si>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</si>
  <si>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</si>
  <si>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</si>
  <si>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</si>
  <si>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</si>
  <si>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</si>
  <si>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</si>
  <si>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</si>
  <si>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</si>
  <si>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</si>
  <si>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</si>
  <si>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</si>
  <si>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</si>
  <si>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</si>
  <si>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</si>
  <si>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</si>
  <si>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</si>
  <si>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</si>
  <si>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</si>
  <si>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</si>
  <si>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</si>
  <si>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</si>
  <si>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</si>
  <si>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</si>
  <si>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</si>
  <si>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</si>
  <si>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</si>
  <si>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</si>
  <si>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</si>
  <si>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</si>
  <si>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</si>
  <si>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</si>
  <si>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</si>
  <si>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</si>
  <si>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</si>
  <si>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</si>
  <si>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</si>
  <si>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</si>
  <si>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</si>
  <si>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</si>
  <si>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</si>
  <si>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</si>
  <si>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</si>
  <si>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</si>
  <si>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</si>
  <si>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</si>
  <si>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</si>
  <si>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</si>
  <si>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</si>
  <si>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</si>
  <si>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</si>
  <si>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</si>
  <si>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</si>
  <si>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</si>
  <si>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</si>
  <si>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</si>
  <si>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</si>
  <si>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</si>
  <si>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</si>
  <si>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</si>
  <si>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</si>
  <si>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</si>
  <si>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</si>
  <si>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</si>
  <si>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</si>
  <si>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</si>
  <si>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</si>
  <si>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</si>
  <si>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</si>
  <si>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</si>
  <si>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</si>
  <si>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</si>
  <si>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</si>
  <si>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</si>
  <si>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</si>
  <si>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</si>
  <si>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</si>
  <si>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</si>
  <si>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</si>
  <si>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</si>
  <si>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</si>
  <si>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</si>
  <si>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</si>
  <si>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</si>
  <si>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</si>
  <si>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</si>
  <si>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</si>
  <si>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</si>
  <si>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</si>
  <si>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</si>
  <si>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</si>
  <si>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</si>
  <si>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</si>
  <si>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</si>
  <si>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</si>
  <si>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</si>
  <si>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</si>
  <si>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</si>
  <si>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</si>
  <si>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</si>
  <si>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</si>
  <si>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</si>
  <si>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</si>
  <si>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</si>
  <si>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</si>
  <si>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</si>
  <si>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</si>
  <si>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</si>
  <si>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</si>
  <si>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</si>
  <si>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</si>
  <si>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</si>
  <si>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</si>
  <si>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</si>
  <si>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</si>
  <si>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</si>
  <si>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</si>
  <si>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</si>
  <si>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</si>
  <si>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</si>
  <si>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</si>
  <si>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</si>
  <si>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</si>
  <si>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</si>
  <si>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</si>
  <si>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</si>
  <si>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</si>
  <si>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</si>
  <si>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</si>
  <si>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</si>
  <si>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</si>
  <si>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</si>
  <si>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</si>
  <si>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</si>
  <si>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</si>
  <si>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</si>
  <si>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</si>
  <si>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</si>
  <si>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</si>
  <si>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</si>
  <si>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</si>
  <si>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</si>
  <si>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</si>
  <si>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</si>
  <si>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</si>
  <si>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</si>
  <si>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</si>
  <si>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</si>
  <si>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</si>
  <si>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</si>
  <si>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</si>
  <si>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</si>
  <si>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</si>
  <si>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</si>
  <si>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</si>
  <si>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</si>
  <si>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</si>
  <si>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</si>
  <si>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</si>
  <si>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</si>
  <si>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</si>
  <si>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</si>
  <si>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</si>
  <si>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</si>
  <si>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</si>
  <si>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</si>
  <si>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</si>
  <si>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</si>
  <si>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</si>
  <si>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</si>
  <si>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</si>
  <si>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</si>
  <si>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</si>
  <si>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</si>
  <si>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</si>
  <si>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</si>
  <si>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</si>
  <si>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</si>
  <si>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</si>
  <si>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</si>
  <si>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</si>
  <si>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</si>
  <si>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</si>
  <si>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</si>
  <si>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</si>
  <si>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</si>
  <si>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</si>
  <si>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</si>
  <si>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</si>
  <si>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</si>
  <si>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</si>
  <si>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</si>
  <si>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</si>
  <si>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</si>
  <si>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</si>
  <si>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</si>
  <si>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</si>
  <si>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</si>
  <si>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</si>
  <si>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</si>
  <si>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</si>
  <si>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</si>
  <si>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</si>
  <si>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</si>
  <si>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</si>
  <si>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</si>
  <si>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</si>
  <si>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</si>
  <si>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</si>
  <si>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</si>
  <si>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</si>
  <si>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</si>
  <si>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</si>
  <si>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</si>
  <si>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</si>
  <si>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</si>
  <si>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</si>
  <si>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</si>
  <si>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</si>
  <si>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</si>
  <si>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</si>
  <si>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</si>
  <si>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</si>
  <si>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</si>
  <si>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</si>
  <si>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</si>
  <si>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</si>
  <si>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</si>
  <si>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</si>
  <si>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</si>
  <si>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</si>
  <si>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</si>
  <si>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</si>
  <si>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</si>
  <si>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</si>
  <si>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</si>
  <si>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</si>
  <si>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</si>
  <si>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</si>
  <si>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</si>
  <si>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</si>
  <si>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</si>
  <si>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</si>
  <si>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</si>
  <si>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</si>
  <si>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</si>
  <si>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</si>
  <si>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</si>
  <si>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</si>
  <si>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</si>
  <si>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</si>
  <si>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</si>
  <si>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</si>
  <si>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</si>
  <si>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</si>
  <si>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</si>
  <si>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</si>
  <si>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</si>
  <si>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</si>
  <si>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</si>
  <si>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</si>
  <si>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</si>
  <si>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</si>
  <si>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</si>
  <si>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</si>
  <si>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</si>
  <si>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</si>
  <si>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</si>
  <si>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</si>
  <si>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</si>
  <si>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</si>
  <si>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</si>
  <si>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</si>
  <si>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</si>
  <si>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</si>
  <si>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</si>
  <si>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</si>
  <si>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</si>
  <si>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</si>
  <si>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</si>
  <si>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</si>
  <si>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</si>
  <si>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</si>
  <si>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</si>
  <si>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</si>
  <si>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</si>
  <si>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</si>
  <si>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</si>
  <si>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</si>
  <si>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</si>
  <si>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</si>
  <si>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</si>
  <si>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</si>
  <si>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</si>
  <si>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</si>
  <si>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</si>
  <si>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</si>
  <si>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</si>
  <si>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</si>
  <si>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</si>
  <si>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</si>
  <si>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</si>
  <si>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</si>
  <si>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</si>
  <si>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</si>
  <si>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</si>
  <si>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</si>
  <si>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</si>
  <si>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</si>
  <si>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</si>
  <si>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</si>
  <si>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</si>
  <si>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</si>
  <si>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</si>
  <si>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</si>
  <si>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</si>
  <si>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</si>
  <si>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</si>
  <si>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</si>
  <si>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</si>
  <si>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</si>
  <si>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</si>
  <si>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</si>
  <si>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</si>
  <si>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</si>
  <si>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</si>
  <si>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</si>
  <si>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</si>
  <si>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</si>
  <si>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</si>
  <si>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</si>
  <si>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</si>
  <si>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</si>
  <si>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</si>
  <si>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</si>
  <si>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</si>
  <si>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</si>
  <si>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</si>
  <si>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</si>
  <si>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</si>
  <si>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</si>
  <si>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</si>
  <si>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</si>
  <si>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</si>
  <si>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</si>
  <si>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</si>
  <si>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</si>
  <si>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</si>
  <si>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</si>
  <si>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</si>
  <si>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</si>
  <si>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</si>
  <si>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</si>
  <si>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</si>
  <si>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</si>
  <si>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</si>
  <si>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</si>
  <si>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</si>
  <si>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</si>
  <si>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</si>
  <si>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</si>
  <si>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</si>
  <si>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</si>
  <si>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</si>
  <si>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</si>
  <si>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</si>
  <si>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</si>
  <si>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</si>
  <si>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</si>
  <si>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</si>
  <si>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</si>
  <si>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</si>
  <si>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</si>
  <si>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</si>
  <si>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</si>
  <si>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</si>
  <si>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</si>
  <si>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</si>
  <si>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</si>
  <si>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</si>
  <si>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</si>
  <si>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</si>
  <si>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</si>
  <si>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</si>
  <si>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</si>
  <si>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</si>
  <si>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</si>
  <si>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</si>
  <si>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</si>
  <si>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</si>
  <si>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</si>
  <si>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</si>
  <si>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</si>
  <si>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</si>
  <si>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</si>
  <si>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</si>
  <si>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</si>
  <si>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</si>
  <si>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</si>
  <si>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</si>
  <si>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</si>
  <si>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</si>
  <si>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</si>
  <si>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</si>
  <si>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</si>
  <si>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</si>
  <si>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</si>
  <si>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</si>
  <si>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</si>
  <si>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</si>
  <si>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</si>
  <si>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</si>
  <si>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</si>
  <si>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</si>
  <si>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</si>
  <si>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</si>
  <si>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</si>
  <si>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</si>
  <si>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</si>
  <si>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</si>
  <si>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</si>
  <si>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</si>
  <si>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</si>
  <si>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</si>
  <si>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</si>
  <si>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</si>
  <si>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</si>
  <si>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</si>
  <si>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</si>
  <si>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</si>
  <si>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</si>
  <si>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</si>
  <si>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</si>
  <si>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</si>
  <si>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</si>
  <si>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</si>
  <si>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</si>
  <si>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</si>
  <si>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</si>
  <si>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</si>
  <si>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</si>
  <si>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</si>
  <si>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</si>
  <si>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</si>
  <si>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</si>
  <si>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</si>
  <si>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</si>
  <si>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</si>
  <si>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</si>
  <si>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</si>
  <si>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</si>
  <si>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</si>
  <si>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</si>
  <si>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</si>
  <si>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</si>
  <si>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</si>
  <si>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</si>
  <si>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</si>
  <si>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</si>
  <si>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</si>
  <si>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</si>
  <si>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</si>
  <si>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</si>
  <si>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</si>
  <si>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</si>
  <si>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</si>
  <si>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</si>
  <si>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</si>
  <si>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</si>
  <si>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</si>
  <si>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</si>
  <si>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</si>
  <si>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</si>
  <si>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</si>
  <si>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</si>
  <si>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</si>
  <si>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</si>
  <si>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</si>
  <si>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</si>
  <si>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</si>
  <si>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</si>
  <si>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</si>
  <si>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</si>
  <si>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</si>
  <si>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</si>
  <si>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</si>
  <si>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</si>
  <si>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</si>
  <si>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</si>
  <si>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</si>
  <si>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</si>
  <si>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</si>
  <si>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</si>
  <si>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</si>
  <si>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</si>
  <si>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</si>
  <si>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</si>
  <si>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</si>
  <si>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</si>
  <si>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</si>
  <si>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</si>
  <si>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</si>
  <si>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</si>
  <si>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</si>
  <si>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</si>
  <si>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</si>
  <si>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</si>
  <si>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</si>
  <si>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</si>
  <si>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</si>
  <si>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</si>
  <si>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</si>
  <si>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</si>
  <si>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</si>
  <si>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</si>
  <si>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</si>
  <si>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</si>
  <si>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</si>
  <si>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</si>
  <si>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</si>
  <si>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</si>
  <si>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</si>
  <si>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</si>
  <si>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</si>
  <si>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</si>
  <si>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</si>
  <si>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</si>
  <si>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</si>
  <si>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</si>
  <si>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</si>
  <si>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</si>
  <si>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</si>
  <si>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</si>
  <si>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</si>
  <si>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</si>
  <si>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</si>
  <si>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</si>
  <si>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</si>
  <si>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</si>
  <si>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</si>
  <si>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</si>
  <si>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</si>
  <si>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</si>
  <si>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</si>
  <si>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</si>
  <si>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</si>
  <si>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</si>
  <si>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</si>
  <si>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</si>
  <si>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</si>
  <si>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</si>
  <si>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</si>
  <si>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</si>
  <si>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</si>
  <si>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</si>
  <si>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</si>
  <si>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</si>
  <si>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</si>
  <si>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</si>
  <si>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</si>
  <si>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</si>
  <si>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</si>
  <si>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</si>
  <si>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</si>
  <si>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</si>
  <si>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</si>
  <si>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</si>
  <si>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</si>
  <si>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</si>
  <si>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</si>
  <si>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</si>
  <si>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</si>
  <si>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</si>
  <si>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</si>
  <si>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</si>
  <si>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</si>
  <si>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</si>
  <si>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</si>
  <si>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</si>
  <si>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</si>
  <si>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</si>
  <si>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</si>
  <si>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</si>
  <si>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</si>
  <si>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</si>
  <si>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</si>
  <si>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</si>
  <si>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</si>
  <si>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</si>
  <si>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</si>
  <si>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</si>
  <si>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</si>
  <si>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</si>
  <si>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</si>
  <si>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</si>
  <si>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</si>
  <si>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</si>
  <si>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</si>
  <si>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</si>
  <si>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</si>
  <si>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</si>
  <si>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</si>
  <si>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</si>
  <si>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</si>
  <si>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</si>
  <si>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</si>
  <si>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</si>
  <si>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</si>
  <si>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</si>
  <si>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</si>
  <si>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</si>
  <si>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</si>
  <si>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</si>
  <si>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</si>
  <si>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</si>
  <si>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</si>
  <si>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</si>
  <si>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</si>
  <si>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</si>
  <si>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</si>
  <si>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</si>
  <si>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</si>
  <si>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</si>
  <si>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</si>
  <si>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</si>
  <si>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</si>
  <si>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</si>
  <si>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</si>
  <si>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</si>
  <si>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</si>
  <si>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</si>
  <si>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</si>
  <si>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</si>
  <si>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</si>
  <si>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</si>
  <si>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</si>
  <si>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</si>
  <si>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</si>
  <si>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</si>
  <si>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</si>
  <si>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</si>
  <si>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</si>
  <si>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</si>
  <si>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</si>
  <si>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</si>
  <si>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</si>
  <si>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</si>
  <si>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</si>
  <si>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</si>
  <si>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</si>
  <si>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</si>
  <si>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</si>
  <si>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</si>
  <si>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</si>
  <si>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</si>
  <si>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</si>
  <si>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</si>
  <si>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</si>
  <si>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</si>
  <si>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</si>
  <si>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</si>
  <si>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</si>
  <si>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</si>
  <si>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</si>
  <si>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</si>
  <si>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</si>
  <si>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</si>
  <si>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</si>
  <si>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</si>
  <si>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</si>
  <si>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</si>
  <si>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</si>
  <si>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</si>
  <si>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</si>
  <si>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</si>
  <si>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</si>
  <si>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</si>
  <si>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</si>
  <si>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</si>
  <si>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</si>
  <si>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</si>
  <si>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</si>
  <si>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</si>
  <si>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</si>
  <si>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</si>
  <si>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</si>
  <si>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</si>
  <si>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</si>
  <si>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</si>
  <si>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</si>
  <si>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</si>
  <si>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</si>
  <si>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</si>
  <si>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</si>
  <si>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</si>
  <si>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</si>
  <si>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</si>
  <si>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</si>
  <si>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</si>
  <si>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</si>
  <si>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</si>
  <si>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</si>
  <si>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</si>
  <si>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</si>
  <si>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</si>
  <si>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</si>
  <si>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</si>
  <si>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</si>
  <si>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</si>
  <si>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</si>
  <si>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</si>
  <si>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</si>
  <si>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</si>
  <si>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</si>
  <si>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</si>
  <si>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</si>
  <si>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</si>
  <si>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</si>
  <si>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</si>
  <si>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</si>
  <si>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</si>
  <si>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</si>
  <si>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</si>
  <si>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</si>
  <si>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</si>
  <si>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</si>
  <si>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</si>
  <si>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</si>
  <si>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</si>
  <si>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</si>
  <si>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</si>
  <si>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</si>
  <si>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</si>
  <si>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</si>
  <si>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</si>
  <si>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</si>
  <si>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</si>
  <si>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</si>
  <si>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</si>
  <si>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</si>
  <si>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</si>
  <si>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</si>
  <si>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</si>
  <si>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</si>
  <si>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</si>
  <si>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</si>
  <si>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</si>
  <si>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</si>
  <si>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</si>
  <si>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</si>
  <si>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</si>
  <si>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</si>
  <si>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</si>
  <si>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</si>
  <si>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</si>
  <si>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</si>
  <si>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</si>
  <si>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</si>
  <si>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</si>
  <si>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</si>
  <si>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</si>
  <si>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</si>
  <si>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</si>
  <si>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</si>
  <si>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</si>
  <si>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</si>
  <si>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</si>
  <si>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</si>
  <si>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</si>
  <si>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</si>
  <si>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</si>
  <si>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</si>
  <si>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</si>
  <si>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</si>
  <si>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</si>
  <si>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</si>
  <si>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</si>
  <si>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</si>
  <si>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</si>
  <si>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</si>
  <si>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</si>
  <si>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</si>
  <si>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</si>
  <si>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</si>
  <si>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</si>
  <si>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</si>
  <si>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</si>
  <si>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</si>
  <si>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</si>
  <si>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</si>
  <si>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</si>
  <si>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</si>
  <si>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</si>
  <si>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</si>
  <si>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</si>
  <si>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</si>
  <si>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</si>
  <si>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</si>
  <si>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</si>
  <si>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</si>
  <si>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</si>
  <si>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</si>
  <si>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</si>
  <si>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</si>
  <si>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</si>
  <si>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</si>
  <si>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</si>
  <si>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</si>
  <si>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</si>
  <si>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</si>
  <si>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</si>
  <si>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</si>
  <si>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</si>
  <si>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</si>
  <si>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</si>
  <si>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</si>
  <si>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</si>
  <si>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</si>
  <si>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</si>
  <si>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</si>
  <si>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</si>
  <si>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</si>
  <si>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</si>
  <si>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</si>
  <si>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</si>
  <si>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</si>
  <si>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</si>
  <si>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</si>
  <si>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</si>
  <si>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</si>
  <si>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</si>
  <si>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</si>
  <si>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</si>
  <si>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</si>
  <si>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</si>
  <si>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</si>
  <si>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</si>
  <si>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</si>
  <si>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</si>
  <si>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</si>
  <si>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</si>
  <si>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</si>
  <si>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</si>
  <si>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</si>
  <si>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</si>
  <si>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</si>
  <si>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</si>
  <si>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</si>
  <si>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</si>
  <si>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</si>
  <si>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</si>
  <si>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</si>
  <si>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</si>
  <si>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</si>
  <si>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</si>
  <si>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</si>
  <si>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</si>
  <si>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</si>
  <si>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</si>
  <si>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</si>
  <si>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</si>
  <si>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</si>
  <si>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</si>
  <si>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</si>
  <si>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</si>
  <si>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</si>
  <si>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</si>
  <si>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</si>
  <si>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</si>
  <si>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</si>
  <si>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</si>
  <si>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</si>
  <si>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</si>
  <si>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</si>
  <si>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</si>
  <si>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</si>
  <si>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</si>
  <si>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</si>
  <si>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</si>
  <si>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</si>
  <si>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</si>
  <si>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</si>
  <si>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</si>
  <si>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</si>
  <si>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</si>
  <si>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</si>
  <si>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</si>
  <si>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</si>
  <si>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</si>
  <si>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</si>
  <si>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</si>
  <si>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</si>
  <si>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</si>
  <si>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</si>
  <si>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</si>
  <si>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</si>
  <si>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</si>
  <si>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</si>
  <si>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</si>
  <si>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</si>
  <si>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</si>
  <si>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</si>
  <si>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</si>
  <si>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</si>
  <si>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</si>
  <si>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</si>
  <si>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</si>
  <si>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</si>
  <si>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</si>
  <si>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</si>
  <si>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</si>
  <si>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</si>
  <si>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</si>
  <si>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</si>
  <si>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</si>
  <si>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</si>
  <si>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</si>
  <si>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</si>
  <si>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</si>
  <si>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</si>
  <si>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</si>
  <si>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</si>
  <si>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</si>
  <si>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</si>
  <si>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</si>
  <si>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</si>
  <si>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</si>
  <si>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</si>
  <si>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</si>
  <si>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</si>
  <si>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</si>
  <si>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</si>
  <si>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</si>
  <si>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</si>
  <si>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</si>
  <si>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</si>
  <si>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</si>
  <si>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</si>
  <si>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</si>
  <si>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</si>
  <si>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</si>
  <si>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</si>
  <si>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</si>
  <si>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</si>
  <si>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</si>
  <si>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</si>
  <si>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</si>
  <si>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</si>
  <si>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</si>
  <si>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</si>
  <si>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</si>
  <si>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</si>
  <si>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</si>
  <si>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</si>
  <si>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</si>
  <si>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</si>
  <si>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</si>
  <si>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</si>
  <si>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</si>
  <si>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</si>
  <si>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</si>
  <si>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</si>
  <si>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</si>
  <si>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</si>
  <si>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</si>
  <si>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</si>
  <si>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</si>
  <si>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</si>
  <si>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</si>
  <si>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</si>
  <si>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</si>
  <si>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</si>
  <si>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</si>
  <si>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</si>
  <si>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</si>
  <si>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</si>
  <si>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</si>
  <si>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</si>
  <si>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</si>
  <si>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</si>
  <si>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</si>
  <si>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</si>
  <si>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</si>
  <si>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</si>
  <si>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</si>
  <si>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</si>
  <si>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</si>
  <si>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</si>
  <si>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</si>
  <si>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</si>
  <si>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</si>
  <si>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</si>
  <si>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</si>
  <si>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</si>
  <si>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</si>
  <si>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</si>
  <si>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</si>
  <si>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</si>
  <si>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</si>
  <si>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</si>
  <si>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</si>
  <si>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</si>
  <si>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</si>
  <si>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</si>
  <si>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</si>
  <si>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</si>
  <si>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</si>
  <si>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</si>
  <si>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</si>
  <si>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</si>
  <si>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</si>
  <si>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</si>
  <si>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</si>
  <si>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</si>
  <si>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</si>
  <si>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</si>
  <si>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</si>
  <si>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</si>
  <si>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</si>
  <si>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</si>
  <si>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</si>
  <si>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</si>
  <si>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</si>
  <si>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</si>
  <si>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</si>
  <si>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</si>
  <si>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</si>
  <si>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</si>
  <si>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</si>
  <si>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</si>
  <si>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</si>
  <si>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</si>
  <si>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</si>
  <si>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</si>
  <si>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</si>
  <si>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</si>
  <si>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</si>
  <si>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</si>
  <si>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</si>
  <si>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</si>
  <si>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</si>
  <si>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</si>
  <si>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</si>
  <si>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</si>
  <si>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</si>
  <si>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</si>
  <si>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</si>
  <si>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</si>
  <si>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</si>
  <si>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</si>
  <si>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</si>
  <si>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</si>
  <si>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</si>
  <si>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</si>
  <si>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</si>
  <si>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</si>
  <si>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</si>
  <si>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</si>
  <si>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</si>
  <si>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</si>
  <si>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</si>
  <si>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</si>
  <si>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</si>
  <si>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</si>
  <si>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</si>
  <si>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</si>
  <si>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</si>
  <si>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</si>
  <si>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</si>
  <si>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</si>
  <si>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</si>
  <si>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</si>
  <si>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</si>
  <si>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</si>
  <si>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</si>
  <si>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</si>
  <si>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</si>
  <si>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</si>
  <si>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</si>
  <si>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</si>
  <si>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</si>
  <si>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</si>
  <si>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</si>
  <si>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</si>
  <si>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</si>
  <si>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</si>
  <si>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</si>
  <si>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</si>
  <si>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</si>
  <si>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</si>
  <si>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</si>
  <si>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</si>
  <si>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</si>
  <si>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</si>
  <si>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</si>
  <si>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</si>
  <si>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</si>
  <si>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</si>
  <si>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</si>
  <si>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</si>
  <si>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</si>
  <si>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</si>
  <si>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</si>
  <si>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</si>
  <si>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</si>
  <si>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</si>
  <si>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</si>
  <si>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</si>
  <si>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</si>
  <si>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</si>
  <si>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</si>
  <si>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</si>
  <si>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</si>
  <si>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</si>
  <si>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</si>
  <si>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</si>
  <si>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</si>
  <si>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</si>
  <si>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</si>
  <si>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</si>
  <si>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</si>
  <si>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</si>
  <si>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</si>
  <si>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</si>
  <si>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</si>
  <si>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</si>
  <si>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</si>
  <si>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</si>
  <si>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</si>
  <si>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</si>
  <si>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</si>
  <si>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</si>
  <si>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</si>
  <si>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</si>
  <si>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</si>
  <si>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</si>
  <si>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</si>
  <si>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</si>
  <si>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</si>
  <si>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</si>
  <si>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</si>
  <si>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</si>
  <si>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</si>
  <si>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</si>
  <si>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</si>
  <si>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</si>
  <si>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</si>
  <si>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</si>
  <si>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</si>
  <si>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</si>
  <si>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</si>
  <si>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</si>
  <si>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</si>
  <si>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</si>
  <si>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</si>
  <si>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</si>
  <si>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</si>
  <si>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</si>
  <si>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</si>
  <si>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</si>
  <si>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</si>
  <si>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</si>
  <si>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</si>
  <si>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</si>
  <si>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</si>
  <si>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</si>
  <si>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</si>
  <si>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</si>
  <si>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</si>
  <si>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</si>
  <si>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</si>
  <si>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</si>
  <si>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</si>
  <si>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</si>
  <si>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</si>
  <si>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</si>
  <si>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</si>
  <si>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</si>
  <si>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</si>
  <si>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</si>
  <si>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</si>
  <si>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</si>
  <si>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</si>
  <si>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</si>
  <si>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</si>
  <si>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</si>
  <si>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</si>
  <si>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</si>
  <si>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</si>
  <si>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</si>
  <si>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</si>
  <si>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</si>
  <si>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</si>
  <si>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</si>
  <si>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</si>
  <si>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</si>
  <si>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</si>
  <si>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</si>
  <si>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</si>
  <si>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</si>
  <si>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</si>
  <si>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</si>
  <si>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</si>
  <si>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</si>
  <si>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</si>
  <si>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</si>
  <si>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</si>
  <si>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</si>
  <si>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</si>
  <si>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</si>
  <si>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</si>
  <si>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</si>
  <si>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</si>
  <si>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</si>
  <si>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</si>
  <si>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</si>
  <si>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</si>
  <si>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</si>
  <si>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</si>
  <si>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</si>
  <si>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</si>
  <si>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</si>
  <si>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</si>
  <si>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</si>
  <si>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</si>
  <si>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</si>
  <si>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</si>
  <si>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</si>
  <si>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</si>
  <si>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</si>
  <si>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</si>
  <si>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</si>
  <si>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</si>
  <si>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</si>
  <si>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</si>
  <si>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</si>
  <si>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</si>
  <si>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</si>
  <si>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</si>
  <si>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</si>
  <si>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</si>
  <si>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</si>
  <si>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</si>
  <si>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</si>
  <si>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</si>
  <si>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</si>
  <si>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</si>
  <si>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</si>
  <si>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</si>
  <si>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</si>
  <si>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</si>
  <si>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</si>
  <si>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</si>
  <si>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</si>
  <si>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</si>
  <si>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</si>
  <si>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</si>
  <si>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</si>
  <si>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</si>
  <si>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</si>
  <si>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</si>
  <si>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</si>
  <si>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</si>
  <si>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</si>
  <si>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</si>
  <si>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</si>
  <si>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</si>
  <si>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</si>
  <si>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</si>
  <si>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</si>
  <si>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</si>
  <si>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</si>
  <si>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</si>
  <si>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</si>
  <si>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</si>
  <si>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</si>
  <si>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</si>
  <si>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</si>
  <si>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</si>
  <si>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</si>
  <si>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</si>
  <si>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</si>
  <si>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</si>
  <si>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</si>
  <si>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</si>
  <si>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</si>
  <si>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</si>
  <si>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</si>
  <si>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</si>
  <si>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</si>
  <si>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</si>
  <si>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</si>
  <si>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</si>
  <si>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</si>
  <si>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</si>
  <si>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</si>
  <si>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</si>
  <si>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</si>
  <si>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</si>
  <si>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</si>
  <si>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</si>
  <si>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</si>
  <si>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</si>
  <si>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</si>
  <si>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</si>
  <si>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</si>
  <si>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</si>
  <si>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</si>
  <si>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</si>
  <si>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</si>
  <si>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</si>
  <si>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</si>
  <si>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</si>
  <si>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</si>
  <si>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</si>
  <si>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</si>
  <si>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</si>
  <si>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</si>
  <si>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</si>
  <si>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</si>
  <si>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</si>
  <si>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</si>
  <si>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</si>
  <si>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</si>
  <si>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</si>
  <si>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</si>
  <si>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</si>
  <si>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</si>
  <si>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</si>
  <si>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</si>
  <si>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</si>
  <si>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</si>
  <si>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</si>
  <si>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</si>
  <si>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</si>
  <si>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</si>
  <si>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</si>
  <si>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</si>
  <si>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</si>
  <si>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</si>
  <si>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</si>
  <si>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</si>
  <si>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</si>
  <si>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</si>
  <si>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</si>
  <si>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</si>
  <si>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</si>
  <si>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</si>
  <si>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</si>
  <si>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</si>
  <si>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</si>
  <si>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</si>
  <si>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</si>
  <si>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</si>
  <si>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</si>
  <si>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</si>
  <si>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</si>
  <si>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</si>
  <si>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</si>
  <si>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</si>
  <si>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</si>
  <si>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</si>
  <si>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</si>
  <si>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</si>
  <si>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</si>
  <si>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</si>
  <si>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</si>
  <si>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</si>
  <si>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</si>
  <si>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</si>
  <si>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</si>
  <si>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</si>
  <si>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</si>
  <si>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</si>
  <si>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</si>
  <si>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</si>
  <si>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</si>
  <si>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</si>
  <si>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</si>
  <si>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</si>
  <si>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</si>
  <si>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</si>
  <si>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</si>
  <si>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</si>
  <si>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</si>
  <si>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</si>
  <si>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</si>
  <si>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</si>
  <si>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</si>
  <si>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</si>
  <si>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</si>
  <si>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</si>
  <si>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</si>
  <si>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</si>
  <si>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</si>
  <si>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</si>
  <si>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</si>
  <si>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</si>
  <si>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</si>
  <si>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</si>
  <si>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</si>
  <si>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</si>
  <si>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</si>
  <si>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</si>
  <si>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</si>
  <si>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</si>
  <si>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</si>
  <si>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</si>
  <si>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</si>
  <si>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</si>
  <si>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</si>
  <si>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</si>
  <si>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</si>
  <si>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</si>
  <si>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</si>
  <si>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</si>
  <si>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</si>
  <si>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</si>
  <si>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</si>
  <si>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</si>
  <si>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</si>
  <si>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</si>
  <si>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</si>
  <si>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</si>
  <si>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</si>
  <si>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</si>
  <si>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</si>
  <si>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</si>
  <si>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</si>
  <si>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</si>
  <si>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</si>
  <si>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</si>
  <si>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</si>
  <si>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</si>
  <si>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</si>
  <si>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</si>
  <si>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</si>
  <si>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</si>
  <si>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</si>
  <si>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</si>
  <si>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</si>
  <si>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</si>
  <si>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</si>
  <si>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</si>
  <si>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</si>
  <si>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</si>
  <si>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</si>
  <si>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</si>
  <si>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</si>
  <si>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</si>
  <si>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</si>
  <si>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</si>
  <si>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</si>
  <si>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</si>
  <si>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</si>
  <si>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</si>
  <si>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</si>
  <si>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</si>
  <si>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</si>
  <si>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</si>
  <si>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</si>
  <si>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</si>
  <si>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</si>
  <si>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</si>
  <si>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</si>
  <si>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</si>
  <si>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</si>
  <si>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</si>
  <si>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</si>
  <si>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</si>
  <si>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</si>
  <si>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</si>
  <si>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</si>
  <si>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</si>
  <si>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</si>
  <si>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</si>
  <si>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</si>
  <si>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</si>
  <si>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</si>
  <si>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</si>
  <si>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</si>
  <si>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</si>
  <si>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</si>
  <si>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</si>
  <si>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</si>
  <si>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</si>
  <si>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</si>
  <si>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</si>
  <si>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</si>
  <si>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</si>
  <si>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</si>
  <si>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</si>
  <si>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</si>
  <si>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</si>
  <si>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</si>
  <si>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</si>
  <si>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</si>
  <si>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</si>
  <si>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</si>
  <si>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</si>
  <si>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</si>
  <si>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</si>
  <si>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</si>
  <si>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</si>
  <si>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</si>
  <si>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</si>
  <si>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</si>
  <si>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</si>
  <si>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</si>
  <si>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</si>
  <si>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</si>
  <si>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</si>
  <si>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</si>
  <si>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</si>
  <si>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</si>
  <si>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</si>
  <si>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</si>
  <si>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</si>
  <si>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</si>
  <si>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</si>
  <si>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</si>
  <si>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</si>
  <si>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</si>
  <si>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</si>
  <si>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</si>
  <si>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</si>
  <si>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</si>
  <si>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</si>
  <si>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</si>
  <si>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</si>
  <si>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</si>
  <si>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</si>
  <si>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</si>
  <si>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</si>
  <si>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</si>
  <si>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</si>
  <si>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</si>
  <si>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</si>
  <si>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</si>
  <si>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</si>
  <si>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</si>
  <si>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</si>
  <si>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</si>
  <si>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</si>
  <si>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</si>
  <si>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</si>
  <si>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</si>
  <si>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</si>
  <si>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</si>
  <si>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</si>
  <si>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</si>
  <si>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</si>
  <si>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</si>
  <si>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</si>
  <si>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</si>
  <si>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</si>
  <si>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</si>
  <si>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</si>
  <si>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</si>
  <si>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</si>
  <si>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</si>
  <si>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</si>
  <si>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</si>
  <si>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</si>
  <si>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</si>
  <si>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</si>
  <si>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</si>
  <si>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</si>
  <si>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</si>
  <si>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</si>
  <si>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</si>
  <si>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</si>
  <si>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</si>
  <si>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</si>
  <si>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</si>
  <si>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</si>
  <si>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</si>
  <si>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</si>
  <si>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</si>
  <si>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</si>
  <si>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</si>
  <si>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</si>
  <si>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</si>
  <si>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</si>
  <si>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</si>
  <si>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</si>
  <si>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</si>
  <si>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</si>
  <si>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</si>
  <si>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</si>
  <si>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</si>
  <si>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</si>
  <si>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</si>
  <si>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</si>
  <si>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</si>
  <si>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</si>
  <si>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</si>
  <si>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</si>
  <si>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</si>
  <si>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</si>
  <si>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</si>
  <si>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</si>
  <si>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</si>
  <si>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</si>
  <si>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</si>
  <si>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</si>
  <si>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</si>
  <si>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</si>
  <si>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</si>
  <si>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</si>
  <si>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</si>
  <si>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</si>
  <si>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</si>
  <si>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</si>
  <si>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</si>
  <si>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</si>
  <si>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</si>
  <si>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</si>
  <si>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</si>
  <si>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</si>
  <si>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</si>
  <si>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</si>
  <si>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</si>
  <si>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</si>
  <si>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</si>
  <si>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</si>
  <si>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</si>
  <si>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</si>
  <si>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</si>
  <si>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</si>
  <si>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</si>
  <si>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</si>
  <si>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</si>
  <si>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</si>
  <si>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</si>
  <si>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</si>
  <si>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</si>
  <si>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</si>
  <si>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</si>
  <si>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</si>
  <si>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</si>
  <si>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</si>
  <si>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</si>
  <si>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</si>
  <si>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</si>
  <si>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</si>
  <si>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</si>
  <si>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</si>
  <si>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</si>
  <si>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</si>
  <si>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</si>
  <si>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</si>
  <si>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</si>
  <si>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</si>
  <si>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</si>
  <si>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</si>
  <si>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</si>
  <si>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</si>
  <si>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</si>
  <si>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</si>
  <si>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</si>
  <si>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</si>
  <si>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</si>
  <si>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</si>
  <si>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</si>
  <si>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</si>
  <si>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</si>
  <si>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</si>
  <si>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</si>
  <si>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</si>
  <si>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</si>
  <si>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</si>
  <si>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</si>
  <si>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</si>
  <si>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</si>
  <si>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</si>
  <si>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</si>
  <si>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</si>
  <si>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</si>
  <si>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</si>
  <si>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</si>
  <si>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</si>
  <si>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</si>
  <si>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</si>
  <si>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</si>
  <si>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</si>
  <si>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</si>
  <si>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</si>
  <si>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</si>
  <si>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</si>
  <si>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</si>
  <si>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</si>
  <si>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</si>
  <si>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</si>
  <si>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</si>
  <si>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</si>
  <si>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</si>
  <si>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</si>
  <si>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</si>
  <si>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</si>
  <si>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</si>
  <si>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</si>
  <si>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</si>
  <si>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</si>
  <si>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</si>
  <si>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</si>
  <si>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</si>
  <si>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</si>
  <si>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</si>
  <si>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</si>
  <si>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</si>
  <si>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</si>
  <si>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</si>
  <si>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</si>
  <si>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</si>
  <si>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</si>
  <si>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</si>
  <si>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</si>
  <si>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</si>
  <si>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</si>
  <si>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</si>
  <si>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</si>
  <si>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</si>
  <si>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</si>
  <si>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</si>
  <si>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</si>
  <si>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</si>
  <si>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</si>
  <si>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</si>
  <si>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</si>
  <si>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</si>
  <si>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</si>
  <si>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</si>
  <si>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</si>
  <si>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</si>
  <si>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</si>
  <si>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</si>
  <si>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</si>
  <si>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</si>
  <si>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</si>
  <si>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</si>
  <si>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</si>
  <si>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</si>
  <si>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</si>
  <si>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</si>
  <si>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</si>
  <si>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</si>
  <si>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</si>
  <si>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</si>
  <si>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</si>
  <si>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</si>
  <si>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</si>
  <si>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</si>
  <si>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</si>
  <si>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</si>
  <si>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</si>
  <si>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</si>
  <si>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</si>
  <si>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</si>
  <si>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</si>
  <si>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</si>
  <si>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</si>
  <si>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</si>
  <si>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</si>
  <si>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</si>
  <si>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</si>
  <si>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</si>
  <si>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</si>
  <si>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</si>
  <si>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</si>
  <si>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</si>
  <si>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</si>
  <si>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</si>
  <si>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</si>
  <si>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</si>
  <si>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</si>
  <si>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</si>
  <si>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</si>
  <si>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</si>
  <si>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</si>
  <si>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</si>
  <si>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</si>
  <si>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</si>
  <si>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</si>
  <si>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</si>
  <si>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</si>
  <si>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</si>
  <si>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</si>
  <si>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</si>
  <si>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</si>
  <si>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</si>
  <si>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</si>
  <si>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</si>
  <si>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</si>
  <si>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</si>
  <si>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</si>
  <si>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</si>
  <si>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</si>
  <si>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</si>
  <si>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</si>
  <si>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</si>
  <si>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</si>
  <si>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</si>
  <si>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</si>
  <si>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</si>
  <si>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</si>
  <si>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</si>
  <si>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</si>
  <si>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</si>
  <si>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</si>
  <si>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</si>
  <si>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</si>
  <si>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</si>
  <si>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</si>
  <si>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</si>
  <si>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</si>
  <si>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</si>
  <si>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</si>
  <si>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</si>
  <si>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</si>
  <si>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</si>
  <si>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</si>
  <si>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</si>
  <si>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</si>
  <si>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</si>
  <si>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</si>
  <si>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</si>
  <si>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</si>
  <si>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</si>
  <si>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</si>
  <si>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</si>
  <si>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</si>
  <si>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</si>
  <si>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</si>
  <si>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</si>
  <si>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</si>
  <si>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</si>
  <si>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</si>
  <si>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</si>
  <si>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</si>
  <si>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</si>
  <si>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</si>
  <si>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</si>
  <si>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</si>
  <si>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</si>
  <si>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</si>
  <si>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</si>
  <si>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</si>
  <si>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</si>
  <si>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</si>
  <si>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</si>
  <si>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</si>
  <si>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</si>
  <si>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</si>
  <si>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</si>
  <si>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</si>
  <si>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</si>
  <si>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</si>
  <si>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</si>
  <si>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</si>
  <si>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</si>
  <si>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</si>
  <si>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</si>
  <si>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</si>
  <si>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</si>
  <si>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</si>
  <si>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</si>
  <si>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</si>
  <si>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</si>
  <si>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</si>
  <si>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</si>
  <si>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</si>
  <si>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</si>
  <si>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</si>
  <si>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</si>
  <si>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</si>
  <si>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</si>
  <si>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</si>
  <si>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</si>
  <si>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</si>
  <si>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</si>
  <si>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</si>
  <si>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</si>
  <si>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</si>
  <si>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</si>
  <si>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</si>
  <si>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</si>
  <si>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</si>
  <si>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</si>
  <si>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</si>
  <si>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</si>
  <si>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</si>
  <si>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</si>
  <si>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</si>
  <si>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</si>
  <si>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</si>
  <si>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</si>
  <si>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</si>
  <si>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</si>
  <si>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</si>
  <si>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</si>
  <si>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</si>
  <si>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</si>
  <si>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</si>
  <si>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</si>
  <si>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</si>
  <si>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</si>
  <si>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</si>
  <si>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</si>
  <si>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</si>
  <si>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</si>
  <si>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</si>
  <si>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</si>
  <si>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</si>
  <si>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</si>
  <si>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</si>
  <si>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</si>
  <si>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</si>
  <si>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</si>
  <si>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</si>
  <si>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</si>
  <si>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</si>
  <si>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</si>
  <si>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</si>
  <si>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</si>
  <si>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</si>
  <si>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</si>
  <si>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</si>
  <si>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</si>
  <si>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</si>
  <si>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</si>
  <si>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</si>
  <si>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</si>
  <si>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</si>
  <si>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</si>
  <si>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</si>
  <si>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</si>
  <si>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</si>
  <si>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</si>
  <si>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</si>
  <si>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</si>
  <si>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</si>
  <si>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</si>
  <si>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</si>
  <si>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</si>
  <si>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</si>
  <si>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</si>
  <si>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</si>
  <si>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</si>
  <si>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</si>
  <si>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</si>
  <si>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</si>
  <si>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</si>
  <si>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</si>
  <si>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</si>
  <si>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</si>
  <si>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</si>
  <si>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</si>
  <si>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</si>
  <si>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</si>
  <si>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</si>
  <si>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</si>
  <si>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</si>
  <si>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</si>
  <si>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</si>
  <si>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</si>
  <si>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</si>
  <si>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</si>
  <si>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</si>
  <si>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</si>
  <si>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</si>
  <si>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</si>
  <si>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</si>
  <si>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</si>
  <si>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</si>
  <si>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</si>
  <si>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</si>
  <si>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</si>
  <si>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</si>
  <si>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</si>
  <si>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</si>
  <si>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</si>
  <si>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</si>
  <si>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</si>
  <si>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</si>
  <si>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</si>
  <si>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</si>
  <si>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</si>
  <si>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</si>
  <si>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</si>
  <si>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</si>
  <si>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</si>
  <si>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</si>
  <si>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</si>
  <si>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</si>
  <si>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</si>
  <si>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</si>
  <si>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</si>
  <si>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</si>
  <si>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</si>
  <si>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</si>
  <si>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</si>
  <si>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</si>
  <si>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</si>
  <si>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</si>
  <si>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</si>
  <si>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</si>
  <si>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</si>
  <si>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</si>
  <si>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</si>
  <si>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</si>
  <si>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</si>
  <si>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</si>
  <si>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</si>
  <si>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</si>
  <si>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</si>
  <si>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</si>
  <si>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</si>
  <si>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</si>
  <si>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</si>
  <si>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</si>
  <si>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</si>
  <si>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</si>
  <si>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</si>
  <si>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</si>
  <si>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</si>
  <si>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</si>
  <si>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</si>
  <si>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</si>
  <si>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</si>
  <si>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</si>
  <si>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</si>
  <si>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</si>
  <si>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</si>
  <si>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</si>
  <si>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</si>
  <si>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</si>
  <si>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</si>
  <si>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</si>
  <si>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</si>
  <si>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</si>
  <si>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</si>
  <si>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</si>
  <si>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</si>
  <si>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</si>
  <si>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</si>
  <si>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</si>
  <si>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</si>
  <si>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</si>
  <si>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</si>
  <si>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</si>
  <si>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</si>
  <si>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</si>
  <si>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</si>
  <si>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</si>
  <si>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</si>
  <si>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</si>
  <si>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</si>
  <si>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</si>
  <si>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</si>
  <si>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</si>
  <si>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</si>
  <si>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</si>
  <si>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</si>
  <si>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</si>
  <si>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</si>
  <si>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</si>
  <si>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</si>
  <si>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</si>
  <si>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</si>
  <si>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</si>
  <si>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</si>
  <si>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</si>
  <si>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</si>
  <si>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</si>
  <si>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</si>
  <si>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</si>
  <si>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</si>
  <si>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</si>
  <si>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</si>
  <si>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</si>
  <si>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</si>
  <si>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</si>
  <si>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</si>
  <si>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</si>
  <si>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</si>
  <si>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</si>
  <si>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</si>
  <si>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</si>
  <si>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</si>
  <si>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</si>
  <si>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</si>
  <si>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</si>
  <si>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</si>
  <si>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</si>
  <si>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</si>
  <si>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</si>
  <si>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</si>
  <si>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</si>
  <si>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</si>
  <si>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</si>
  <si>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</si>
  <si>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</si>
  <si>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</si>
  <si>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</si>
  <si>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</si>
  <si>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</si>
  <si>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</si>
  <si>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</si>
  <si>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</si>
  <si>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</si>
  <si>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</si>
  <si>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</si>
  <si>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</si>
  <si>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</si>
  <si>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</si>
  <si>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</si>
  <si>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</si>
  <si>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</si>
  <si>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</si>
  <si>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</si>
  <si>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</si>
  <si>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</si>
  <si>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</si>
  <si>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</si>
  <si>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</si>
  <si>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</si>
  <si>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</si>
  <si>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</si>
  <si>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</si>
  <si>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</si>
  <si>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</si>
  <si>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</si>
  <si>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</si>
  <si>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</si>
  <si>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</si>
  <si>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</si>
  <si>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</si>
  <si>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</si>
  <si>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</si>
  <si>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</si>
  <si>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</si>
  <si>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</si>
  <si>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</si>
  <si>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</si>
  <si>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</si>
  <si>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</si>
  <si>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</si>
  <si>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</si>
  <si>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</si>
  <si>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</si>
  <si>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</si>
  <si>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</si>
  <si>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</si>
  <si>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</si>
  <si>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</si>
  <si>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</si>
  <si>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</si>
  <si>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</si>
  <si>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</si>
  <si>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</si>
  <si>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</si>
  <si>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</si>
  <si>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</si>
  <si>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</si>
  <si>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</si>
  <si>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</si>
  <si>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</si>
  <si>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</si>
  <si>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</si>
  <si>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</si>
  <si>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</si>
  <si>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</si>
  <si>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</si>
  <si>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</si>
  <si>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</si>
  <si>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</si>
  <si>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</si>
  <si>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</si>
  <si>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</si>
  <si>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</si>
  <si>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</si>
  <si>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</si>
  <si>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</si>
  <si>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</si>
  <si>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</si>
  <si>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</si>
  <si>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</si>
  <si>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</si>
  <si>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</si>
  <si>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</si>
  <si>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</si>
  <si>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</si>
  <si>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</si>
  <si>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</si>
  <si>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</si>
  <si>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</si>
  <si>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</si>
  <si>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</si>
  <si>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</si>
  <si>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</si>
  <si>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</si>
  <si>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</si>
  <si>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</si>
  <si>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</si>
  <si>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</si>
  <si>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</si>
  <si>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</si>
  <si>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</si>
  <si>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</si>
  <si>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</si>
  <si>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</si>
  <si>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</si>
  <si>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</si>
  <si>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</si>
  <si>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</si>
  <si>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</si>
  <si>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</si>
  <si>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</si>
  <si>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</si>
  <si>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</si>
  <si>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</si>
  <si>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</si>
  <si>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</si>
  <si>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</si>
  <si>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</si>
  <si>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</si>
  <si>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</si>
  <si>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</si>
  <si>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</si>
  <si>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</si>
  <si>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</si>
  <si>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</si>
  <si>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</si>
  <si>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</si>
  <si>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</si>
  <si>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</si>
  <si>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</si>
  <si>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</si>
  <si>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</si>
  <si>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</si>
  <si>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</si>
  <si>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</si>
  <si>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</si>
  <si>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</si>
  <si>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</si>
  <si>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</si>
  <si>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</si>
  <si>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</si>
  <si>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</si>
  <si>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</si>
  <si>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</si>
  <si>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</si>
  <si>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</si>
  <si>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</si>
  <si>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</si>
  <si>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</si>
  <si>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</si>
  <si>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</si>
  <si>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</si>
  <si>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</si>
  <si>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</si>
  <si>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</si>
  <si>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</si>
  <si>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</si>
  <si>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</si>
  <si>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</si>
  <si>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</si>
  <si>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</si>
  <si>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</si>
  <si>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</si>
  <si>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</si>
  <si>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</si>
  <si>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</si>
  <si>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</si>
  <si>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</si>
  <si>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</si>
  <si>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</si>
  <si>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</si>
  <si>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</si>
  <si>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</si>
  <si>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</si>
  <si>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</si>
  <si>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</si>
  <si>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</si>
  <si>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</si>
  <si>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</si>
  <si>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</si>
  <si>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</si>
  <si>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</si>
  <si>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</si>
  <si>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</si>
  <si>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</si>
  <si>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</si>
  <si>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</si>
  <si>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</si>
  <si>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</si>
  <si>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</si>
  <si>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</si>
  <si>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</si>
  <si>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</si>
  <si>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</si>
  <si>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</si>
  <si>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</si>
  <si>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</si>
  <si>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</si>
  <si>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</si>
  <si>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</si>
  <si>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</si>
  <si>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</si>
  <si>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</si>
  <si>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</si>
  <si>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</si>
  <si>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</si>
  <si>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</si>
  <si>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</si>
  <si>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</si>
  <si>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</si>
  <si>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</si>
  <si>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</si>
  <si>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</si>
  <si>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</si>
  <si>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</si>
  <si>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</si>
  <si>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</si>
  <si>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</si>
  <si>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</si>
  <si>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</si>
  <si>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</si>
  <si>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</si>
  <si>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</si>
  <si>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</si>
  <si>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</si>
  <si>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</si>
  <si>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</si>
  <si>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</si>
  <si>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</si>
  <si>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</si>
  <si>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</si>
  <si>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</si>
  <si>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</si>
  <si>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</si>
  <si>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</si>
  <si>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</si>
  <si>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</si>
  <si>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</si>
  <si>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</si>
  <si>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</si>
  <si>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</si>
  <si>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</si>
  <si>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</si>
  <si>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</si>
  <si>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</si>
  <si>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</si>
  <si>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</si>
  <si>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</si>
  <si>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</si>
  <si>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</si>
  <si>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</si>
  <si>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</si>
  <si>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</si>
  <si>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</si>
  <si>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</si>
  <si>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</si>
  <si>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</si>
  <si>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</si>
  <si>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</si>
  <si>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</si>
  <si>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</si>
  <si>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</si>
  <si>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</si>
  <si>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</si>
  <si>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</si>
  <si>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</si>
  <si>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</si>
  <si>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</si>
  <si>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</si>
  <si>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</si>
  <si>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</si>
  <si>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</si>
  <si>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</si>
  <si>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</si>
  <si>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</si>
  <si>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</si>
  <si>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</si>
  <si>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</si>
  <si>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</si>
  <si>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</si>
  <si>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</si>
  <si>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</si>
  <si>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</si>
  <si>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</si>
  <si>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</si>
  <si>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</si>
  <si>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</si>
  <si>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</si>
  <si>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</si>
  <si>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</si>
  <si>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</si>
  <si>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</si>
  <si>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</si>
  <si>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</si>
  <si>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</si>
  <si>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</si>
  <si>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</si>
  <si>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</si>
  <si>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</si>
  <si>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</si>
  <si>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</si>
  <si>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</si>
  <si>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</si>
  <si>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</si>
  <si>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</si>
  <si>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</si>
  <si>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</si>
  <si>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</si>
  <si>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</si>
  <si>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</si>
  <si>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</si>
  <si>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</si>
  <si>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</si>
  <si>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</si>
  <si>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</si>
  <si>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</si>
  <si>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</si>
  <si>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</si>
  <si>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</si>
  <si>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</si>
  <si>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</si>
  <si>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</si>
  <si>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</si>
  <si>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</si>
  <si>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</si>
  <si>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</si>
  <si>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</si>
  <si>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</si>
  <si>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</si>
  <si>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</si>
  <si>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</si>
  <si>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</si>
  <si>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</si>
  <si>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</si>
  <si>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</si>
  <si>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</si>
  <si>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</si>
  <si>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</si>
  <si>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</si>
  <si>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</si>
  <si>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</si>
  <si>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</si>
  <si>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</si>
  <si>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</si>
  <si>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</si>
  <si>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</si>
  <si>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</si>
  <si>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</si>
  <si>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</si>
  <si>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</si>
  <si>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</si>
  <si>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</si>
  <si>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</si>
  <si>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</si>
  <si>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</si>
  <si>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</si>
  <si>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</si>
  <si>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</si>
  <si>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</si>
  <si>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</si>
  <si>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</si>
  <si>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</si>
  <si>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</si>
  <si>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</si>
  <si>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</si>
  <si>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</si>
  <si>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</si>
  <si>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</si>
  <si>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</si>
  <si>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</si>
  <si>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</si>
  <si>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</si>
  <si>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</si>
  <si>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</si>
  <si>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</si>
  <si>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</si>
  <si>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</si>
  <si>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</si>
  <si>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</si>
  <si>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</si>
  <si>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</si>
  <si>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</si>
  <si>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</si>
  <si>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</si>
  <si>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</si>
  <si>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</si>
  <si>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</si>
  <si>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</si>
  <si>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</si>
  <si>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</si>
  <si>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</si>
  <si>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</si>
  <si>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</si>
  <si>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</si>
  <si>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</si>
  <si>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</si>
  <si>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</si>
  <si>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</si>
  <si>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</si>
  <si>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</si>
  <si>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</si>
  <si>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</si>
  <si>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</si>
  <si>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</si>
  <si>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</si>
  <si>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</si>
  <si>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</si>
  <si>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</si>
  <si>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</si>
  <si>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</si>
  <si>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</si>
  <si>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</si>
  <si>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</si>
  <si>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</si>
  <si>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</si>
  <si>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</si>
  <si>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</si>
  <si>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</si>
  <si>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</si>
  <si>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</si>
  <si>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</si>
  <si>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</si>
  <si>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</si>
  <si>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</si>
  <si>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</si>
  <si>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</si>
  <si>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</si>
  <si>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</si>
  <si>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</si>
  <si>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</si>
  <si>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</si>
  <si>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</si>
  <si>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</si>
  <si>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</si>
  <si>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</si>
  <si>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</si>
  <si>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</si>
  <si>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</si>
  <si>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</si>
  <si>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</si>
  <si>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</si>
  <si>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</si>
  <si>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</si>
  <si>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</si>
  <si>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</si>
  <si>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</si>
  <si>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</si>
  <si>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</si>
  <si>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</si>
  <si>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</si>
  <si>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</si>
  <si>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</si>
  <si>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</si>
  <si>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</si>
  <si>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</si>
  <si>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</si>
  <si>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</si>
  <si>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</si>
  <si>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</si>
  <si>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</si>
  <si>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</si>
  <si>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</si>
  <si>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</si>
  <si>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</si>
  <si>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</si>
  <si>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</si>
  <si>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</si>
  <si>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</si>
  <si>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</si>
  <si>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</si>
  <si>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</si>
  <si>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</si>
  <si>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</si>
  <si>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</si>
  <si>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</si>
  <si>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</si>
  <si>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</si>
  <si>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</si>
  <si>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</si>
  <si>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</si>
  <si>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</si>
  <si>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</si>
  <si>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</si>
  <si>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</si>
  <si>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</si>
  <si>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</si>
  <si>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</si>
  <si>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</si>
  <si>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</si>
  <si>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</si>
  <si>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</si>
  <si>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</si>
  <si>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</si>
  <si>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</si>
  <si>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</si>
  <si>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</si>
  <si>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</si>
  <si>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</si>
  <si>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</si>
  <si>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</si>
  <si>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</si>
  <si>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</si>
  <si>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</si>
  <si>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</si>
  <si>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</si>
  <si>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</si>
  <si>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</si>
  <si>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</si>
  <si>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</si>
  <si>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</si>
  <si>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</si>
  <si>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</si>
  <si>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</si>
  <si>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</si>
  <si>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</si>
  <si>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</si>
  <si>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</si>
  <si>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</si>
  <si>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</si>
  <si>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</si>
  <si>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</si>
  <si>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</si>
  <si>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</si>
  <si>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</si>
  <si>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</si>
  <si>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</si>
  <si>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</si>
  <si>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</si>
  <si>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</si>
  <si>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</si>
  <si>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</si>
  <si>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</si>
  <si>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</si>
  <si>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</si>
  <si>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</si>
  <si>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</si>
  <si>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</si>
  <si>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</si>
  <si>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</si>
  <si>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</si>
  <si>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</si>
  <si>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</si>
  <si>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</si>
  <si>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</si>
  <si>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</si>
  <si>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</si>
  <si>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</si>
  <si>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</si>
  <si>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</si>
  <si>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</si>
  <si>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</si>
  <si>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</si>
  <si>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</si>
  <si>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</si>
  <si>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</si>
  <si>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</si>
  <si>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</si>
  <si>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</si>
  <si>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</si>
  <si>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</si>
  <si>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</si>
  <si>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</si>
  <si>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</si>
  <si>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</si>
  <si>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</si>
  <si>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</si>
  <si>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</si>
  <si>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</si>
  <si>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</si>
  <si>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</si>
  <si>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</si>
  <si>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</si>
  <si>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</si>
  <si>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</si>
  <si>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</si>
  <si>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</si>
  <si>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</si>
  <si>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</si>
  <si>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</si>
  <si>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</si>
  <si>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</si>
  <si>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</si>
  <si>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</si>
  <si>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</si>
  <si>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</si>
  <si>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</si>
  <si>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</si>
  <si>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</si>
  <si>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</si>
  <si>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</si>
  <si>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</si>
  <si>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</si>
  <si>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</si>
  <si>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</si>
  <si>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</si>
  <si>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</si>
  <si>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</si>
  <si>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</si>
  <si>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</si>
  <si>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</si>
  <si>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</si>
  <si>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</si>
  <si>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</si>
  <si>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</si>
  <si>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</si>
  <si>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</si>
  <si>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</si>
  <si>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</si>
  <si>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</si>
  <si>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</si>
  <si>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</si>
  <si>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</si>
  <si>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</si>
  <si>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</si>
  <si>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</si>
  <si>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</si>
  <si>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</si>
  <si>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</si>
  <si>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</si>
  <si>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</si>
  <si>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</si>
  <si>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</si>
  <si>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</si>
  <si>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</si>
  <si>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</si>
  <si>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</si>
  <si>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</si>
  <si>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</si>
  <si>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</si>
  <si>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</si>
  <si>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</si>
  <si>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</si>
  <si>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</si>
  <si>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</si>
  <si>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</si>
  <si>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</si>
  <si>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</si>
  <si>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</si>
  <si>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</si>
  <si>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</si>
  <si>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</si>
  <si>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</si>
  <si>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</si>
  <si>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</si>
  <si>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</si>
  <si>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</si>
  <si>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</si>
  <si>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</si>
  <si>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</si>
  <si>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</si>
  <si>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</si>
  <si>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</si>
  <si>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</si>
  <si>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</si>
  <si>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</si>
  <si>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</si>
  <si>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</si>
  <si>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</si>
  <si>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</si>
  <si>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</si>
  <si>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</si>
  <si>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</si>
  <si>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</si>
  <si>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</si>
  <si>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</si>
  <si>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</si>
  <si>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</si>
  <si>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</si>
  <si>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</si>
  <si>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</si>
  <si>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</si>
  <si>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</si>
  <si>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</si>
  <si>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</si>
  <si>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</si>
  <si>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</si>
  <si>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</si>
  <si>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</si>
  <si>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</si>
  <si>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</si>
  <si>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</si>
  <si>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</si>
  <si>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</si>
  <si>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</si>
  <si>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</si>
  <si>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</si>
  <si>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</si>
  <si>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</si>
  <si>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</si>
  <si>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</si>
  <si>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</si>
  <si>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</si>
  <si>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</si>
  <si>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</si>
  <si>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</si>
  <si>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</si>
  <si>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</si>
  <si>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</si>
  <si>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</si>
  <si>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</si>
  <si>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</si>
  <si>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</si>
  <si>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</si>
  <si>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</si>
  <si>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</si>
  <si>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</si>
  <si>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</si>
  <si>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</si>
  <si>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</si>
  <si>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</si>
  <si>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</si>
  <si>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</si>
  <si>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</si>
  <si>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</si>
  <si>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</si>
  <si>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</si>
  <si>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</si>
  <si>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</si>
  <si>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</si>
  <si>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</si>
  <si>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</si>
  <si>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</si>
  <si>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</si>
  <si>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</si>
  <si>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</si>
  <si>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</si>
  <si>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</si>
  <si>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</si>
  <si>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</si>
  <si>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</si>
  <si>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</si>
  <si>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</si>
  <si>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</si>
  <si>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</si>
  <si>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</si>
  <si>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</si>
  <si>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</si>
  <si>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</si>
  <si>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</si>
  <si>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</si>
  <si>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</si>
  <si>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</si>
  <si>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</si>
  <si>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</si>
  <si>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</si>
  <si>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</si>
  <si>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</si>
  <si>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</si>
  <si>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</si>
  <si>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</si>
  <si>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</si>
  <si>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</si>
  <si>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</si>
  <si>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</si>
  <si>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</si>
  <si>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</si>
  <si>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</si>
  <si>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</si>
  <si>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</si>
  <si>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</si>
  <si>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</si>
  <si>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</si>
  <si>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</si>
  <si>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</si>
  <si>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</si>
  <si>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</si>
  <si>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</si>
  <si>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</si>
  <si>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</si>
  <si>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</si>
  <si>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</si>
  <si>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</si>
  <si>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</si>
  <si>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</si>
  <si>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</si>
  <si>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</si>
  <si>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</si>
  <si>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</si>
  <si>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</si>
  <si>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</si>
  <si>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</si>
  <si>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</si>
  <si>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</si>
  <si>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</si>
  <si>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</si>
  <si>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</si>
  <si>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</si>
  <si>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</si>
  <si>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</si>
  <si>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</si>
  <si>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</si>
  <si>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</si>
  <si>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</si>
  <si>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</si>
  <si>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</si>
  <si>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</si>
  <si>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</si>
  <si>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</si>
  <si>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 xml:space="preserve"> </t>
  </si>
  <si>
    <t>NO COUPON</t>
  </si>
  <si>
    <t>Median</t>
  </si>
  <si>
    <t>Mean</t>
  </si>
  <si>
    <t>Total Orders</t>
  </si>
  <si>
    <t>Grand Total</t>
  </si>
  <si>
    <t>Sum of TotalPrice</t>
  </si>
  <si>
    <t>Most Selling Product</t>
  </si>
  <si>
    <t>Revenue by Product</t>
  </si>
  <si>
    <t>Payment Method</t>
  </si>
  <si>
    <t>Most used payment Method</t>
  </si>
  <si>
    <t>Top Referral Source</t>
  </si>
  <si>
    <t>Sum of Quantity</t>
  </si>
  <si>
    <t>Most Frequent Orderstatus</t>
  </si>
  <si>
    <t>2023</t>
  </si>
  <si>
    <t>2024</t>
  </si>
  <si>
    <t>2025</t>
  </si>
  <si>
    <t>Sales Overtime</t>
  </si>
  <si>
    <t>Average Items per cart</t>
  </si>
  <si>
    <t>Average of Quantity</t>
  </si>
  <si>
    <t>Order with unsual high price</t>
  </si>
  <si>
    <t xml:space="preserve">Cost of orders </t>
  </si>
  <si>
    <t>Average of UnitPrice</t>
  </si>
  <si>
    <t>Product with unsual high price</t>
  </si>
  <si>
    <t>Orders with Unsual quantity</t>
  </si>
  <si>
    <t>Revenue</t>
  </si>
  <si>
    <t xml:space="preserve"> Quantity</t>
  </si>
  <si>
    <t>Average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</si>
</sst>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&quot;₦&quot;#,##0.00"/>
    <numFmt numFmtId="166" formatCode="0.0"/>
    <numFmt numFmtId="167" formatCode="0.0%"/>
    <numFmt numFmtId="168" formatCode="&quot;₦&quot;#,##0.0"/>
    <numFmt numFmtId="173" formatCode="&quot;₦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2" xfId="0" applyNumberFormat="1" applyFont="1" applyBorder="1" applyAlignment="1">
      <alignment horizontal="center" vertical="top"/>
    </xf>
    <xf numFmtId="14" fontId="0" fillId="0" borderId="0" xfId="0" applyNumberFormat="1"/>
    <xf numFmtId="49" fontId="1" fillId="0" borderId="2" xfId="0" applyNumberFormat="1" applyFont="1" applyBorder="1" applyAlignment="1">
      <alignment horizontal="center" vertical="top"/>
    </xf>
    <xf numFmtId="49" fontId="0" fillId="0" borderId="0" xfId="0" applyNumberFormat="1"/>
    <xf numFmtId="2" fontId="1" fillId="0" borderId="2" xfId="0" applyNumberFormat="1" applyFont="1" applyBorder="1" applyAlignment="1">
      <alignment horizontal="center" vertical="top"/>
    </xf>
    <xf numFmtId="2" fontId="0" fillId="0" borderId="0" xfId="0" applyNumberFormat="1"/>
    <xf numFmtId="165" fontId="1" fillId="0" borderId="2" xfId="0" applyNumberFormat="1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" fontId="1" fillId="0" borderId="2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7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42">
    <dxf>
      <numFmt numFmtId="168" formatCode="&quot;₦&quot;#,##0.0"/>
    </dxf>
    <dxf>
      <numFmt numFmtId="173" formatCode="&quot;₦&quot;#,##0"/>
    </dxf>
    <dxf>
      <numFmt numFmtId="1" formatCode="0"/>
    </dxf>
    <dxf>
      <numFmt numFmtId="173" formatCode="&quot;₦&quot;#,##0"/>
    </dxf>
    <dxf>
      <numFmt numFmtId="2" formatCode="0.00"/>
    </dxf>
    <dxf>
      <numFmt numFmtId="168" formatCode="&quot;₦&quot;#,##0.0"/>
    </dxf>
    <dxf>
      <numFmt numFmtId="168" formatCode="&quot;₦&quot;#,##0.0"/>
    </dxf>
    <dxf>
      <numFmt numFmtId="165" formatCode="&quot;₦&quot;#,##0.00"/>
    </dxf>
    <dxf>
      <numFmt numFmtId="165" formatCode="&quot;₦&quot;#,##0.00"/>
    </dxf>
    <dxf>
      <numFmt numFmtId="167" formatCode="0.0%"/>
    </dxf>
    <dxf>
      <numFmt numFmtId="166" formatCode="0.0"/>
    </dxf>
    <dxf>
      <numFmt numFmtId="165" formatCode="&quot;₦&quot;#,##0.00"/>
    </dxf>
    <dxf>
      <numFmt numFmtId="165" formatCode="&quot;₦&quot;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5" formatCode="&quot;₦&quot;#,##0.00"/>
    </dxf>
    <dxf>
      <numFmt numFmtId="165" formatCode="&quot;₦&quot;#,##0.0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CADDE3"/>
      <color rgb="FF83B0BE"/>
      <color rgb="FF4E8EA2"/>
      <color rgb="FF1A344D"/>
      <color rgb="FF4D6174"/>
      <color rgb="FFC4DCEB"/>
      <color rgb="FFBDD8E9"/>
      <color rgb="FF97ADBA"/>
      <color rgb="FFEBF3F8"/>
      <color rgb="FFAAC2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result decodelabs1.xlsx]Analysis!PivotTable14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dLbl>
      </c:pivotFmt>
      <c:pivotFmt>
        <c:idx val="2"/>
        <c:spPr>
          <a:solidFill>
            <a:srgbClr val="BDD8E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DD8E9"/>
            </a:solidFill>
            <a:ln>
              <a:noFill/>
            </a:ln>
            <a:effectLst/>
          </c:spPr>
          <c:invertIfNegative val="0"/>
          <c:cat>
            <c:strRef>
              <c:f>Analysis!$A$3:$A$10</c:f>
              <c:strCache>
                <c:ptCount val="7"/>
                <c:pt idx="0">
                  <c:v>Phone</c:v>
                </c:pt>
                <c:pt idx="1">
                  <c:v>Monitor</c:v>
                </c:pt>
                <c:pt idx="2">
                  <c:v>Tablet</c:v>
                </c:pt>
                <c:pt idx="3">
                  <c:v>Desk</c:v>
                </c:pt>
                <c:pt idx="4">
                  <c:v>Laptop</c:v>
                </c:pt>
                <c:pt idx="5">
                  <c:v>Printer</c:v>
                </c:pt>
                <c:pt idx="6">
                  <c:v>Chair</c:v>
                </c:pt>
              </c:strCache>
            </c:strRef>
          </c:cat>
          <c:val>
            <c:numRef>
              <c:f>Analysis!$B$3:$B$10</c:f>
              <c:numCache>
                <c:formatCode>General</c:formatCode>
                <c:ptCount val="7"/>
                <c:pt idx="0">
                  <c:v>411</c:v>
                </c:pt>
                <c:pt idx="1">
                  <c:v>480</c:v>
                </c:pt>
                <c:pt idx="2">
                  <c:v>497</c:v>
                </c:pt>
                <c:pt idx="3">
                  <c:v>508</c:v>
                </c:pt>
                <c:pt idx="4">
                  <c:v>535</c:v>
                </c:pt>
                <c:pt idx="5">
                  <c:v>542</c:v>
                </c:pt>
                <c:pt idx="6">
                  <c:v>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9-46C1-B804-701573A39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0129935"/>
        <c:axId val="900123695"/>
      </c:barChart>
      <c:catAx>
        <c:axId val="9001299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00123695"/>
        <c:crosses val="autoZero"/>
        <c:auto val="1"/>
        <c:lblAlgn val="ctr"/>
        <c:lblOffset val="100"/>
        <c:noMultiLvlLbl val="0"/>
      </c:catAx>
      <c:valAx>
        <c:axId val="900123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0012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bg1">
              <a:lumMod val="85000"/>
            </a:schemeClr>
          </a:solidFill>
        </a:defRPr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result decodelabs1.xlsx]Analysis!PivotTable16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DD8E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DD8E9"/>
            </a:solidFill>
            <a:ln>
              <a:noFill/>
            </a:ln>
            <a:effectLst/>
          </c:spPr>
          <c:invertIfNegative val="0"/>
          <c:cat>
            <c:strRef>
              <c:f>Analysis!$D$3:$D$10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Analysis!$E$3:$E$10</c:f>
              <c:numCache>
                <c:formatCode>"₦"#,##0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3-40D2-ABF9-D19BD3314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4893823"/>
        <c:axId val="894892159"/>
      </c:barChart>
      <c:catAx>
        <c:axId val="89489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94892159"/>
        <c:crosses val="autoZero"/>
        <c:auto val="1"/>
        <c:lblAlgn val="ctr"/>
        <c:lblOffset val="100"/>
        <c:noMultiLvlLbl val="0"/>
      </c:catAx>
      <c:valAx>
        <c:axId val="894892159"/>
        <c:scaling>
          <c:orientation val="minMax"/>
        </c:scaling>
        <c:delete val="0"/>
        <c:axPos val="l"/>
        <c:numFmt formatCode="&quot;₦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9489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result decodelabs1.xlsx]Analysis!PivotTable17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BF3F8"/>
          </a:solidFill>
          <a:ln w="19050">
            <a:noFill/>
          </a:ln>
          <a:effectLst/>
        </c:spPr>
      </c:pivotFmt>
      <c:pivotFmt>
        <c:idx val="8"/>
        <c:spPr>
          <a:solidFill>
            <a:srgbClr val="C4DCEB"/>
          </a:solidFill>
          <a:ln w="19050">
            <a:noFill/>
          </a:ln>
          <a:effectLst/>
        </c:spPr>
      </c:pivotFmt>
      <c:pivotFmt>
        <c:idx val="9"/>
        <c:spPr>
          <a:solidFill>
            <a:srgbClr val="AAC2D2"/>
          </a:solidFill>
          <a:ln w="19050">
            <a:noFill/>
          </a:ln>
          <a:effectLst/>
        </c:spPr>
      </c:pivotFmt>
      <c:pivotFmt>
        <c:idx val="10"/>
        <c:spPr>
          <a:solidFill>
            <a:srgbClr val="71828C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EBF3F8"/>
          </a:solidFill>
          <a:ln w="19050">
            <a:noFill/>
          </a:ln>
          <a:effectLst/>
        </c:spPr>
      </c:pivotFmt>
      <c:pivotFmt>
        <c:idx val="13"/>
        <c:spPr>
          <a:solidFill>
            <a:srgbClr val="C4DCEB"/>
          </a:solidFill>
          <a:ln w="19050">
            <a:noFill/>
          </a:ln>
          <a:effectLst/>
        </c:spPr>
      </c:pivotFmt>
      <c:pivotFmt>
        <c:idx val="14"/>
        <c:spPr>
          <a:solidFill>
            <a:srgbClr val="AAC2D2"/>
          </a:solidFill>
          <a:ln w="19050">
            <a:noFill/>
          </a:ln>
          <a:effectLst/>
        </c:spPr>
      </c:pivotFmt>
      <c:pivotFmt>
        <c:idx val="15"/>
        <c:spPr>
          <a:solidFill>
            <a:srgbClr val="71828C"/>
          </a:solidFill>
          <a:ln w="19050">
            <a:noFill/>
          </a:ln>
          <a:effectLst/>
        </c:spPr>
      </c:pivotFmt>
      <c:pivotFmt>
        <c:idx val="1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EBF3F8"/>
          </a:solidFill>
          <a:ln w="19050">
            <a:noFill/>
          </a:ln>
          <a:effectLst/>
        </c:spPr>
      </c:pivotFmt>
      <c:pivotFmt>
        <c:idx val="18"/>
        <c:spPr>
          <a:solidFill>
            <a:srgbClr val="C4DCEB"/>
          </a:solidFill>
          <a:ln w="19050">
            <a:noFill/>
          </a:ln>
          <a:effectLst/>
        </c:spPr>
      </c:pivotFmt>
      <c:pivotFmt>
        <c:idx val="19"/>
        <c:spPr>
          <a:solidFill>
            <a:srgbClr val="AAC2D2"/>
          </a:solidFill>
          <a:ln w="19050">
            <a:noFill/>
          </a:ln>
          <a:effectLst/>
        </c:spPr>
      </c:pivotFmt>
      <c:pivotFmt>
        <c:idx val="20"/>
        <c:spPr>
          <a:solidFill>
            <a:srgbClr val="71828C"/>
          </a:solidFill>
          <a:ln w="19050">
            <a:noFill/>
          </a:ln>
          <a:effectLst/>
        </c:spPr>
      </c:pivotFmt>
      <c:pivotFmt>
        <c:idx val="21"/>
        <c:spPr>
          <a:ln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EBF3F8"/>
          </a:solidFill>
          <a:ln w="19050">
            <a:noFill/>
          </a:ln>
          <a:effectLst/>
        </c:spPr>
      </c:pivotFmt>
      <c:pivotFmt>
        <c:idx val="23"/>
        <c:spPr>
          <a:solidFill>
            <a:srgbClr val="C4DCEB"/>
          </a:solidFill>
          <a:ln w="19050">
            <a:noFill/>
          </a:ln>
          <a:effectLst/>
        </c:spPr>
      </c:pivotFmt>
      <c:pivotFmt>
        <c:idx val="24"/>
        <c:spPr>
          <a:solidFill>
            <a:srgbClr val="AAC2D2"/>
          </a:solidFill>
          <a:ln w="19050">
            <a:noFill/>
          </a:ln>
          <a:effectLst/>
        </c:spPr>
      </c:pivotFmt>
      <c:pivotFmt>
        <c:idx val="25"/>
        <c:spPr>
          <a:solidFill>
            <a:srgbClr val="71828C"/>
          </a:solidFill>
          <a:ln w="19050">
            <a:noFill/>
          </a:ln>
          <a:effectLst/>
        </c:spPr>
      </c:pivotFmt>
      <c:pivotFmt>
        <c:idx val="26"/>
        <c:spPr>
          <a:ln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EBF3F8"/>
          </a:solidFill>
          <a:ln w="19050">
            <a:noFill/>
          </a:ln>
          <a:effectLst/>
        </c:spPr>
      </c:pivotFmt>
      <c:pivotFmt>
        <c:idx val="28"/>
        <c:spPr>
          <a:solidFill>
            <a:srgbClr val="C4DCEB"/>
          </a:solidFill>
          <a:ln w="19050">
            <a:noFill/>
          </a:ln>
          <a:effectLst/>
        </c:spPr>
      </c:pivotFmt>
      <c:pivotFmt>
        <c:idx val="29"/>
        <c:spPr>
          <a:solidFill>
            <a:srgbClr val="AAC2D2"/>
          </a:solidFill>
          <a:ln w="19050">
            <a:noFill/>
          </a:ln>
          <a:effectLst/>
        </c:spPr>
      </c:pivotFmt>
      <c:pivotFmt>
        <c:idx val="30"/>
        <c:spPr>
          <a:solidFill>
            <a:srgbClr val="71828C"/>
          </a:solidFill>
          <a:ln w="19050">
            <a:noFill/>
          </a:ln>
          <a:effectLst/>
        </c:spPr>
      </c:pivotFmt>
      <c:pivotFmt>
        <c:idx val="31"/>
        <c:spPr>
          <a:ln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EBF3F8"/>
          </a:solidFill>
          <a:ln w="19050">
            <a:noFill/>
          </a:ln>
          <a:effectLst/>
        </c:spPr>
      </c:pivotFmt>
      <c:pivotFmt>
        <c:idx val="33"/>
        <c:spPr>
          <a:solidFill>
            <a:srgbClr val="C4DCEB"/>
          </a:solidFill>
          <a:ln w="19050">
            <a:noFill/>
          </a:ln>
          <a:effectLst/>
        </c:spPr>
      </c:pivotFmt>
      <c:pivotFmt>
        <c:idx val="34"/>
        <c:spPr>
          <a:solidFill>
            <a:srgbClr val="AAC2D2"/>
          </a:solidFill>
          <a:ln w="19050">
            <a:noFill/>
          </a:ln>
          <a:effectLst/>
        </c:spPr>
      </c:pivotFmt>
      <c:pivotFmt>
        <c:idx val="35"/>
        <c:spPr>
          <a:solidFill>
            <a:srgbClr val="71828C"/>
          </a:solidFill>
          <a:ln w="19050">
            <a:noFill/>
          </a:ln>
          <a:effectLst/>
        </c:spPr>
      </c:pivotFmt>
      <c:pivotFmt>
        <c:idx val="36"/>
        <c:spPr>
          <a:ln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EBF3F8"/>
          </a:solidFill>
          <a:ln w="19050">
            <a:noFill/>
          </a:ln>
          <a:effectLst/>
        </c:spPr>
      </c:pivotFmt>
      <c:pivotFmt>
        <c:idx val="38"/>
        <c:spPr>
          <a:solidFill>
            <a:srgbClr val="C4DCEB"/>
          </a:solidFill>
          <a:ln w="19050">
            <a:noFill/>
          </a:ln>
          <a:effectLst/>
        </c:spPr>
      </c:pivotFmt>
      <c:pivotFmt>
        <c:idx val="39"/>
        <c:spPr>
          <a:solidFill>
            <a:srgbClr val="AAC2D2"/>
          </a:solidFill>
          <a:ln w="19050">
            <a:noFill/>
          </a:ln>
          <a:effectLst/>
        </c:spPr>
      </c:pivotFmt>
      <c:pivotFmt>
        <c:idx val="40"/>
        <c:spPr>
          <a:solidFill>
            <a:srgbClr val="71828C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Analysis!$E$13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explosion val="19"/>
          <c:dPt>
            <c:idx val="0"/>
            <c:bubble3D val="0"/>
            <c:explosion val="0"/>
            <c:spPr>
              <a:solidFill>
                <a:srgbClr val="EBF3F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16C9-4A59-AF46-C39BEE4C67D8}"/>
              </c:ext>
            </c:extLst>
          </c:dPt>
          <c:dPt>
            <c:idx val="1"/>
            <c:bubble3D val="0"/>
            <c:explosion val="0"/>
            <c:spPr>
              <a:solidFill>
                <a:srgbClr val="C4DCEB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16C9-4A59-AF46-C39BEE4C67D8}"/>
              </c:ext>
            </c:extLst>
          </c:dPt>
          <c:dPt>
            <c:idx val="2"/>
            <c:bubble3D val="0"/>
            <c:explosion val="0"/>
            <c:spPr>
              <a:solidFill>
                <a:srgbClr val="AAC2D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16C9-4A59-AF46-C39BEE4C67D8}"/>
              </c:ext>
            </c:extLst>
          </c:dPt>
          <c:dPt>
            <c:idx val="3"/>
            <c:bubble3D val="0"/>
            <c:explosion val="0"/>
            <c:spPr>
              <a:solidFill>
                <a:srgbClr val="71828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16C9-4A59-AF46-C39BEE4C67D8}"/>
              </c:ext>
            </c:extLst>
          </c:dPt>
          <c:cat>
            <c:strRef>
              <c:f>Analysis!$D$14:$D$18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WINTER15</c:v>
                </c:pt>
                <c:pt idx="3">
                  <c:v>SAVE10</c:v>
                </c:pt>
              </c:strCache>
            </c:strRef>
          </c:cat>
          <c:val>
            <c:numRef>
              <c:f>Analysis!$E$14:$E$18</c:f>
              <c:numCache>
                <c:formatCode>General</c:formatCode>
                <c:ptCount val="4"/>
                <c:pt idx="0">
                  <c:v>313</c:v>
                </c:pt>
                <c:pt idx="1">
                  <c:v>309</c:v>
                </c:pt>
                <c:pt idx="2">
                  <c:v>292</c:v>
                </c:pt>
                <c:pt idx="3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6C9-4A59-AF46-C39BEE4C6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result decodelabs1.xlsx]Analysis!PivotTable19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1A344D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BDD8E9"/>
          </a:solidFill>
          <a:ln w="19050">
            <a:noFill/>
          </a:ln>
          <a:effectLst/>
        </c:spPr>
      </c:pivotFmt>
      <c:pivotFmt>
        <c:idx val="7"/>
        <c:spPr>
          <a:solidFill>
            <a:srgbClr val="97ADBA"/>
          </a:solidFill>
          <a:ln w="19050">
            <a:noFill/>
          </a:ln>
          <a:effectLst/>
        </c:spPr>
      </c:pivotFmt>
      <c:pivotFmt>
        <c:idx val="8"/>
        <c:spPr>
          <a:solidFill>
            <a:srgbClr val="4D6174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4E8EA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83B0BE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CADDE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Analysis!$H$13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rgbClr val="1A344D"/>
            </a:solidFill>
            <a:ln>
              <a:noFill/>
            </a:ln>
          </c:spPr>
          <c:dPt>
            <c:idx val="0"/>
            <c:bubble3D val="0"/>
            <c:spPr>
              <a:solidFill>
                <a:srgbClr val="BDD8E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29-48E4-9FDE-32901E110581}"/>
              </c:ext>
            </c:extLst>
          </c:dPt>
          <c:dPt>
            <c:idx val="1"/>
            <c:bubble3D val="0"/>
            <c:spPr>
              <a:solidFill>
                <a:srgbClr val="97ADB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29-48E4-9FDE-32901E110581}"/>
              </c:ext>
            </c:extLst>
          </c:dPt>
          <c:dPt>
            <c:idx val="2"/>
            <c:bubble3D val="0"/>
            <c:spPr>
              <a:solidFill>
                <a:srgbClr val="4D617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29-48E4-9FDE-32901E110581}"/>
              </c:ext>
            </c:extLst>
          </c:dPt>
          <c:cat>
            <c:strRef>
              <c:f>Analysis!$G$14:$G$17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Analysis!$H$14:$H$17</c:f>
              <c:numCache>
                <c:formatCode>General</c:formatCode>
                <c:ptCount val="3"/>
                <c:pt idx="0">
                  <c:v>1524</c:v>
                </c:pt>
                <c:pt idx="1">
                  <c:v>1351</c:v>
                </c:pt>
                <c:pt idx="2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29-48E4-9FDE-32901E110581}"/>
            </c:ext>
          </c:extLst>
        </c:ser>
        <c:ser>
          <c:idx val="1"/>
          <c:order val="1"/>
          <c:tx>
            <c:strRef>
              <c:f>Analysis!$I$13</c:f>
              <c:strCache>
                <c:ptCount val="1"/>
                <c:pt idx="0">
                  <c:v>Sum of TotalPrice</c:v>
                </c:pt>
              </c:strCache>
            </c:strRef>
          </c:tx>
          <c:dPt>
            <c:idx val="0"/>
            <c:bubble3D val="0"/>
            <c:spPr>
              <a:solidFill>
                <a:srgbClr val="CADDE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229-48E4-9FDE-32901E110581}"/>
              </c:ext>
            </c:extLst>
          </c:dPt>
          <c:dPt>
            <c:idx val="1"/>
            <c:bubble3D val="0"/>
            <c:spPr>
              <a:solidFill>
                <a:srgbClr val="83B0B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229-48E4-9FDE-32901E110581}"/>
              </c:ext>
            </c:extLst>
          </c:dPt>
          <c:dPt>
            <c:idx val="2"/>
            <c:bubble3D val="0"/>
            <c:spPr>
              <a:solidFill>
                <a:srgbClr val="4E8EA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29-48E4-9FDE-32901E110581}"/>
              </c:ext>
            </c:extLst>
          </c:dPt>
          <c:cat>
            <c:strRef>
              <c:f>Analysis!$G$14:$G$17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Analysis!$I$14:$I$17</c:f>
              <c:numCache>
                <c:formatCode>General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29-48E4-9FDE-32901E110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result decodelabs1.xlsx]Analysis!PivotTable18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dLbl>
      </c:pivotFmt>
      <c:pivotFmt>
        <c:idx val="2"/>
        <c:spPr>
          <a:solidFill>
            <a:srgbClr val="C4DCE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4DCEB"/>
            </a:solidFill>
            <a:ln>
              <a:noFill/>
            </a:ln>
            <a:effectLst/>
          </c:spPr>
          <c:invertIfNegative val="0"/>
          <c:cat>
            <c:strRef>
              <c:f>Analysis!$G$3:$G$8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Pending</c:v>
                </c:pt>
                <c:pt idx="3">
                  <c:v>Returned</c:v>
                </c:pt>
                <c:pt idx="4">
                  <c:v>Cancelled</c:v>
                </c:pt>
              </c:strCache>
            </c:strRef>
          </c:cat>
          <c:val>
            <c:numRef>
              <c:f>Analysis!$H$3:$H$8</c:f>
              <c:numCache>
                <c:formatCode>0</c:formatCode>
                <c:ptCount val="5"/>
                <c:pt idx="0">
                  <c:v>231</c:v>
                </c:pt>
                <c:pt idx="1">
                  <c:v>235</c:v>
                </c:pt>
                <c:pt idx="2">
                  <c:v>237</c:v>
                </c:pt>
                <c:pt idx="3">
                  <c:v>247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8-4B0B-A24D-8CA9354B9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9365567"/>
        <c:axId val="959361823"/>
      </c:barChart>
      <c:catAx>
        <c:axId val="959365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59361823"/>
        <c:crosses val="autoZero"/>
        <c:auto val="1"/>
        <c:lblAlgn val="ctr"/>
        <c:lblOffset val="100"/>
        <c:noMultiLvlLbl val="0"/>
      </c:catAx>
      <c:valAx>
        <c:axId val="95936182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5936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result decodelabs1.xlsx]Analysis!PivotTable17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4DCE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4DCEB"/>
            </a:solidFill>
            <a:ln>
              <a:noFill/>
            </a:ln>
            <a:effectLst/>
          </c:spPr>
          <c:invertIfNegative val="0"/>
          <c:cat>
            <c:strRef>
              <c:f>Analysis!$D$14:$D$18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WINTER15</c:v>
                </c:pt>
                <c:pt idx="3">
                  <c:v>SAVE10</c:v>
                </c:pt>
              </c:strCache>
            </c:strRef>
          </c:cat>
          <c:val>
            <c:numRef>
              <c:f>Analysis!$E$14:$E$18</c:f>
              <c:numCache>
                <c:formatCode>General</c:formatCode>
                <c:ptCount val="4"/>
                <c:pt idx="0">
                  <c:v>313</c:v>
                </c:pt>
                <c:pt idx="1">
                  <c:v>309</c:v>
                </c:pt>
                <c:pt idx="2">
                  <c:v>292</c:v>
                </c:pt>
                <c:pt idx="3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D-43A4-9029-1A253F95B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9353919"/>
        <c:axId val="959362239"/>
      </c:barChart>
      <c:catAx>
        <c:axId val="95935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59362239"/>
        <c:crosses val="autoZero"/>
        <c:auto val="1"/>
        <c:lblAlgn val="ctr"/>
        <c:lblOffset val="100"/>
        <c:noMultiLvlLbl val="0"/>
      </c:catAx>
      <c:valAx>
        <c:axId val="95936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5935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result decodelabs1.xlsx]Analysis!PivotTable15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4DCE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4DCEB"/>
            </a:solidFill>
            <a:ln>
              <a:noFill/>
            </a:ln>
            <a:effectLst/>
          </c:spPr>
          <c:invertIfNegative val="0"/>
          <c:cat>
            <c:strRef>
              <c:f>Analysis!$A$14:$A$19</c:f>
              <c:strCache>
                <c:ptCount val="5"/>
                <c:pt idx="0">
                  <c:v>Gift Card</c:v>
                </c:pt>
                <c:pt idx="1">
                  <c:v>Debit Card</c:v>
                </c:pt>
                <c:pt idx="2">
                  <c:v>Credit Card</c:v>
                </c:pt>
                <c:pt idx="3">
                  <c:v>Cash</c:v>
                </c:pt>
                <c:pt idx="4">
                  <c:v>Online</c:v>
                </c:pt>
              </c:strCache>
            </c:strRef>
          </c:cat>
          <c:val>
            <c:numRef>
              <c:f>Analysis!$B$14:$B$19</c:f>
              <c:numCache>
                <c:formatCode>General</c:formatCode>
                <c:ptCount val="5"/>
                <c:pt idx="0">
                  <c:v>230</c:v>
                </c:pt>
                <c:pt idx="1">
                  <c:v>232</c:v>
                </c:pt>
                <c:pt idx="2">
                  <c:v>234</c:v>
                </c:pt>
                <c:pt idx="3">
                  <c:v>246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4-4792-8537-E4404BFE4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9340255"/>
        <c:axId val="1149343583"/>
      </c:barChart>
      <c:catAx>
        <c:axId val="11493402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49343583"/>
        <c:crosses val="autoZero"/>
        <c:auto val="1"/>
        <c:lblAlgn val="ctr"/>
        <c:lblOffset val="100"/>
        <c:noMultiLvlLbl val="0"/>
      </c:catAx>
      <c:valAx>
        <c:axId val="11493435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4934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jpe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445104</xdr:colOff>
      <xdr:row>1</xdr:row>
      <xdr:rowOff>63501</xdr:rowOff>
    </xdr:from>
    <xdr:to>
      <xdr:col>27</xdr:col>
      <xdr:colOff>105833</xdr:colOff>
      <xdr:row>41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9D5514D-4369-4622-8808-FCC2519492E1}"/>
            </a:ext>
          </a:extLst>
        </xdr:cNvPr>
        <xdr:cNvSpPr/>
      </xdr:nvSpPr>
      <xdr:spPr>
        <a:xfrm>
          <a:off x="3514271" y="243418"/>
          <a:ext cx="13165062" cy="7228415"/>
        </a:xfrm>
        <a:prstGeom prst="roundRect">
          <a:avLst>
            <a:gd name="adj" fmla="val 3266"/>
          </a:avLst>
        </a:prstGeom>
        <a:solidFill>
          <a:srgbClr val="001A33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8</xdr:col>
      <xdr:colOff>275161</xdr:colOff>
      <xdr:row>5</xdr:row>
      <xdr:rowOff>127000</xdr:rowOff>
    </xdr:from>
    <xdr:to>
      <xdr:col>11</xdr:col>
      <xdr:colOff>497411</xdr:colOff>
      <xdr:row>10</xdr:row>
      <xdr:rowOff>84666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D9CA37A-05AF-4684-8875-B77D3614E2BE}"/>
            </a:ext>
          </a:extLst>
        </xdr:cNvPr>
        <xdr:cNvSpPr/>
      </xdr:nvSpPr>
      <xdr:spPr>
        <a:xfrm>
          <a:off x="5185828" y="1026583"/>
          <a:ext cx="2063750" cy="857250"/>
        </a:xfrm>
        <a:prstGeom prst="roundRect">
          <a:avLst/>
        </a:prstGeom>
        <a:solidFill>
          <a:srgbClr val="001D39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11</xdr:col>
      <xdr:colOff>533396</xdr:colOff>
      <xdr:row>5</xdr:row>
      <xdr:rowOff>116417</xdr:rowOff>
    </xdr:from>
    <xdr:to>
      <xdr:col>15</xdr:col>
      <xdr:colOff>141813</xdr:colOff>
      <xdr:row>10</xdr:row>
      <xdr:rowOff>88900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80C78EA-FDB5-48B9-A3C9-B96476E77D92}"/>
            </a:ext>
          </a:extLst>
        </xdr:cNvPr>
        <xdr:cNvSpPr/>
      </xdr:nvSpPr>
      <xdr:spPr>
        <a:xfrm>
          <a:off x="7285563" y="1016000"/>
          <a:ext cx="2063750" cy="872067"/>
        </a:xfrm>
        <a:prstGeom prst="roundRect">
          <a:avLst/>
        </a:prstGeom>
        <a:solidFill>
          <a:srgbClr val="001D39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15</xdr:col>
      <xdr:colOff>198963</xdr:colOff>
      <xdr:row>5</xdr:row>
      <xdr:rowOff>105834</xdr:rowOff>
    </xdr:from>
    <xdr:to>
      <xdr:col>18</xdr:col>
      <xdr:colOff>421213</xdr:colOff>
      <xdr:row>10</xdr:row>
      <xdr:rowOff>103715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04A46E1-968F-4FFF-B4CE-8525D65D7FDF}"/>
            </a:ext>
          </a:extLst>
        </xdr:cNvPr>
        <xdr:cNvSpPr/>
      </xdr:nvSpPr>
      <xdr:spPr>
        <a:xfrm>
          <a:off x="9406463" y="1005417"/>
          <a:ext cx="2063750" cy="897465"/>
        </a:xfrm>
        <a:prstGeom prst="roundRect">
          <a:avLst/>
        </a:prstGeom>
        <a:solidFill>
          <a:srgbClr val="001D39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 b="1"/>
        </a:p>
      </xdr:txBody>
    </xdr:sp>
    <xdr:clientData/>
  </xdr:twoCellAnchor>
  <xdr:twoCellAnchor>
    <xdr:from>
      <xdr:col>5</xdr:col>
      <xdr:colOff>499535</xdr:colOff>
      <xdr:row>10</xdr:row>
      <xdr:rowOff>137581</xdr:rowOff>
    </xdr:from>
    <xdr:to>
      <xdr:col>12</xdr:col>
      <xdr:colOff>476250</xdr:colOff>
      <xdr:row>26</xdr:row>
      <xdr:rowOff>10579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25064ED-DDD3-4723-88E8-9703070B5CAE}"/>
            </a:ext>
          </a:extLst>
        </xdr:cNvPr>
        <xdr:cNvSpPr/>
      </xdr:nvSpPr>
      <xdr:spPr>
        <a:xfrm>
          <a:off x="3547535" y="1979081"/>
          <a:ext cx="4243915" cy="2819398"/>
        </a:xfrm>
        <a:prstGeom prst="roundRect">
          <a:avLst>
            <a:gd name="adj" fmla="val 7606"/>
          </a:avLst>
        </a:prstGeom>
        <a:solidFill>
          <a:srgbClr val="001D39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11</xdr:col>
      <xdr:colOff>529168</xdr:colOff>
      <xdr:row>26</xdr:row>
      <xdr:rowOff>74083</xdr:rowOff>
    </xdr:from>
    <xdr:to>
      <xdr:col>18</xdr:col>
      <xdr:colOff>433917</xdr:colOff>
      <xdr:row>41</xdr:row>
      <xdr:rowOff>63499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A20E470-3A91-4731-9664-A1E31C80CFE8}"/>
            </a:ext>
          </a:extLst>
        </xdr:cNvPr>
        <xdr:cNvSpPr/>
      </xdr:nvSpPr>
      <xdr:spPr>
        <a:xfrm>
          <a:off x="7281335" y="4751916"/>
          <a:ext cx="4201582" cy="2688166"/>
        </a:xfrm>
        <a:prstGeom prst="roundRect">
          <a:avLst>
            <a:gd name="adj" fmla="val 7606"/>
          </a:avLst>
        </a:prstGeom>
        <a:solidFill>
          <a:srgbClr val="001D39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12</xdr:col>
      <xdr:colOff>508001</xdr:colOff>
      <xdr:row>10</xdr:row>
      <xdr:rowOff>158751</xdr:rowOff>
    </xdr:from>
    <xdr:to>
      <xdr:col>18</xdr:col>
      <xdr:colOff>402166</xdr:colOff>
      <xdr:row>26</xdr:row>
      <xdr:rowOff>21167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BF7FAB1-4A8E-4ACE-94EF-DFA2282A00E2}"/>
            </a:ext>
          </a:extLst>
        </xdr:cNvPr>
        <xdr:cNvSpPr/>
      </xdr:nvSpPr>
      <xdr:spPr>
        <a:xfrm>
          <a:off x="7823201" y="2000251"/>
          <a:ext cx="3551765" cy="2808816"/>
        </a:xfrm>
        <a:prstGeom prst="roundRect">
          <a:avLst>
            <a:gd name="adj" fmla="val 7606"/>
          </a:avLst>
        </a:prstGeom>
        <a:solidFill>
          <a:srgbClr val="001D39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18</xdr:col>
      <xdr:colOff>465668</xdr:colOff>
      <xdr:row>3</xdr:row>
      <xdr:rowOff>84668</xdr:rowOff>
    </xdr:from>
    <xdr:to>
      <xdr:col>27</xdr:col>
      <xdr:colOff>12700</xdr:colOff>
      <xdr:row>15</xdr:row>
      <xdr:rowOff>148168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2720108-ED4C-4708-B9D9-C5BFB77285C3}"/>
            </a:ext>
          </a:extLst>
        </xdr:cNvPr>
        <xdr:cNvSpPr/>
      </xdr:nvSpPr>
      <xdr:spPr>
        <a:xfrm>
          <a:off x="11514668" y="624418"/>
          <a:ext cx="5071532" cy="2222500"/>
        </a:xfrm>
        <a:prstGeom prst="roundRect">
          <a:avLst>
            <a:gd name="adj" fmla="val 7606"/>
          </a:avLst>
        </a:prstGeom>
        <a:solidFill>
          <a:srgbClr val="001D39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18</xdr:col>
      <xdr:colOff>459318</xdr:colOff>
      <xdr:row>16</xdr:row>
      <xdr:rowOff>35985</xdr:rowOff>
    </xdr:from>
    <xdr:to>
      <xdr:col>27</xdr:col>
      <xdr:colOff>6350</xdr:colOff>
      <xdr:row>28</xdr:row>
      <xdr:rowOff>99485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20432FF-20F6-4904-9E7D-A615D555C0E6}"/>
            </a:ext>
          </a:extLst>
        </xdr:cNvPr>
        <xdr:cNvSpPr/>
      </xdr:nvSpPr>
      <xdr:spPr>
        <a:xfrm>
          <a:off x="11508318" y="2914652"/>
          <a:ext cx="5071532" cy="2222500"/>
        </a:xfrm>
        <a:prstGeom prst="roundRect">
          <a:avLst>
            <a:gd name="adj" fmla="val 7606"/>
          </a:avLst>
        </a:prstGeom>
        <a:solidFill>
          <a:srgbClr val="001D39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18</xdr:col>
      <xdr:colOff>516467</xdr:colOff>
      <xdr:row>28</xdr:row>
      <xdr:rowOff>156635</xdr:rowOff>
    </xdr:from>
    <xdr:to>
      <xdr:col>27</xdr:col>
      <xdr:colOff>63499</xdr:colOff>
      <xdr:row>41</xdr:row>
      <xdr:rowOff>40219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A490315-4EEA-402C-8A43-83CCD090DD60}"/>
            </a:ext>
          </a:extLst>
        </xdr:cNvPr>
        <xdr:cNvSpPr/>
      </xdr:nvSpPr>
      <xdr:spPr>
        <a:xfrm>
          <a:off x="11489267" y="5312835"/>
          <a:ext cx="5033432" cy="2277534"/>
        </a:xfrm>
        <a:prstGeom prst="roundRect">
          <a:avLst>
            <a:gd name="adj" fmla="val 7606"/>
          </a:avLst>
        </a:prstGeom>
        <a:solidFill>
          <a:srgbClr val="001D39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8</xdr:col>
      <xdr:colOff>275166</xdr:colOff>
      <xdr:row>7</xdr:row>
      <xdr:rowOff>63501</xdr:rowOff>
    </xdr:from>
    <xdr:to>
      <xdr:col>11</xdr:col>
      <xdr:colOff>338666</xdr:colOff>
      <xdr:row>10</xdr:row>
      <xdr:rowOff>63500</xdr:rowOff>
    </xdr:to>
    <xdr:sp macro="" textlink="revenue">
      <xdr:nvSpPr>
        <xdr:cNvPr id="16" name="TextBox 15">
          <a:extLst>
            <a:ext uri="{FF2B5EF4-FFF2-40B4-BE49-F238E27FC236}">
              <a16:creationId xmlns:a16="http://schemas.microsoft.com/office/drawing/2014/main" id="{AF86F202-C3AB-703A-1E57-C4D86287B78B}"/>
            </a:ext>
          </a:extLst>
        </xdr:cNvPr>
        <xdr:cNvSpPr txBox="1"/>
      </xdr:nvSpPr>
      <xdr:spPr>
        <a:xfrm>
          <a:off x="5185833" y="1322918"/>
          <a:ext cx="1905000" cy="53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64CDC7E-95DB-434E-945E-3285CC77E3A1}" type="TxLink">
            <a:rPr lang="en-US" sz="2400" b="1" i="0" u="none" strike="noStrike">
              <a:solidFill>
                <a:schemeClr val="bg1">
                  <a:lumMod val="85000"/>
                </a:schemeClr>
              </a:solidFill>
              <a:latin typeface="Calibri"/>
              <a:ea typeface="Calibri"/>
              <a:cs typeface="Calibri"/>
            </a:rPr>
            <a:t>₦1,264,762</a:t>
          </a:fld>
          <a:endParaRPr lang="en-NG" sz="24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8</xdr:col>
      <xdr:colOff>338667</xdr:colOff>
      <xdr:row>6</xdr:row>
      <xdr:rowOff>10583</xdr:rowOff>
    </xdr:from>
    <xdr:to>
      <xdr:col>10</xdr:col>
      <xdr:colOff>508001</xdr:colOff>
      <xdr:row>7</xdr:row>
      <xdr:rowOff>137582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7318911-9DC0-7466-5F9B-77AEC1A520B4}"/>
            </a:ext>
          </a:extLst>
        </xdr:cNvPr>
        <xdr:cNvSpPr txBox="1"/>
      </xdr:nvSpPr>
      <xdr:spPr>
        <a:xfrm>
          <a:off x="5249334" y="1090083"/>
          <a:ext cx="1397000" cy="306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Revenue</a:t>
          </a:r>
          <a:endParaRPr lang="en-NG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12</xdr:col>
      <xdr:colOff>14818</xdr:colOff>
      <xdr:row>6</xdr:row>
      <xdr:rowOff>25400</xdr:rowOff>
    </xdr:from>
    <xdr:to>
      <xdr:col>14</xdr:col>
      <xdr:colOff>184151</xdr:colOff>
      <xdr:row>7</xdr:row>
      <xdr:rowOff>152399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55A05F2-1ADB-4AF9-9DE7-55C40915E824}"/>
            </a:ext>
          </a:extLst>
        </xdr:cNvPr>
        <xdr:cNvSpPr txBox="1"/>
      </xdr:nvSpPr>
      <xdr:spPr>
        <a:xfrm>
          <a:off x="7380818" y="1104900"/>
          <a:ext cx="1397000" cy="306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Quantity</a:t>
          </a:r>
          <a:endParaRPr lang="en-NG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12</xdr:col>
      <xdr:colOff>25399</xdr:colOff>
      <xdr:row>7</xdr:row>
      <xdr:rowOff>67735</xdr:rowOff>
    </xdr:from>
    <xdr:to>
      <xdr:col>14</xdr:col>
      <xdr:colOff>95250</xdr:colOff>
      <xdr:row>10</xdr:row>
      <xdr:rowOff>67734</xdr:rowOff>
    </xdr:to>
    <xdr:sp macro="" textlink="quantity">
      <xdr:nvSpPr>
        <xdr:cNvPr id="20" name="TextBox 19">
          <a:extLst>
            <a:ext uri="{FF2B5EF4-FFF2-40B4-BE49-F238E27FC236}">
              <a16:creationId xmlns:a16="http://schemas.microsoft.com/office/drawing/2014/main" id="{C2B71F47-201D-4335-80AD-0AC96B53C48E}"/>
            </a:ext>
          </a:extLst>
        </xdr:cNvPr>
        <xdr:cNvSpPr txBox="1"/>
      </xdr:nvSpPr>
      <xdr:spPr>
        <a:xfrm>
          <a:off x="7391399" y="1327152"/>
          <a:ext cx="1297518" cy="53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6ECFFB6-05AF-4712-BA3E-275140E66CC5}" type="TxLink">
            <a:rPr lang="en-US" sz="2400" b="1" i="0" u="none" strike="noStrike">
              <a:solidFill>
                <a:schemeClr val="bg1">
                  <a:lumMod val="85000"/>
                </a:schemeClr>
              </a:solidFill>
              <a:latin typeface="Calibri"/>
              <a:ea typeface="Calibri"/>
              <a:cs typeface="Calibri"/>
            </a:rPr>
            <a:t>3535</a:t>
          </a:fld>
          <a:endParaRPr lang="en-US" sz="2400" b="1" i="0" u="none" strike="noStrike">
            <a:solidFill>
              <a:schemeClr val="bg1">
                <a:lumMod val="8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15</xdr:col>
      <xdr:colOff>294218</xdr:colOff>
      <xdr:row>5</xdr:row>
      <xdr:rowOff>156634</xdr:rowOff>
    </xdr:from>
    <xdr:to>
      <xdr:col>17</xdr:col>
      <xdr:colOff>463551</xdr:colOff>
      <xdr:row>7</xdr:row>
      <xdr:rowOff>103716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0A79A66-E807-4B34-A90F-0878A6983A8E}"/>
            </a:ext>
          </a:extLst>
        </xdr:cNvPr>
        <xdr:cNvSpPr txBox="1"/>
      </xdr:nvSpPr>
      <xdr:spPr>
        <a:xfrm>
          <a:off x="9501718" y="1056217"/>
          <a:ext cx="1397000" cy="306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AOV</a:t>
          </a:r>
          <a:endParaRPr lang="en-NG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15</xdr:col>
      <xdr:colOff>262467</xdr:colOff>
      <xdr:row>7</xdr:row>
      <xdr:rowOff>40218</xdr:rowOff>
    </xdr:from>
    <xdr:to>
      <xdr:col>17</xdr:col>
      <xdr:colOff>332318</xdr:colOff>
      <xdr:row>10</xdr:row>
      <xdr:rowOff>40217</xdr:rowOff>
    </xdr:to>
    <xdr:sp macro="" textlink="AOV">
      <xdr:nvSpPr>
        <xdr:cNvPr id="24" name="TextBox 23">
          <a:extLst>
            <a:ext uri="{FF2B5EF4-FFF2-40B4-BE49-F238E27FC236}">
              <a16:creationId xmlns:a16="http://schemas.microsoft.com/office/drawing/2014/main" id="{7DC54C7E-9559-4E21-9B57-871D4CA8FE26}"/>
            </a:ext>
          </a:extLst>
        </xdr:cNvPr>
        <xdr:cNvSpPr txBox="1"/>
      </xdr:nvSpPr>
      <xdr:spPr>
        <a:xfrm>
          <a:off x="9469967" y="1299635"/>
          <a:ext cx="1297518" cy="53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76CC7C0-A699-4730-A0F9-B6B4653270C8}" type="TxLink">
            <a:rPr lang="en-US" sz="2400" b="1" i="0" u="none" strike="noStrike">
              <a:solidFill>
                <a:schemeClr val="bg1">
                  <a:lumMod val="85000"/>
                </a:schemeClr>
              </a:solidFill>
              <a:latin typeface="Calibri"/>
              <a:ea typeface="Calibri"/>
              <a:cs typeface="Calibri"/>
            </a:rPr>
            <a:t>1053.97</a:t>
          </a:fld>
          <a:endParaRPr lang="en-US" sz="2400" b="1" i="0" u="none" strike="noStrike">
            <a:solidFill>
              <a:schemeClr val="bg1">
                <a:lumMod val="8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465666</xdr:colOff>
      <xdr:row>11</xdr:row>
      <xdr:rowOff>158749</xdr:rowOff>
    </xdr:from>
    <xdr:to>
      <xdr:col>12</xdr:col>
      <xdr:colOff>592667</xdr:colOff>
      <xdr:row>26</xdr:row>
      <xdr:rowOff>44449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FB2D65C-E055-45DF-9688-250A25AC1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184151</xdr:colOff>
      <xdr:row>10</xdr:row>
      <xdr:rowOff>126999</xdr:rowOff>
    </xdr:from>
    <xdr:to>
      <xdr:col>10</xdr:col>
      <xdr:colOff>508001</xdr:colOff>
      <xdr:row>12</xdr:row>
      <xdr:rowOff>110066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ECF5341-5393-4A4D-94D5-48F97E37CB9D}"/>
            </a:ext>
          </a:extLst>
        </xdr:cNvPr>
        <xdr:cNvSpPr txBox="1"/>
      </xdr:nvSpPr>
      <xdr:spPr>
        <a:xfrm>
          <a:off x="4480984" y="1926166"/>
          <a:ext cx="21653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Most</a:t>
          </a:r>
          <a:r>
            <a:rPr lang="en-GB" sz="1200" baseline="0">
              <a:solidFill>
                <a:schemeClr val="bg1">
                  <a:lumMod val="85000"/>
                </a:schemeClr>
              </a:solidFill>
            </a:rPr>
            <a:t> Selling Product</a:t>
          </a:r>
          <a:endParaRPr lang="en-NG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18</xdr:col>
      <xdr:colOff>508001</xdr:colOff>
      <xdr:row>5</xdr:row>
      <xdr:rowOff>105834</xdr:rowOff>
    </xdr:from>
    <xdr:to>
      <xdr:col>26</xdr:col>
      <xdr:colOff>550333</xdr:colOff>
      <xdr:row>15</xdr:row>
      <xdr:rowOff>105833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3774BF9F-535D-4E03-8C16-D9462DCC01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465668</xdr:colOff>
      <xdr:row>3</xdr:row>
      <xdr:rowOff>84668</xdr:rowOff>
    </xdr:from>
    <xdr:to>
      <xdr:col>22</xdr:col>
      <xdr:colOff>175685</xdr:colOff>
      <xdr:row>5</xdr:row>
      <xdr:rowOff>67735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0D7C5BE-D11B-408F-BF0B-5B4EA6C21DB9}"/>
            </a:ext>
          </a:extLst>
        </xdr:cNvPr>
        <xdr:cNvSpPr txBox="1"/>
      </xdr:nvSpPr>
      <xdr:spPr>
        <a:xfrm>
          <a:off x="11514668" y="624418"/>
          <a:ext cx="21653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Revenue</a:t>
          </a:r>
          <a:r>
            <a:rPr lang="en-GB" sz="1200" baseline="0">
              <a:solidFill>
                <a:schemeClr val="bg1">
                  <a:lumMod val="85000"/>
                </a:schemeClr>
              </a:solidFill>
            </a:rPr>
            <a:t> by Product</a:t>
          </a:r>
          <a:endParaRPr lang="en-NG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13</xdr:col>
      <xdr:colOff>84666</xdr:colOff>
      <xdr:row>12</xdr:row>
      <xdr:rowOff>95250</xdr:rowOff>
    </xdr:from>
    <xdr:to>
      <xdr:col>18</xdr:col>
      <xdr:colOff>328083</xdr:colOff>
      <xdr:row>25</xdr:row>
      <xdr:rowOff>86784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86001B48-9C2D-4042-AC21-F0F929FAE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114301</xdr:colOff>
      <xdr:row>10</xdr:row>
      <xdr:rowOff>152399</xdr:rowOff>
    </xdr:from>
    <xdr:to>
      <xdr:col>16</xdr:col>
      <xdr:colOff>438151</xdr:colOff>
      <xdr:row>12</xdr:row>
      <xdr:rowOff>135466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B842FE8-2ABC-42F5-8D27-90CE5DD5C211}"/>
            </a:ext>
          </a:extLst>
        </xdr:cNvPr>
        <xdr:cNvSpPr txBox="1"/>
      </xdr:nvSpPr>
      <xdr:spPr>
        <a:xfrm>
          <a:off x="8094134" y="1951566"/>
          <a:ext cx="21653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Top</a:t>
          </a:r>
          <a:r>
            <a:rPr lang="en-GB" sz="1200" baseline="0">
              <a:solidFill>
                <a:schemeClr val="bg1">
                  <a:lumMod val="85000"/>
                </a:schemeClr>
              </a:solidFill>
            </a:rPr>
            <a:t> Referral Source</a:t>
          </a:r>
          <a:endParaRPr lang="en-NG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5</xdr:col>
      <xdr:colOff>487438</xdr:colOff>
      <xdr:row>26</xdr:row>
      <xdr:rowOff>63502</xdr:rowOff>
    </xdr:from>
    <xdr:to>
      <xdr:col>11</xdr:col>
      <xdr:colOff>462037</xdr:colOff>
      <xdr:row>41</xdr:row>
      <xdr:rowOff>31750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D9D7D9B1-4CD7-44A9-9475-91C5260F3C0D}"/>
            </a:ext>
          </a:extLst>
        </xdr:cNvPr>
        <xdr:cNvSpPr/>
      </xdr:nvSpPr>
      <xdr:spPr>
        <a:xfrm>
          <a:off x="3556605" y="4741335"/>
          <a:ext cx="3657599" cy="2666998"/>
        </a:xfrm>
        <a:prstGeom prst="roundRect">
          <a:avLst>
            <a:gd name="adj" fmla="val 7606"/>
          </a:avLst>
        </a:prstGeom>
        <a:solidFill>
          <a:srgbClr val="001D39"/>
        </a:solidFill>
        <a:ln>
          <a:solidFill>
            <a:srgbClr val="001D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487438</xdr:colOff>
      <xdr:row>26</xdr:row>
      <xdr:rowOff>63502</xdr:rowOff>
    </xdr:from>
    <xdr:to>
      <xdr:col>9</xdr:col>
      <xdr:colOff>197455</xdr:colOff>
      <xdr:row>28</xdr:row>
      <xdr:rowOff>46568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E8BF38F-900F-476D-A48D-B63C40CFC811}"/>
            </a:ext>
          </a:extLst>
        </xdr:cNvPr>
        <xdr:cNvSpPr txBox="1"/>
      </xdr:nvSpPr>
      <xdr:spPr>
        <a:xfrm>
          <a:off x="3556605" y="4741335"/>
          <a:ext cx="21653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Most</a:t>
          </a:r>
          <a:r>
            <a:rPr lang="en-GB" sz="1200" baseline="0">
              <a:solidFill>
                <a:schemeClr val="bg1">
                  <a:lumMod val="85000"/>
                </a:schemeClr>
              </a:solidFill>
            </a:rPr>
            <a:t> Selling Product</a:t>
          </a:r>
          <a:endParaRPr lang="en-NG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5</xdr:col>
      <xdr:colOff>497419</xdr:colOff>
      <xdr:row>28</xdr:row>
      <xdr:rowOff>158750</xdr:rowOff>
    </xdr:from>
    <xdr:to>
      <xdr:col>11</xdr:col>
      <xdr:colOff>465670</xdr:colOff>
      <xdr:row>40</xdr:row>
      <xdr:rowOff>118533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1E4DFF01-F2D7-47D0-B8F1-814DF461E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465667</xdr:colOff>
      <xdr:row>27</xdr:row>
      <xdr:rowOff>52915</xdr:rowOff>
    </xdr:from>
    <xdr:to>
      <xdr:col>18</xdr:col>
      <xdr:colOff>243417</xdr:colOff>
      <xdr:row>40</xdr:row>
      <xdr:rowOff>148165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95B5717F-8761-4749-88B6-C3EF99C7B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539750</xdr:colOff>
      <xdr:row>31</xdr:row>
      <xdr:rowOff>84667</xdr:rowOff>
    </xdr:from>
    <xdr:to>
      <xdr:col>27</xdr:col>
      <xdr:colOff>95250</xdr:colOff>
      <xdr:row>42</xdr:row>
      <xdr:rowOff>10583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51B910DD-7033-4349-9C13-B6790F241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537633</xdr:colOff>
      <xdr:row>26</xdr:row>
      <xdr:rowOff>99483</xdr:rowOff>
    </xdr:from>
    <xdr:to>
      <xdr:col>15</xdr:col>
      <xdr:colOff>247650</xdr:colOff>
      <xdr:row>28</xdr:row>
      <xdr:rowOff>82549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3B28225-C1CB-472A-BB96-EEB0FA9F0493}"/>
            </a:ext>
          </a:extLst>
        </xdr:cNvPr>
        <xdr:cNvSpPr txBox="1"/>
      </xdr:nvSpPr>
      <xdr:spPr>
        <a:xfrm>
          <a:off x="7289800" y="4777316"/>
          <a:ext cx="21653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Most</a:t>
          </a:r>
          <a:r>
            <a:rPr lang="en-GB" sz="1200" baseline="0">
              <a:solidFill>
                <a:schemeClr val="bg1">
                  <a:lumMod val="85000"/>
                </a:schemeClr>
              </a:solidFill>
            </a:rPr>
            <a:t> Frequent Orderstatus</a:t>
          </a:r>
          <a:endParaRPr lang="en-NG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18</xdr:col>
      <xdr:colOff>552450</xdr:colOff>
      <xdr:row>16</xdr:row>
      <xdr:rowOff>50799</xdr:rowOff>
    </xdr:from>
    <xdr:to>
      <xdr:col>22</xdr:col>
      <xdr:colOff>262467</xdr:colOff>
      <xdr:row>18</xdr:row>
      <xdr:rowOff>33866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7F40DFF-CAF9-4543-A54A-BC49ED3F7D80}"/>
            </a:ext>
          </a:extLst>
        </xdr:cNvPr>
        <xdr:cNvSpPr txBox="1"/>
      </xdr:nvSpPr>
      <xdr:spPr>
        <a:xfrm>
          <a:off x="11601450" y="2929466"/>
          <a:ext cx="21653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Most Used Payment Method</a:t>
          </a:r>
          <a:endParaRPr lang="en-NG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18</xdr:col>
      <xdr:colOff>599017</xdr:colOff>
      <xdr:row>28</xdr:row>
      <xdr:rowOff>150282</xdr:rowOff>
    </xdr:from>
    <xdr:to>
      <xdr:col>22</xdr:col>
      <xdr:colOff>309034</xdr:colOff>
      <xdr:row>30</xdr:row>
      <xdr:rowOff>133349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F6F5474-9501-4963-B966-944F4B57E585}"/>
            </a:ext>
          </a:extLst>
        </xdr:cNvPr>
        <xdr:cNvSpPr txBox="1"/>
      </xdr:nvSpPr>
      <xdr:spPr>
        <a:xfrm>
          <a:off x="11648017" y="5187949"/>
          <a:ext cx="21653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bg1">
                  <a:lumMod val="85000"/>
                </a:schemeClr>
              </a:solidFill>
            </a:rPr>
            <a:t>Top</a:t>
          </a:r>
          <a:r>
            <a:rPr lang="en-GB" sz="1200" baseline="0">
              <a:solidFill>
                <a:schemeClr val="bg1">
                  <a:lumMod val="85000"/>
                </a:schemeClr>
              </a:solidFill>
            </a:rPr>
            <a:t>  Referral Source</a:t>
          </a:r>
          <a:endParaRPr lang="en-NG" sz="12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18</xdr:col>
      <xdr:colOff>582084</xdr:colOff>
      <xdr:row>17</xdr:row>
      <xdr:rowOff>137583</xdr:rowOff>
    </xdr:from>
    <xdr:to>
      <xdr:col>27</xdr:col>
      <xdr:colOff>31751</xdr:colOff>
      <xdr:row>28</xdr:row>
      <xdr:rowOff>42332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9B98D98-B43D-4539-BB79-D910E5EA1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338667</xdr:colOff>
      <xdr:row>1</xdr:row>
      <xdr:rowOff>105832</xdr:rowOff>
    </xdr:from>
    <xdr:to>
      <xdr:col>15</xdr:col>
      <xdr:colOff>78316</xdr:colOff>
      <xdr:row>3</xdr:row>
      <xdr:rowOff>137582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A628010D-6D36-47F2-B60C-45C55718E8F2}"/>
            </a:ext>
          </a:extLst>
        </xdr:cNvPr>
        <xdr:cNvSpPr/>
      </xdr:nvSpPr>
      <xdr:spPr>
        <a:xfrm>
          <a:off x="5249334" y="285749"/>
          <a:ext cx="4036482" cy="391583"/>
        </a:xfrm>
        <a:prstGeom prst="roundRect">
          <a:avLst/>
        </a:prstGeom>
        <a:solidFill>
          <a:srgbClr val="C4DCEB"/>
        </a:solidFill>
        <a:ln>
          <a:solidFill>
            <a:srgbClr val="C4DC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800" b="1">
              <a:solidFill>
                <a:schemeClr val="tx1"/>
              </a:solidFill>
            </a:rPr>
            <a:t>Sales perfomance</a:t>
          </a:r>
          <a:r>
            <a:rPr lang="en-GB" sz="1800" b="1" baseline="0">
              <a:solidFill>
                <a:schemeClr val="tx1"/>
              </a:solidFill>
            </a:rPr>
            <a:t> Dashboard</a:t>
          </a:r>
          <a:endParaRPr lang="en-NG" sz="18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5</xdr:col>
      <xdr:colOff>550334</xdr:colOff>
      <xdr:row>5</xdr:row>
      <xdr:rowOff>63500</xdr:rowOff>
    </xdr:from>
    <xdr:to>
      <xdr:col>8</xdr:col>
      <xdr:colOff>243417</xdr:colOff>
      <xdr:row>10</xdr:row>
      <xdr:rowOff>116416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C774752B-D490-EB31-690F-4EC2F291A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1" y="963083"/>
          <a:ext cx="1534583" cy="9525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9.533633680556" createdVersion="8" refreshedVersion="8" minRefreshableVersion="3" recordCount="1200" xr:uid="{F9F335D0-2462-4F16-B83B-77FE0D52DD47}">
  <cacheSource type="worksheet">
    <worksheetSource name="Table6"/>
  </cacheSource>
  <cacheFields count="16">
    <cacheField name="OrderID" numFmtId="49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1/07/2025"/>
        </groupItems>
      </fieldGroup>
    </cacheField>
    <cacheField name="CustomerID" numFmtId="49">
      <sharedItems/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165">
      <sharedItems containsSemiMixedTypes="0" containsString="0" containsNumber="1" minValue="11.39" maxValue="699.93"/>
    </cacheField>
    <cacheField name="ShippingAddress" numFmtId="49">
      <sharedItems/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49">
      <sharedItems/>
    </cacheField>
    <cacheField name="ItemsInCart" numFmtId="2">
      <sharedItems/>
    </cacheField>
    <cacheField name="CouponCode" numFmtId="49">
      <sharedItems count="4">
        <s v="SAVE10"/>
        <s v="FREESHIP"/>
        <s v="NO COUPON"/>
        <s v="WINTER15"/>
      </sharedItems>
    </cacheField>
    <cacheField name="ReferralSource" numFmtId="49">
      <sharedItems/>
    </cacheField>
    <cacheField name="TotalPrice" numFmtId="165">
      <sharedItems containsSemiMixedTypes="0" containsString="0" containsNumber="1" minValue="11.39" maxValue="3456.4"/>
    </cacheField>
    <cacheField name="Quarters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 pivotCacheId="10241058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s v="928 Main St"/>
    <x v="0"/>
    <x v="0"/>
    <s v="TRK37947903"/>
    <s v="7"/>
    <x v="0"/>
    <s v="Instagram"/>
    <n v="2853.1"/>
  </r>
  <r>
    <x v="1"/>
    <x v="1"/>
    <s v="C75739"/>
    <x v="1"/>
    <n v="2"/>
    <n v="151.35"/>
    <s v="823 Main St"/>
    <x v="1"/>
    <x v="0"/>
    <s v="TRK91186779"/>
    <s v="3"/>
    <x v="0"/>
    <s v="Referral"/>
    <n v="302.7"/>
  </r>
  <r>
    <x v="2"/>
    <x v="2"/>
    <s v="C81728"/>
    <x v="2"/>
    <n v="5"/>
    <n v="550.67999999999995"/>
    <s v="512 Main St"/>
    <x v="2"/>
    <x v="1"/>
    <s v="TRK42903982"/>
    <s v="8"/>
    <x v="1"/>
    <s v="Email"/>
    <n v="2753.4"/>
  </r>
  <r>
    <x v="3"/>
    <x v="3"/>
    <s v="C33540"/>
    <x v="3"/>
    <n v="1"/>
    <n v="273.19"/>
    <s v="275 Main St"/>
    <x v="0"/>
    <x v="2"/>
    <s v="TRK62788070"/>
    <s v="5"/>
    <x v="0"/>
    <s v="Facebook"/>
    <n v="273.19"/>
  </r>
  <r>
    <x v="4"/>
    <x v="4"/>
    <s v="C81840"/>
    <x v="4"/>
    <n v="4"/>
    <n v="626.01"/>
    <s v="668 Main St"/>
    <x v="1"/>
    <x v="3"/>
    <s v="TRK29241424"/>
    <s v="8"/>
    <x v="0"/>
    <s v="Email"/>
    <n v="2504.04"/>
  </r>
  <r>
    <x v="5"/>
    <x v="5"/>
    <s v="C37249"/>
    <x v="1"/>
    <n v="2"/>
    <n v="245.86"/>
    <s v="934 Main St"/>
    <x v="2"/>
    <x v="0"/>
    <s v="TRK72976927"/>
    <s v="4"/>
    <x v="0"/>
    <s v="Instagram"/>
    <n v="491.72"/>
  </r>
  <r>
    <x v="6"/>
    <x v="6"/>
    <s v="C83492"/>
    <x v="5"/>
    <n v="1"/>
    <n v="664.42"/>
    <s v="986 Main St"/>
    <x v="3"/>
    <x v="2"/>
    <s v="TRK96417362"/>
    <s v="6"/>
    <x v="0"/>
    <s v="Facebook"/>
    <n v="664.42"/>
  </r>
  <r>
    <x v="7"/>
    <x v="7"/>
    <s v="C41460"/>
    <x v="0"/>
    <n v="5"/>
    <n v="149.55000000000001"/>
    <s v="706 Main St"/>
    <x v="4"/>
    <x v="0"/>
    <s v="TRK78809193"/>
    <s v="9"/>
    <x v="1"/>
    <s v="Facebook"/>
    <n v="747.75"/>
  </r>
  <r>
    <x v="8"/>
    <x v="8"/>
    <s v="C26817"/>
    <x v="1"/>
    <n v="2"/>
    <n v="134.28"/>
    <s v="904 Main St"/>
    <x v="3"/>
    <x v="1"/>
    <s v="TRK61042692"/>
    <s v="2"/>
    <x v="2"/>
    <s v="Email"/>
    <n v="268.56"/>
  </r>
  <r>
    <x v="9"/>
    <x v="9"/>
    <s v="C31946"/>
    <x v="6"/>
    <n v="4"/>
    <n v="509.38"/>
    <s v="102 Main St"/>
    <x v="2"/>
    <x v="0"/>
    <s v="TRK33478363"/>
    <s v="6"/>
    <x v="0"/>
    <s v="Google"/>
    <n v="2037.52"/>
  </r>
  <r>
    <x v="10"/>
    <x v="10"/>
    <s v="C43443"/>
    <x v="2"/>
    <n v="5"/>
    <n v="625.97"/>
    <s v="333 Main St"/>
    <x v="2"/>
    <x v="2"/>
    <s v="TRK98859248"/>
    <s v="9"/>
    <x v="3"/>
    <s v="Instagram"/>
    <n v="3129.85"/>
  </r>
  <r>
    <x v="11"/>
    <x v="11"/>
    <s v="C93861"/>
    <x v="0"/>
    <n v="3"/>
    <n v="49.14"/>
    <s v="831 Main St"/>
    <x v="1"/>
    <x v="2"/>
    <s v="TRK48234646"/>
    <s v="7"/>
    <x v="0"/>
    <s v="Email"/>
    <n v="147.41999999999999"/>
  </r>
  <r>
    <x v="12"/>
    <x v="12"/>
    <s v="C38785"/>
    <x v="0"/>
    <n v="2"/>
    <n v="180.5"/>
    <s v="179 Main St"/>
    <x v="0"/>
    <x v="4"/>
    <s v="TRK20419991"/>
    <s v="6"/>
    <x v="1"/>
    <s v="Referral"/>
    <n v="361"/>
  </r>
  <r>
    <x v="13"/>
    <x v="13"/>
    <s v="C88348"/>
    <x v="5"/>
    <n v="3"/>
    <n v="201.49"/>
    <s v="903 Main St"/>
    <x v="2"/>
    <x v="2"/>
    <s v="TRK81913874"/>
    <s v="4"/>
    <x v="1"/>
    <s v="Facebook"/>
    <n v="604.47"/>
  </r>
  <r>
    <x v="14"/>
    <x v="14"/>
    <s v="C98474"/>
    <x v="2"/>
    <n v="2"/>
    <n v="393.33"/>
    <s v="980 Main St"/>
    <x v="0"/>
    <x v="4"/>
    <s v="TRK79186539"/>
    <s v="3"/>
    <x v="0"/>
    <s v="Instagram"/>
    <n v="786.66"/>
  </r>
  <r>
    <x v="15"/>
    <x v="15"/>
    <s v="C39416"/>
    <x v="4"/>
    <n v="1"/>
    <n v="473.96"/>
    <s v="942 Main St"/>
    <x v="4"/>
    <x v="3"/>
    <s v="TRK54930938"/>
    <s v="3"/>
    <x v="2"/>
    <s v="Google"/>
    <n v="473.96"/>
  </r>
  <r>
    <x v="16"/>
    <x v="16"/>
    <s v="C28976"/>
    <x v="4"/>
    <n v="2"/>
    <n v="533.80999999999995"/>
    <s v="914 Main St"/>
    <x v="2"/>
    <x v="4"/>
    <s v="TRK13194259"/>
    <s v="3"/>
    <x v="1"/>
    <s v="Email"/>
    <n v="1067.6199999999999"/>
  </r>
  <r>
    <x v="17"/>
    <x v="17"/>
    <s v="C60672"/>
    <x v="2"/>
    <n v="1"/>
    <n v="423.4"/>
    <s v="382 Main St"/>
    <x v="0"/>
    <x v="0"/>
    <s v="TRK11972116"/>
    <s v="3"/>
    <x v="2"/>
    <s v="Referral"/>
    <n v="423.4"/>
  </r>
  <r>
    <x v="18"/>
    <x v="18"/>
    <s v="C84329"/>
    <x v="6"/>
    <n v="1"/>
    <n v="431.44"/>
    <s v="891 Main St"/>
    <x v="3"/>
    <x v="4"/>
    <s v="TRK65191045"/>
    <s v="3"/>
    <x v="0"/>
    <s v="Facebook"/>
    <n v="431.44"/>
  </r>
  <r>
    <x v="19"/>
    <x v="19"/>
    <s v="C14552"/>
    <x v="0"/>
    <n v="5"/>
    <n v="224"/>
    <s v="273 Main St"/>
    <x v="4"/>
    <x v="2"/>
    <s v="TRK59101365"/>
    <s v="9"/>
    <x v="0"/>
    <s v="Google"/>
    <n v="1120"/>
  </r>
  <r>
    <x v="20"/>
    <x v="20"/>
    <s v="C54829"/>
    <x v="3"/>
    <n v="5"/>
    <n v="62.51"/>
    <s v="587 Main St"/>
    <x v="4"/>
    <x v="4"/>
    <s v="TRK16718651"/>
    <s v="9"/>
    <x v="3"/>
    <s v="Instagram"/>
    <n v="312.55"/>
  </r>
  <r>
    <x v="21"/>
    <x v="21"/>
    <s v="C99023"/>
    <x v="0"/>
    <n v="4"/>
    <n v="342.95"/>
    <s v="569 Main St"/>
    <x v="4"/>
    <x v="3"/>
    <s v="TRK52646983"/>
    <s v="6"/>
    <x v="2"/>
    <s v="Google"/>
    <n v="1371.8"/>
  </r>
  <r>
    <x v="22"/>
    <x v="22"/>
    <s v="C34416"/>
    <x v="0"/>
    <n v="2"/>
    <n v="49.62"/>
    <s v="633 Main St"/>
    <x v="1"/>
    <x v="4"/>
    <s v="TRK75937350"/>
    <s v="2"/>
    <x v="0"/>
    <s v="Google"/>
    <n v="99.24"/>
  </r>
  <r>
    <x v="23"/>
    <x v="23"/>
    <s v="C42372"/>
    <x v="1"/>
    <n v="4"/>
    <n v="273.25"/>
    <s v="755 Main St"/>
    <x v="0"/>
    <x v="1"/>
    <s v="TRK36168083"/>
    <s v="5"/>
    <x v="1"/>
    <s v="Referral"/>
    <n v="1093"/>
  </r>
  <r>
    <x v="24"/>
    <x v="24"/>
    <s v="C17470"/>
    <x v="5"/>
    <n v="2"/>
    <n v="230.95"/>
    <s v="956 Main St"/>
    <x v="1"/>
    <x v="3"/>
    <s v="TRK28775057"/>
    <s v="3"/>
    <x v="3"/>
    <s v="Referral"/>
    <n v="461.9"/>
  </r>
  <r>
    <x v="25"/>
    <x v="25"/>
    <s v="C42577"/>
    <x v="0"/>
    <n v="1"/>
    <n v="399.98"/>
    <s v="709 Main St"/>
    <x v="0"/>
    <x v="3"/>
    <s v="TRK69423327"/>
    <s v="3"/>
    <x v="3"/>
    <s v="Email"/>
    <n v="399.98"/>
  </r>
  <r>
    <x v="26"/>
    <x v="26"/>
    <s v="C21944"/>
    <x v="5"/>
    <n v="5"/>
    <n v="59.55"/>
    <s v="296 Main St"/>
    <x v="1"/>
    <x v="3"/>
    <s v="TRK80276812"/>
    <s v="6"/>
    <x v="2"/>
    <s v="Referral"/>
    <n v="297.75"/>
  </r>
  <r>
    <x v="27"/>
    <x v="27"/>
    <s v="C97593"/>
    <x v="4"/>
    <n v="1"/>
    <n v="472.74"/>
    <s v="881 Main St"/>
    <x v="1"/>
    <x v="0"/>
    <s v="TRK89117573"/>
    <s v="6"/>
    <x v="3"/>
    <s v="Google"/>
    <n v="472.74"/>
  </r>
  <r>
    <x v="28"/>
    <x v="9"/>
    <s v="C59823"/>
    <x v="1"/>
    <n v="4"/>
    <n v="160.07"/>
    <s v="568 Main St"/>
    <x v="1"/>
    <x v="4"/>
    <s v="TRK65895539"/>
    <s v="5"/>
    <x v="2"/>
    <s v="Email"/>
    <n v="640.28"/>
  </r>
  <r>
    <x v="29"/>
    <x v="28"/>
    <s v="C33260"/>
    <x v="6"/>
    <n v="3"/>
    <n v="423.53"/>
    <s v="930 Main St"/>
    <x v="2"/>
    <x v="3"/>
    <s v="TRK59744090"/>
    <s v="6"/>
    <x v="0"/>
    <s v="Referral"/>
    <n v="1270.5899999999999"/>
  </r>
  <r>
    <x v="30"/>
    <x v="29"/>
    <s v="C44267"/>
    <x v="0"/>
    <n v="2"/>
    <n v="426.7"/>
    <s v="895 Main St"/>
    <x v="1"/>
    <x v="4"/>
    <s v="TRK54751444"/>
    <s v="5"/>
    <x v="0"/>
    <s v="Referral"/>
    <n v="853.4"/>
  </r>
  <r>
    <x v="31"/>
    <x v="30"/>
    <s v="C26445"/>
    <x v="3"/>
    <n v="3"/>
    <n v="500.08"/>
    <s v="996 Main St"/>
    <x v="0"/>
    <x v="2"/>
    <s v="TRK31229981"/>
    <s v="6"/>
    <x v="2"/>
    <s v="Facebook"/>
    <n v="1500.24"/>
  </r>
  <r>
    <x v="32"/>
    <x v="31"/>
    <s v="C12388"/>
    <x v="2"/>
    <n v="5"/>
    <n v="536.72"/>
    <s v="830 Main St"/>
    <x v="4"/>
    <x v="3"/>
    <s v="TRK99261395"/>
    <s v="10"/>
    <x v="2"/>
    <s v="Email"/>
    <n v="2683.6"/>
  </r>
  <r>
    <x v="33"/>
    <x v="32"/>
    <s v="C52184"/>
    <x v="3"/>
    <n v="1"/>
    <n v="162.77000000000001"/>
    <s v="912 Main St"/>
    <x v="1"/>
    <x v="1"/>
    <s v="TRK73312471"/>
    <s v="4"/>
    <x v="3"/>
    <s v="Facebook"/>
    <n v="162.77000000000001"/>
  </r>
  <r>
    <x v="34"/>
    <x v="33"/>
    <s v="C67195"/>
    <x v="3"/>
    <n v="4"/>
    <n v="576.52"/>
    <s v="926 Main St"/>
    <x v="2"/>
    <x v="4"/>
    <s v="TRK55467915"/>
    <s v="5"/>
    <x v="3"/>
    <s v="Facebook"/>
    <n v="2306.08"/>
  </r>
  <r>
    <x v="35"/>
    <x v="34"/>
    <s v="C50304"/>
    <x v="0"/>
    <n v="2"/>
    <n v="465.15"/>
    <s v="128 Main St"/>
    <x v="1"/>
    <x v="0"/>
    <s v="TRK46850888"/>
    <s v="2"/>
    <x v="0"/>
    <s v="Facebook"/>
    <n v="930.3"/>
  </r>
  <r>
    <x v="36"/>
    <x v="4"/>
    <s v="C59337"/>
    <x v="5"/>
    <n v="2"/>
    <n v="534.42999999999995"/>
    <s v="465 Main St"/>
    <x v="0"/>
    <x v="4"/>
    <s v="TRK50961250"/>
    <s v="5"/>
    <x v="2"/>
    <s v="Facebook"/>
    <n v="1068.8599999999999"/>
  </r>
  <r>
    <x v="37"/>
    <x v="35"/>
    <s v="C10054"/>
    <x v="5"/>
    <n v="2"/>
    <n v="76.739999999999995"/>
    <s v="409 Main St"/>
    <x v="4"/>
    <x v="2"/>
    <s v="TRK94005261"/>
    <s v="7"/>
    <x v="0"/>
    <s v="Instagram"/>
    <n v="153.47999999999999"/>
  </r>
  <r>
    <x v="38"/>
    <x v="36"/>
    <s v="C15924"/>
    <x v="5"/>
    <n v="1"/>
    <n v="245.89"/>
    <s v="549 Main St"/>
    <x v="0"/>
    <x v="3"/>
    <s v="TRK14835975"/>
    <s v="3"/>
    <x v="0"/>
    <s v="Google"/>
    <n v="245.89"/>
  </r>
  <r>
    <x v="39"/>
    <x v="37"/>
    <s v="C96664"/>
    <x v="4"/>
    <n v="3"/>
    <n v="256.45999999999998"/>
    <s v="666 Main St"/>
    <x v="2"/>
    <x v="3"/>
    <s v="TRK85508960"/>
    <s v="4"/>
    <x v="0"/>
    <s v="Referral"/>
    <n v="769.38"/>
  </r>
  <r>
    <x v="40"/>
    <x v="38"/>
    <s v="C84766"/>
    <x v="6"/>
    <n v="2"/>
    <n v="344.02"/>
    <s v="267 Main St"/>
    <x v="1"/>
    <x v="3"/>
    <s v="TRK78967923"/>
    <s v="4"/>
    <x v="1"/>
    <s v="Instagram"/>
    <n v="688.04"/>
  </r>
  <r>
    <x v="41"/>
    <x v="39"/>
    <s v="C20212"/>
    <x v="0"/>
    <n v="3"/>
    <n v="611.45000000000005"/>
    <s v="657 Main St"/>
    <x v="3"/>
    <x v="4"/>
    <s v="TRK69733327"/>
    <s v="4"/>
    <x v="1"/>
    <s v="Instagram"/>
    <n v="1834.35"/>
  </r>
  <r>
    <x v="42"/>
    <x v="40"/>
    <s v="C28712"/>
    <x v="4"/>
    <n v="2"/>
    <n v="151.66"/>
    <s v="980 Main St"/>
    <x v="4"/>
    <x v="1"/>
    <s v="TRK40772558"/>
    <s v="6"/>
    <x v="2"/>
    <s v="Instagram"/>
    <n v="303.32"/>
  </r>
  <r>
    <x v="43"/>
    <x v="41"/>
    <s v="C60572"/>
    <x v="3"/>
    <n v="3"/>
    <n v="499.21"/>
    <s v="871 Main St"/>
    <x v="1"/>
    <x v="1"/>
    <s v="TRK20351666"/>
    <s v="8"/>
    <x v="2"/>
    <s v="Instagram"/>
    <n v="1497.63"/>
  </r>
  <r>
    <x v="44"/>
    <x v="42"/>
    <s v="C73225"/>
    <x v="1"/>
    <n v="2"/>
    <n v="550.17999999999995"/>
    <s v="996 Main St"/>
    <x v="3"/>
    <x v="2"/>
    <s v="TRK73848522"/>
    <s v="3"/>
    <x v="1"/>
    <s v="Referral"/>
    <n v="1100.3599999999999"/>
  </r>
  <r>
    <x v="45"/>
    <x v="43"/>
    <s v="C17388"/>
    <x v="3"/>
    <n v="1"/>
    <n v="317.25"/>
    <s v="157 Main St"/>
    <x v="0"/>
    <x v="2"/>
    <s v="TRK47077395"/>
    <s v="1"/>
    <x v="0"/>
    <s v="Facebook"/>
    <n v="317.25"/>
  </r>
  <r>
    <x v="46"/>
    <x v="44"/>
    <s v="C43212"/>
    <x v="0"/>
    <n v="4"/>
    <n v="550.14"/>
    <s v="223 Main St"/>
    <x v="0"/>
    <x v="4"/>
    <s v="TRK25100762"/>
    <s v="4"/>
    <x v="1"/>
    <s v="Instagram"/>
    <n v="2200.56"/>
  </r>
  <r>
    <x v="47"/>
    <x v="45"/>
    <s v="C38134"/>
    <x v="6"/>
    <n v="2"/>
    <n v="209.94"/>
    <s v="323 Main St"/>
    <x v="2"/>
    <x v="2"/>
    <s v="TRK42450754"/>
    <s v="3"/>
    <x v="1"/>
    <s v="Email"/>
    <n v="419.88"/>
  </r>
  <r>
    <x v="48"/>
    <x v="46"/>
    <s v="C12408"/>
    <x v="0"/>
    <n v="2"/>
    <n v="80.77"/>
    <s v="464 Main St"/>
    <x v="0"/>
    <x v="0"/>
    <s v="TRK38938858"/>
    <s v="4"/>
    <x v="2"/>
    <s v="Google"/>
    <n v="161.54"/>
  </r>
  <r>
    <x v="49"/>
    <x v="47"/>
    <s v="C11985"/>
    <x v="4"/>
    <n v="1"/>
    <n v="30.44"/>
    <s v="633 Main St"/>
    <x v="2"/>
    <x v="0"/>
    <s v="TRK53272402"/>
    <s v="1"/>
    <x v="0"/>
    <s v="Email"/>
    <n v="30.44"/>
  </r>
  <r>
    <x v="50"/>
    <x v="48"/>
    <s v="C96494"/>
    <x v="2"/>
    <n v="1"/>
    <n v="179.22"/>
    <s v="446 Main St"/>
    <x v="1"/>
    <x v="1"/>
    <s v="TRK14675049"/>
    <s v="6"/>
    <x v="1"/>
    <s v="Instagram"/>
    <n v="179.22"/>
  </r>
  <r>
    <x v="51"/>
    <x v="49"/>
    <s v="C36778"/>
    <x v="2"/>
    <n v="1"/>
    <n v="388.33"/>
    <s v="434 Main St"/>
    <x v="4"/>
    <x v="2"/>
    <s v="TRK67610289"/>
    <s v="2"/>
    <x v="0"/>
    <s v="Facebook"/>
    <n v="388.33"/>
  </r>
  <r>
    <x v="52"/>
    <x v="50"/>
    <s v="C30513"/>
    <x v="2"/>
    <n v="1"/>
    <n v="586.44000000000005"/>
    <s v="232 Main St"/>
    <x v="1"/>
    <x v="2"/>
    <s v="TRK64320429"/>
    <s v="5"/>
    <x v="0"/>
    <s v="Facebook"/>
    <n v="586.44000000000005"/>
  </r>
  <r>
    <x v="53"/>
    <x v="51"/>
    <s v="C67551"/>
    <x v="1"/>
    <n v="4"/>
    <n v="488.78"/>
    <s v="512 Main St"/>
    <x v="1"/>
    <x v="2"/>
    <s v="TRK94992552"/>
    <s v="5"/>
    <x v="1"/>
    <s v="Google"/>
    <n v="1955.12"/>
  </r>
  <r>
    <x v="54"/>
    <x v="52"/>
    <s v="C48120"/>
    <x v="3"/>
    <n v="1"/>
    <n v="280.25"/>
    <s v="623 Main St"/>
    <x v="1"/>
    <x v="4"/>
    <s v="TRK11014449"/>
    <s v="5"/>
    <x v="3"/>
    <s v="Email"/>
    <n v="280.25"/>
  </r>
  <r>
    <x v="55"/>
    <x v="53"/>
    <s v="C95984"/>
    <x v="4"/>
    <n v="3"/>
    <n v="344.4"/>
    <s v="565 Main St"/>
    <x v="1"/>
    <x v="1"/>
    <s v="TRK67434829"/>
    <s v="3"/>
    <x v="2"/>
    <s v="Facebook"/>
    <n v="1033.2"/>
  </r>
  <r>
    <x v="56"/>
    <x v="54"/>
    <s v="C54298"/>
    <x v="2"/>
    <n v="3"/>
    <n v="479.21"/>
    <s v="566 Main St"/>
    <x v="4"/>
    <x v="1"/>
    <s v="TRK62902341"/>
    <s v="5"/>
    <x v="3"/>
    <s v="Referral"/>
    <n v="1437.63"/>
  </r>
  <r>
    <x v="57"/>
    <x v="55"/>
    <s v="C88036"/>
    <x v="4"/>
    <n v="5"/>
    <n v="314.27"/>
    <s v="842 Main St"/>
    <x v="4"/>
    <x v="2"/>
    <s v="TRK52470128"/>
    <s v="6"/>
    <x v="0"/>
    <s v="Instagram"/>
    <n v="1571.35"/>
  </r>
  <r>
    <x v="58"/>
    <x v="56"/>
    <s v="C60190"/>
    <x v="1"/>
    <n v="4"/>
    <n v="474.69"/>
    <s v="202 Main St"/>
    <x v="3"/>
    <x v="1"/>
    <s v="TRK70857868"/>
    <s v="6"/>
    <x v="0"/>
    <s v="Google"/>
    <n v="1898.76"/>
  </r>
  <r>
    <x v="59"/>
    <x v="57"/>
    <s v="C97603"/>
    <x v="3"/>
    <n v="4"/>
    <n v="593.27"/>
    <s v="811 Main St"/>
    <x v="1"/>
    <x v="0"/>
    <s v="TRK47055028"/>
    <s v="5"/>
    <x v="2"/>
    <s v="Facebook"/>
    <n v="2373.08"/>
  </r>
  <r>
    <x v="60"/>
    <x v="58"/>
    <s v="C39256"/>
    <x v="6"/>
    <n v="1"/>
    <n v="417.1"/>
    <s v="634 Main St"/>
    <x v="0"/>
    <x v="2"/>
    <s v="TRK23412025"/>
    <s v="3"/>
    <x v="1"/>
    <s v="Referral"/>
    <n v="417.1"/>
  </r>
  <r>
    <x v="61"/>
    <x v="59"/>
    <s v="C61618"/>
    <x v="6"/>
    <n v="4"/>
    <n v="122.2"/>
    <s v="104 Main St"/>
    <x v="4"/>
    <x v="3"/>
    <s v="TRK43458485"/>
    <s v="7"/>
    <x v="1"/>
    <s v="Facebook"/>
    <n v="488.8"/>
  </r>
  <r>
    <x v="62"/>
    <x v="60"/>
    <s v="C36497"/>
    <x v="6"/>
    <n v="2"/>
    <n v="43.15"/>
    <s v="691 Main St"/>
    <x v="0"/>
    <x v="4"/>
    <s v="TRK12102911"/>
    <s v="3"/>
    <x v="3"/>
    <s v="Email"/>
    <n v="86.3"/>
  </r>
  <r>
    <x v="63"/>
    <x v="61"/>
    <s v="C96695"/>
    <x v="3"/>
    <n v="1"/>
    <n v="564.86"/>
    <s v="813 Main St"/>
    <x v="0"/>
    <x v="0"/>
    <s v="TRK64283851"/>
    <s v="6"/>
    <x v="3"/>
    <s v="Referral"/>
    <n v="564.86"/>
  </r>
  <r>
    <x v="64"/>
    <x v="62"/>
    <s v="C49720"/>
    <x v="4"/>
    <n v="3"/>
    <n v="130.61000000000001"/>
    <s v="752 Main St"/>
    <x v="0"/>
    <x v="1"/>
    <s v="TRK55785217"/>
    <s v="4"/>
    <x v="1"/>
    <s v="Facebook"/>
    <n v="391.83"/>
  </r>
  <r>
    <x v="65"/>
    <x v="63"/>
    <s v="C97735"/>
    <x v="0"/>
    <n v="5"/>
    <n v="81.7"/>
    <s v="385 Main St"/>
    <x v="2"/>
    <x v="3"/>
    <s v="TRK13743703"/>
    <s v="6"/>
    <x v="2"/>
    <s v="Instagram"/>
    <n v="408.5"/>
  </r>
  <r>
    <x v="66"/>
    <x v="64"/>
    <s v="C18104"/>
    <x v="3"/>
    <n v="5"/>
    <n v="127.18"/>
    <s v="715 Main St"/>
    <x v="4"/>
    <x v="1"/>
    <s v="TRK15488568"/>
    <s v="9"/>
    <x v="0"/>
    <s v="Referral"/>
    <n v="635.9"/>
  </r>
  <r>
    <x v="67"/>
    <x v="65"/>
    <s v="C25587"/>
    <x v="4"/>
    <n v="4"/>
    <n v="12.1"/>
    <s v="440 Main St"/>
    <x v="0"/>
    <x v="1"/>
    <s v="TRK55105323"/>
    <s v="8"/>
    <x v="2"/>
    <s v="Google"/>
    <n v="48.4"/>
  </r>
  <r>
    <x v="68"/>
    <x v="66"/>
    <s v="C41598"/>
    <x v="3"/>
    <n v="3"/>
    <n v="490.92"/>
    <s v="709 Main St"/>
    <x v="2"/>
    <x v="4"/>
    <s v="TRK81665940"/>
    <s v="5"/>
    <x v="1"/>
    <s v="Email"/>
    <n v="1472.76"/>
  </r>
  <r>
    <x v="69"/>
    <x v="67"/>
    <s v="C43338"/>
    <x v="0"/>
    <n v="3"/>
    <n v="478.65"/>
    <s v="552 Main St"/>
    <x v="1"/>
    <x v="0"/>
    <s v="TRK35241775"/>
    <s v="4"/>
    <x v="2"/>
    <s v="Referral"/>
    <n v="1435.95"/>
  </r>
  <r>
    <x v="70"/>
    <x v="68"/>
    <s v="C25123"/>
    <x v="6"/>
    <n v="1"/>
    <n v="629.21"/>
    <s v="384 Main St"/>
    <x v="3"/>
    <x v="4"/>
    <s v="TRK27812282"/>
    <s v="2"/>
    <x v="1"/>
    <s v="Instagram"/>
    <n v="629.21"/>
  </r>
  <r>
    <x v="71"/>
    <x v="69"/>
    <s v="C37454"/>
    <x v="0"/>
    <n v="3"/>
    <n v="434.45"/>
    <s v="923 Main St"/>
    <x v="2"/>
    <x v="4"/>
    <s v="TRK28252730"/>
    <s v="4"/>
    <x v="2"/>
    <s v="Referral"/>
    <n v="1303.3499999999999"/>
  </r>
  <r>
    <x v="72"/>
    <x v="70"/>
    <s v="C19451"/>
    <x v="2"/>
    <n v="4"/>
    <n v="589.44000000000005"/>
    <s v="942 Main St"/>
    <x v="3"/>
    <x v="2"/>
    <s v="TRK87787793"/>
    <s v="5"/>
    <x v="2"/>
    <s v="Facebook"/>
    <n v="2357.7600000000002"/>
  </r>
  <r>
    <x v="73"/>
    <x v="71"/>
    <s v="C17269"/>
    <x v="0"/>
    <n v="4"/>
    <n v="433.45"/>
    <s v="129 Main St"/>
    <x v="3"/>
    <x v="1"/>
    <s v="TRK79608389"/>
    <s v="4"/>
    <x v="2"/>
    <s v="Facebook"/>
    <n v="1733.8"/>
  </r>
  <r>
    <x v="74"/>
    <x v="72"/>
    <s v="C25382"/>
    <x v="1"/>
    <n v="5"/>
    <n v="90.87"/>
    <s v="622 Main St"/>
    <x v="4"/>
    <x v="4"/>
    <s v="TRK64691287"/>
    <s v="5"/>
    <x v="2"/>
    <s v="Instagram"/>
    <n v="454.35"/>
  </r>
  <r>
    <x v="75"/>
    <x v="73"/>
    <s v="C80651"/>
    <x v="2"/>
    <n v="3"/>
    <n v="398.17"/>
    <s v="917 Main St"/>
    <x v="0"/>
    <x v="3"/>
    <s v="TRK14846720"/>
    <s v="5"/>
    <x v="0"/>
    <s v="Email"/>
    <n v="1194.51"/>
  </r>
  <r>
    <x v="76"/>
    <x v="74"/>
    <s v="C58638"/>
    <x v="5"/>
    <n v="4"/>
    <n v="382.88"/>
    <s v="239 Main St"/>
    <x v="4"/>
    <x v="1"/>
    <s v="TRK38224871"/>
    <s v="6"/>
    <x v="3"/>
    <s v="Email"/>
    <n v="1531.52"/>
  </r>
  <r>
    <x v="77"/>
    <x v="75"/>
    <s v="C50121"/>
    <x v="1"/>
    <n v="1"/>
    <n v="583.17999999999995"/>
    <s v="348 Main St"/>
    <x v="2"/>
    <x v="2"/>
    <s v="TRK79810059"/>
    <s v="5"/>
    <x v="2"/>
    <s v="Google"/>
    <n v="583.17999999999995"/>
  </r>
  <r>
    <x v="78"/>
    <x v="76"/>
    <s v="C32029"/>
    <x v="4"/>
    <n v="4"/>
    <n v="175.36"/>
    <s v="146 Main St"/>
    <x v="0"/>
    <x v="3"/>
    <s v="TRK68535532"/>
    <s v="4"/>
    <x v="1"/>
    <s v="Instagram"/>
    <n v="701.44"/>
  </r>
  <r>
    <x v="79"/>
    <x v="77"/>
    <s v="C76700"/>
    <x v="2"/>
    <n v="2"/>
    <n v="311.91000000000003"/>
    <s v="103 Main St"/>
    <x v="1"/>
    <x v="0"/>
    <s v="TRK13036341"/>
    <s v="2"/>
    <x v="2"/>
    <s v="Facebook"/>
    <n v="623.82000000000005"/>
  </r>
  <r>
    <x v="80"/>
    <x v="78"/>
    <s v="C29041"/>
    <x v="1"/>
    <n v="3"/>
    <n v="589.55999999999995"/>
    <s v="591 Main St"/>
    <x v="1"/>
    <x v="2"/>
    <s v="TRK28840655"/>
    <s v="6"/>
    <x v="2"/>
    <s v="Facebook"/>
    <n v="1768.68"/>
  </r>
  <r>
    <x v="81"/>
    <x v="79"/>
    <s v="C29314"/>
    <x v="0"/>
    <n v="2"/>
    <n v="394.3"/>
    <s v="496 Main St"/>
    <x v="4"/>
    <x v="0"/>
    <s v="TRK59876213"/>
    <s v="6"/>
    <x v="1"/>
    <s v="Email"/>
    <n v="788.6"/>
  </r>
  <r>
    <x v="82"/>
    <x v="80"/>
    <s v="C65799"/>
    <x v="2"/>
    <n v="4"/>
    <n v="565.20000000000005"/>
    <s v="971 Main St"/>
    <x v="0"/>
    <x v="0"/>
    <s v="TRK66906607"/>
    <s v="9"/>
    <x v="0"/>
    <s v="Google"/>
    <n v="2260.8000000000002"/>
  </r>
  <r>
    <x v="83"/>
    <x v="60"/>
    <s v="C15681"/>
    <x v="5"/>
    <n v="4"/>
    <n v="540.41"/>
    <s v="989 Main St"/>
    <x v="2"/>
    <x v="1"/>
    <s v="TRK75112172"/>
    <s v="6"/>
    <x v="2"/>
    <s v="Referral"/>
    <n v="2161.64"/>
  </r>
  <r>
    <x v="84"/>
    <x v="81"/>
    <s v="C64160"/>
    <x v="0"/>
    <n v="2"/>
    <n v="165.49"/>
    <s v="967 Main St"/>
    <x v="1"/>
    <x v="0"/>
    <s v="TRK34121529"/>
    <s v="4"/>
    <x v="3"/>
    <s v="Instagram"/>
    <n v="330.98"/>
  </r>
  <r>
    <x v="85"/>
    <x v="82"/>
    <s v="C14553"/>
    <x v="2"/>
    <n v="3"/>
    <n v="146.72999999999999"/>
    <s v="768 Main St"/>
    <x v="4"/>
    <x v="3"/>
    <s v="TRK93538334"/>
    <s v="8"/>
    <x v="1"/>
    <s v="Email"/>
    <n v="440.19"/>
  </r>
  <r>
    <x v="86"/>
    <x v="83"/>
    <s v="C88205"/>
    <x v="4"/>
    <n v="5"/>
    <n v="643.03"/>
    <s v="447 Main St"/>
    <x v="1"/>
    <x v="1"/>
    <s v="TRK93504166"/>
    <s v="5"/>
    <x v="1"/>
    <s v="Referral"/>
    <n v="3215.15"/>
  </r>
  <r>
    <x v="87"/>
    <x v="84"/>
    <s v="C91245"/>
    <x v="2"/>
    <n v="3"/>
    <n v="225.11"/>
    <s v="915 Main St"/>
    <x v="4"/>
    <x v="0"/>
    <s v="TRK46976391"/>
    <s v="4"/>
    <x v="0"/>
    <s v="Facebook"/>
    <n v="675.33"/>
  </r>
  <r>
    <x v="88"/>
    <x v="85"/>
    <s v="C75439"/>
    <x v="6"/>
    <n v="3"/>
    <n v="114.81"/>
    <s v="318 Main St"/>
    <x v="3"/>
    <x v="1"/>
    <s v="TRK19831653"/>
    <s v="7"/>
    <x v="2"/>
    <s v="Google"/>
    <n v="344.43"/>
  </r>
  <r>
    <x v="89"/>
    <x v="86"/>
    <s v="C17181"/>
    <x v="4"/>
    <n v="5"/>
    <n v="455.33"/>
    <s v="291 Main St"/>
    <x v="2"/>
    <x v="1"/>
    <s v="TRK78912978"/>
    <s v="8"/>
    <x v="1"/>
    <s v="Google"/>
    <n v="2276.65"/>
  </r>
  <r>
    <x v="90"/>
    <x v="87"/>
    <s v="C36540"/>
    <x v="3"/>
    <n v="4"/>
    <n v="182.08"/>
    <s v="611 Main St"/>
    <x v="3"/>
    <x v="3"/>
    <s v="TRK35828122"/>
    <s v="4"/>
    <x v="0"/>
    <s v="Email"/>
    <n v="728.32"/>
  </r>
  <r>
    <x v="91"/>
    <x v="88"/>
    <s v="C98216"/>
    <x v="5"/>
    <n v="5"/>
    <n v="492.75"/>
    <s v="196 Main St"/>
    <x v="4"/>
    <x v="0"/>
    <s v="TRK40986666"/>
    <s v="6"/>
    <x v="3"/>
    <s v="Referral"/>
    <n v="2463.75"/>
  </r>
  <r>
    <x v="92"/>
    <x v="89"/>
    <s v="C29568"/>
    <x v="4"/>
    <n v="4"/>
    <n v="48.61"/>
    <s v="203 Main St"/>
    <x v="1"/>
    <x v="0"/>
    <s v="TRK46531075"/>
    <s v="7"/>
    <x v="1"/>
    <s v="Facebook"/>
    <n v="194.44"/>
  </r>
  <r>
    <x v="93"/>
    <x v="90"/>
    <s v="C97262"/>
    <x v="6"/>
    <n v="4"/>
    <n v="431.01"/>
    <s v="837 Main St"/>
    <x v="2"/>
    <x v="2"/>
    <s v="TRK65990229"/>
    <s v="7"/>
    <x v="2"/>
    <s v="Referral"/>
    <n v="1724.04"/>
  </r>
  <r>
    <x v="94"/>
    <x v="91"/>
    <s v="C79821"/>
    <x v="3"/>
    <n v="1"/>
    <n v="531.17999999999995"/>
    <s v="781 Main St"/>
    <x v="3"/>
    <x v="2"/>
    <s v="TRK12780193"/>
    <s v="6"/>
    <x v="3"/>
    <s v="Instagram"/>
    <n v="531.17999999999995"/>
  </r>
  <r>
    <x v="95"/>
    <x v="92"/>
    <s v="C76761"/>
    <x v="4"/>
    <n v="4"/>
    <n v="117.51"/>
    <s v="839 Main St"/>
    <x v="0"/>
    <x v="2"/>
    <s v="TRK60179774"/>
    <s v="7"/>
    <x v="2"/>
    <s v="Referral"/>
    <n v="470.04"/>
  </r>
  <r>
    <x v="96"/>
    <x v="93"/>
    <s v="C93007"/>
    <x v="1"/>
    <n v="2"/>
    <n v="232.83"/>
    <s v="103 Main St"/>
    <x v="3"/>
    <x v="3"/>
    <s v="TRK85696091"/>
    <s v="7"/>
    <x v="2"/>
    <s v="Instagram"/>
    <n v="465.66"/>
  </r>
  <r>
    <x v="97"/>
    <x v="94"/>
    <s v="C15624"/>
    <x v="2"/>
    <n v="5"/>
    <n v="619.52"/>
    <s v="922 Main St"/>
    <x v="0"/>
    <x v="4"/>
    <s v="TRK40621141"/>
    <s v="9"/>
    <x v="2"/>
    <s v="Email"/>
    <n v="3097.6"/>
  </r>
  <r>
    <x v="98"/>
    <x v="90"/>
    <s v="C70921"/>
    <x v="4"/>
    <n v="2"/>
    <n v="228.54"/>
    <s v="533 Main St"/>
    <x v="0"/>
    <x v="4"/>
    <s v="TRK54983109"/>
    <s v="3"/>
    <x v="2"/>
    <s v="Email"/>
    <n v="457.08"/>
  </r>
  <r>
    <x v="99"/>
    <x v="95"/>
    <s v="C30477"/>
    <x v="4"/>
    <n v="1"/>
    <n v="201.58"/>
    <s v="717 Main St"/>
    <x v="0"/>
    <x v="1"/>
    <s v="TRK51829648"/>
    <s v="2"/>
    <x v="3"/>
    <s v="Email"/>
    <n v="201.58"/>
  </r>
  <r>
    <x v="100"/>
    <x v="96"/>
    <s v="C74866"/>
    <x v="1"/>
    <n v="3"/>
    <n v="664.79"/>
    <s v="743 Main St"/>
    <x v="1"/>
    <x v="3"/>
    <s v="TRK53783265"/>
    <s v="6"/>
    <x v="2"/>
    <s v="Facebook"/>
    <n v="1994.37"/>
  </r>
  <r>
    <x v="101"/>
    <x v="97"/>
    <s v="C15283"/>
    <x v="4"/>
    <n v="1"/>
    <n v="381.02"/>
    <s v="152 Main St"/>
    <x v="4"/>
    <x v="0"/>
    <s v="TRK19286291"/>
    <s v="6"/>
    <x v="2"/>
    <s v="Google"/>
    <n v="381.02"/>
  </r>
  <r>
    <x v="102"/>
    <x v="98"/>
    <s v="C18037"/>
    <x v="5"/>
    <n v="2"/>
    <n v="70.34"/>
    <s v="944 Main St"/>
    <x v="3"/>
    <x v="1"/>
    <s v="TRK47362236"/>
    <s v="3"/>
    <x v="1"/>
    <s v="Email"/>
    <n v="140.68"/>
  </r>
  <r>
    <x v="103"/>
    <x v="99"/>
    <s v="C62656"/>
    <x v="1"/>
    <n v="4"/>
    <n v="218.43"/>
    <s v="514 Main St"/>
    <x v="2"/>
    <x v="1"/>
    <s v="TRK86296459"/>
    <s v="9"/>
    <x v="0"/>
    <s v="Email"/>
    <n v="873.72"/>
  </r>
  <r>
    <x v="104"/>
    <x v="100"/>
    <s v="C65744"/>
    <x v="1"/>
    <n v="1"/>
    <n v="582.04"/>
    <s v="647 Main St"/>
    <x v="3"/>
    <x v="3"/>
    <s v="TRK39906058"/>
    <s v="1"/>
    <x v="1"/>
    <s v="Email"/>
    <n v="582.04"/>
  </r>
  <r>
    <x v="105"/>
    <x v="101"/>
    <s v="C72290"/>
    <x v="4"/>
    <n v="3"/>
    <n v="185.4"/>
    <s v="810 Main St"/>
    <x v="3"/>
    <x v="1"/>
    <s v="TRK68792129"/>
    <s v="7"/>
    <x v="2"/>
    <s v="Facebook"/>
    <n v="556.20000000000005"/>
  </r>
  <r>
    <x v="106"/>
    <x v="102"/>
    <s v="C73514"/>
    <x v="6"/>
    <n v="3"/>
    <n v="465.05"/>
    <s v="126 Main St"/>
    <x v="2"/>
    <x v="1"/>
    <s v="TRK96777924"/>
    <s v="3"/>
    <x v="0"/>
    <s v="Email"/>
    <n v="1395.15"/>
  </r>
  <r>
    <x v="107"/>
    <x v="14"/>
    <s v="C16775"/>
    <x v="4"/>
    <n v="5"/>
    <n v="670.75"/>
    <s v="848 Main St"/>
    <x v="3"/>
    <x v="0"/>
    <s v="TRK34392124"/>
    <s v="8"/>
    <x v="1"/>
    <s v="Instagram"/>
    <n v="3353.75"/>
  </r>
  <r>
    <x v="108"/>
    <x v="103"/>
    <s v="C33099"/>
    <x v="5"/>
    <n v="5"/>
    <n v="48.38"/>
    <s v="522 Main St"/>
    <x v="3"/>
    <x v="3"/>
    <s v="TRK28522330"/>
    <s v="9"/>
    <x v="3"/>
    <s v="Email"/>
    <n v="241.9"/>
  </r>
  <r>
    <x v="109"/>
    <x v="104"/>
    <s v="C51157"/>
    <x v="6"/>
    <n v="3"/>
    <n v="592.87"/>
    <s v="131 Main St"/>
    <x v="3"/>
    <x v="0"/>
    <s v="TRK18674578"/>
    <s v="3"/>
    <x v="1"/>
    <s v="Referral"/>
    <n v="1778.61"/>
  </r>
  <r>
    <x v="110"/>
    <x v="105"/>
    <s v="C74562"/>
    <x v="2"/>
    <n v="1"/>
    <n v="220.77"/>
    <s v="388 Main St"/>
    <x v="3"/>
    <x v="4"/>
    <s v="TRK32062079"/>
    <s v="5"/>
    <x v="1"/>
    <s v="Instagram"/>
    <n v="220.77"/>
  </r>
  <r>
    <x v="111"/>
    <x v="106"/>
    <s v="C95271"/>
    <x v="6"/>
    <n v="3"/>
    <n v="309.22000000000003"/>
    <s v="620 Main St"/>
    <x v="1"/>
    <x v="1"/>
    <s v="TRK74904969"/>
    <s v="7"/>
    <x v="1"/>
    <s v="Google"/>
    <n v="927.66"/>
  </r>
  <r>
    <x v="112"/>
    <x v="107"/>
    <s v="C81366"/>
    <x v="0"/>
    <n v="1"/>
    <n v="410.6"/>
    <s v="423 Main St"/>
    <x v="1"/>
    <x v="1"/>
    <s v="TRK17062206"/>
    <s v="2"/>
    <x v="3"/>
    <s v="Referral"/>
    <n v="410.6"/>
  </r>
  <r>
    <x v="113"/>
    <x v="108"/>
    <s v="C65905"/>
    <x v="5"/>
    <n v="5"/>
    <n v="190.08"/>
    <s v="605 Main St"/>
    <x v="4"/>
    <x v="0"/>
    <s v="TRK73954365"/>
    <s v="9"/>
    <x v="1"/>
    <s v="Instagram"/>
    <n v="950.4"/>
  </r>
  <r>
    <x v="114"/>
    <x v="109"/>
    <s v="C77272"/>
    <x v="0"/>
    <n v="5"/>
    <n v="498.48"/>
    <s v="115 Main St"/>
    <x v="1"/>
    <x v="4"/>
    <s v="TRK29708128"/>
    <s v="8"/>
    <x v="0"/>
    <s v="Google"/>
    <n v="2492.4"/>
  </r>
  <r>
    <x v="115"/>
    <x v="110"/>
    <s v="C32580"/>
    <x v="1"/>
    <n v="5"/>
    <n v="374.99"/>
    <s v="122 Main St"/>
    <x v="1"/>
    <x v="0"/>
    <s v="TRK23670394"/>
    <s v="9"/>
    <x v="0"/>
    <s v="Facebook"/>
    <n v="1874.95"/>
  </r>
  <r>
    <x v="116"/>
    <x v="111"/>
    <s v="C47761"/>
    <x v="4"/>
    <n v="4"/>
    <n v="291.35000000000002"/>
    <s v="109 Main St"/>
    <x v="2"/>
    <x v="1"/>
    <s v="TRK66669207"/>
    <s v="6"/>
    <x v="3"/>
    <s v="Facebook"/>
    <n v="1165.4000000000001"/>
  </r>
  <r>
    <x v="117"/>
    <x v="98"/>
    <s v="C49187"/>
    <x v="2"/>
    <n v="1"/>
    <n v="535.5"/>
    <s v="593 Main St"/>
    <x v="3"/>
    <x v="1"/>
    <s v="TRK81888598"/>
    <s v="5"/>
    <x v="3"/>
    <s v="Referral"/>
    <n v="535.5"/>
  </r>
  <r>
    <x v="118"/>
    <x v="112"/>
    <s v="C27898"/>
    <x v="4"/>
    <n v="5"/>
    <n v="502.71"/>
    <s v="807 Main St"/>
    <x v="3"/>
    <x v="0"/>
    <s v="TRK61957665"/>
    <s v="7"/>
    <x v="1"/>
    <s v="Google"/>
    <n v="2513.5500000000002"/>
  </r>
  <r>
    <x v="119"/>
    <x v="113"/>
    <s v="C14683"/>
    <x v="6"/>
    <n v="2"/>
    <n v="534.66999999999996"/>
    <s v="187 Main St"/>
    <x v="0"/>
    <x v="0"/>
    <s v="TRK47373682"/>
    <s v="7"/>
    <x v="1"/>
    <s v="Referral"/>
    <n v="1069.3399999999999"/>
  </r>
  <r>
    <x v="120"/>
    <x v="114"/>
    <s v="C58108"/>
    <x v="2"/>
    <n v="4"/>
    <n v="629.34"/>
    <s v="986 Main St"/>
    <x v="4"/>
    <x v="1"/>
    <s v="TRK66218053"/>
    <s v="4"/>
    <x v="3"/>
    <s v="Instagram"/>
    <n v="2517.36"/>
  </r>
  <r>
    <x v="121"/>
    <x v="115"/>
    <s v="C89822"/>
    <x v="6"/>
    <n v="1"/>
    <n v="410.78"/>
    <s v="673 Main St"/>
    <x v="4"/>
    <x v="1"/>
    <s v="TRK24138598"/>
    <s v="1"/>
    <x v="1"/>
    <s v="Instagram"/>
    <n v="410.78"/>
  </r>
  <r>
    <x v="122"/>
    <x v="116"/>
    <s v="C96787"/>
    <x v="5"/>
    <n v="2"/>
    <n v="533.02"/>
    <s v="588 Main St"/>
    <x v="3"/>
    <x v="0"/>
    <s v="TRK30422853"/>
    <s v="2"/>
    <x v="2"/>
    <s v="Facebook"/>
    <n v="1066.04"/>
  </r>
  <r>
    <x v="123"/>
    <x v="117"/>
    <s v="C86064"/>
    <x v="6"/>
    <n v="3"/>
    <n v="278.04000000000002"/>
    <s v="727 Main St"/>
    <x v="1"/>
    <x v="3"/>
    <s v="TRK62182901"/>
    <s v="5"/>
    <x v="2"/>
    <s v="Instagram"/>
    <n v="834.12"/>
  </r>
  <r>
    <x v="124"/>
    <x v="118"/>
    <s v="C97148"/>
    <x v="4"/>
    <n v="4"/>
    <n v="283.79000000000002"/>
    <s v="563 Main St"/>
    <x v="1"/>
    <x v="4"/>
    <s v="TRK85321126"/>
    <s v="8"/>
    <x v="2"/>
    <s v="Google"/>
    <n v="1135.1600000000001"/>
  </r>
  <r>
    <x v="125"/>
    <x v="119"/>
    <s v="C91099"/>
    <x v="1"/>
    <n v="2"/>
    <n v="512.65"/>
    <s v="758 Main St"/>
    <x v="2"/>
    <x v="0"/>
    <s v="TRK81846174"/>
    <s v="5"/>
    <x v="0"/>
    <s v="Email"/>
    <n v="1025.3"/>
  </r>
  <r>
    <x v="126"/>
    <x v="120"/>
    <s v="C55606"/>
    <x v="6"/>
    <n v="4"/>
    <n v="275.5"/>
    <s v="353 Main St"/>
    <x v="3"/>
    <x v="0"/>
    <s v="TRK68250319"/>
    <s v="8"/>
    <x v="1"/>
    <s v="Google"/>
    <n v="1102"/>
  </r>
  <r>
    <x v="127"/>
    <x v="121"/>
    <s v="C71486"/>
    <x v="6"/>
    <n v="3"/>
    <n v="469.32"/>
    <s v="365 Main St"/>
    <x v="0"/>
    <x v="0"/>
    <s v="TRK73929833"/>
    <s v="3"/>
    <x v="2"/>
    <s v="Google"/>
    <n v="1407.96"/>
  </r>
  <r>
    <x v="128"/>
    <x v="96"/>
    <s v="C86408"/>
    <x v="2"/>
    <n v="4"/>
    <n v="21.07"/>
    <s v="244 Main St"/>
    <x v="3"/>
    <x v="3"/>
    <s v="TRK41432648"/>
    <s v="4"/>
    <x v="1"/>
    <s v="Google"/>
    <n v="84.28"/>
  </r>
  <r>
    <x v="129"/>
    <x v="122"/>
    <s v="C52751"/>
    <x v="5"/>
    <n v="4"/>
    <n v="263.93"/>
    <s v="427 Main St"/>
    <x v="0"/>
    <x v="0"/>
    <s v="TRK72481234"/>
    <s v="4"/>
    <x v="1"/>
    <s v="Facebook"/>
    <n v="1055.72"/>
  </r>
  <r>
    <x v="130"/>
    <x v="123"/>
    <s v="C29059"/>
    <x v="6"/>
    <n v="3"/>
    <n v="501.3"/>
    <s v="513 Main St"/>
    <x v="1"/>
    <x v="1"/>
    <s v="TRK88360704"/>
    <s v="3"/>
    <x v="3"/>
    <s v="Facebook"/>
    <n v="1503.9"/>
  </r>
  <r>
    <x v="131"/>
    <x v="124"/>
    <s v="C72862"/>
    <x v="2"/>
    <n v="1"/>
    <n v="84.8"/>
    <s v="606 Main St"/>
    <x v="3"/>
    <x v="4"/>
    <s v="TRK51648833"/>
    <s v="5"/>
    <x v="2"/>
    <s v="Instagram"/>
    <n v="84.8"/>
  </r>
  <r>
    <x v="132"/>
    <x v="125"/>
    <s v="C96257"/>
    <x v="2"/>
    <n v="4"/>
    <n v="450.75"/>
    <s v="583 Main St"/>
    <x v="2"/>
    <x v="0"/>
    <s v="TRK13137948"/>
    <s v="6"/>
    <x v="3"/>
    <s v="Email"/>
    <n v="1803"/>
  </r>
  <r>
    <x v="133"/>
    <x v="126"/>
    <s v="C87432"/>
    <x v="3"/>
    <n v="4"/>
    <n v="302.05"/>
    <s v="636 Main St"/>
    <x v="0"/>
    <x v="1"/>
    <s v="TRK68969625"/>
    <s v="6"/>
    <x v="0"/>
    <s v="Google"/>
    <n v="1208.2"/>
  </r>
  <r>
    <x v="134"/>
    <x v="127"/>
    <s v="C16253"/>
    <x v="5"/>
    <n v="2"/>
    <n v="199.7"/>
    <s v="583 Main St"/>
    <x v="4"/>
    <x v="4"/>
    <s v="TRK17354894"/>
    <s v="4"/>
    <x v="2"/>
    <s v="Email"/>
    <n v="399.4"/>
  </r>
  <r>
    <x v="135"/>
    <x v="128"/>
    <s v="C79909"/>
    <x v="4"/>
    <n v="2"/>
    <n v="68.81"/>
    <s v="642 Main St"/>
    <x v="3"/>
    <x v="0"/>
    <s v="TRK86742257"/>
    <s v="5"/>
    <x v="0"/>
    <s v="Referral"/>
    <n v="137.62"/>
  </r>
  <r>
    <x v="136"/>
    <x v="129"/>
    <s v="C73370"/>
    <x v="5"/>
    <n v="1"/>
    <n v="44.35"/>
    <s v="595 Main St"/>
    <x v="3"/>
    <x v="1"/>
    <s v="TRK67820278"/>
    <s v="1"/>
    <x v="0"/>
    <s v="Instagram"/>
    <n v="44.35"/>
  </r>
  <r>
    <x v="137"/>
    <x v="130"/>
    <s v="C50682"/>
    <x v="0"/>
    <n v="2"/>
    <n v="250.98"/>
    <s v="598 Main St"/>
    <x v="2"/>
    <x v="3"/>
    <s v="TRK12242337"/>
    <s v="5"/>
    <x v="2"/>
    <s v="Google"/>
    <n v="501.96"/>
  </r>
  <r>
    <x v="138"/>
    <x v="131"/>
    <s v="C21905"/>
    <x v="2"/>
    <n v="1"/>
    <n v="298.06"/>
    <s v="478 Main St"/>
    <x v="0"/>
    <x v="4"/>
    <s v="TRK31863841"/>
    <s v="3"/>
    <x v="3"/>
    <s v="Google"/>
    <n v="298.06"/>
  </r>
  <r>
    <x v="139"/>
    <x v="132"/>
    <s v="C61440"/>
    <x v="1"/>
    <n v="1"/>
    <n v="583.9"/>
    <s v="714 Main St"/>
    <x v="4"/>
    <x v="2"/>
    <s v="TRK33114521"/>
    <s v="1"/>
    <x v="2"/>
    <s v="Email"/>
    <n v="583.9"/>
  </r>
  <r>
    <x v="140"/>
    <x v="133"/>
    <s v="C33110"/>
    <x v="3"/>
    <n v="3"/>
    <n v="528.14"/>
    <s v="388 Main St"/>
    <x v="1"/>
    <x v="3"/>
    <s v="TRK38624225"/>
    <s v="3"/>
    <x v="1"/>
    <s v="Email"/>
    <n v="1584.42"/>
  </r>
  <r>
    <x v="141"/>
    <x v="134"/>
    <s v="C80004"/>
    <x v="4"/>
    <n v="3"/>
    <n v="684.14"/>
    <s v="151 Main St"/>
    <x v="4"/>
    <x v="1"/>
    <s v="TRK66230753"/>
    <s v="3"/>
    <x v="3"/>
    <s v="Instagram"/>
    <n v="2052.42"/>
  </r>
  <r>
    <x v="142"/>
    <x v="135"/>
    <s v="C86374"/>
    <x v="6"/>
    <n v="5"/>
    <n v="272.77"/>
    <s v="573 Main St"/>
    <x v="4"/>
    <x v="4"/>
    <s v="TRK79451491"/>
    <s v="7"/>
    <x v="3"/>
    <s v="Email"/>
    <n v="1363.85"/>
  </r>
  <r>
    <x v="143"/>
    <x v="136"/>
    <s v="C66521"/>
    <x v="3"/>
    <n v="4"/>
    <n v="400.07"/>
    <s v="933 Main St"/>
    <x v="1"/>
    <x v="0"/>
    <s v="TRK34654244"/>
    <s v="5"/>
    <x v="2"/>
    <s v="Referral"/>
    <n v="1600.28"/>
  </r>
  <r>
    <x v="144"/>
    <x v="128"/>
    <s v="C63365"/>
    <x v="6"/>
    <n v="5"/>
    <n v="219.78"/>
    <s v="895 Main St"/>
    <x v="2"/>
    <x v="4"/>
    <s v="TRK80100887"/>
    <s v="8"/>
    <x v="2"/>
    <s v="Facebook"/>
    <n v="1098.9000000000001"/>
  </r>
  <r>
    <x v="145"/>
    <x v="17"/>
    <s v="C85929"/>
    <x v="4"/>
    <n v="3"/>
    <n v="146.91"/>
    <s v="798 Main St"/>
    <x v="2"/>
    <x v="3"/>
    <s v="TRK29318610"/>
    <s v="6"/>
    <x v="1"/>
    <s v="Google"/>
    <n v="440.73"/>
  </r>
  <r>
    <x v="146"/>
    <x v="137"/>
    <s v="C84645"/>
    <x v="2"/>
    <n v="2"/>
    <n v="411.49"/>
    <s v="404 Main St"/>
    <x v="2"/>
    <x v="2"/>
    <s v="TRK68893369"/>
    <s v="4"/>
    <x v="2"/>
    <s v="Instagram"/>
    <n v="822.98"/>
  </r>
  <r>
    <x v="147"/>
    <x v="138"/>
    <s v="C46316"/>
    <x v="5"/>
    <n v="2"/>
    <n v="465.18"/>
    <s v="893 Main St"/>
    <x v="2"/>
    <x v="1"/>
    <s v="TRK16196000"/>
    <s v="2"/>
    <x v="0"/>
    <s v="Google"/>
    <n v="930.36"/>
  </r>
  <r>
    <x v="148"/>
    <x v="139"/>
    <s v="C35100"/>
    <x v="1"/>
    <n v="2"/>
    <n v="319.91000000000003"/>
    <s v="139 Main St"/>
    <x v="2"/>
    <x v="1"/>
    <s v="TRK56853491"/>
    <s v="3"/>
    <x v="3"/>
    <s v="Google"/>
    <n v="639.82000000000005"/>
  </r>
  <r>
    <x v="149"/>
    <x v="140"/>
    <s v="C39671"/>
    <x v="5"/>
    <n v="1"/>
    <n v="217.56"/>
    <s v="174 Main St"/>
    <x v="0"/>
    <x v="3"/>
    <s v="TRK47153818"/>
    <s v="3"/>
    <x v="2"/>
    <s v="Facebook"/>
    <n v="217.56"/>
  </r>
  <r>
    <x v="150"/>
    <x v="141"/>
    <s v="C25503"/>
    <x v="1"/>
    <n v="2"/>
    <n v="105.57"/>
    <s v="981 Main St"/>
    <x v="0"/>
    <x v="2"/>
    <s v="TRK29878837"/>
    <s v="5"/>
    <x v="3"/>
    <s v="Google"/>
    <n v="211.14"/>
  </r>
  <r>
    <x v="151"/>
    <x v="142"/>
    <s v="C32960"/>
    <x v="4"/>
    <n v="5"/>
    <n v="444.76"/>
    <s v="947 Main St"/>
    <x v="0"/>
    <x v="2"/>
    <s v="TRK91226500"/>
    <s v="7"/>
    <x v="2"/>
    <s v="Email"/>
    <n v="2223.8000000000002"/>
  </r>
  <r>
    <x v="152"/>
    <x v="143"/>
    <s v="C77736"/>
    <x v="3"/>
    <n v="2"/>
    <n v="399.04"/>
    <s v="659 Main St"/>
    <x v="4"/>
    <x v="1"/>
    <s v="TRK90329250"/>
    <s v="3"/>
    <x v="1"/>
    <s v="Referral"/>
    <n v="798.08"/>
  </r>
  <r>
    <x v="153"/>
    <x v="144"/>
    <s v="C71570"/>
    <x v="3"/>
    <n v="4"/>
    <n v="534.48"/>
    <s v="437 Main St"/>
    <x v="1"/>
    <x v="2"/>
    <s v="TRK95992269"/>
    <s v="9"/>
    <x v="3"/>
    <s v="Instagram"/>
    <n v="2137.92"/>
  </r>
  <r>
    <x v="154"/>
    <x v="145"/>
    <s v="C73587"/>
    <x v="1"/>
    <n v="4"/>
    <n v="408.21"/>
    <s v="727 Main St"/>
    <x v="2"/>
    <x v="4"/>
    <s v="TRK13955543"/>
    <s v="9"/>
    <x v="2"/>
    <s v="Instagram"/>
    <n v="1632.84"/>
  </r>
  <r>
    <x v="155"/>
    <x v="146"/>
    <s v="C62740"/>
    <x v="1"/>
    <n v="1"/>
    <n v="424.4"/>
    <s v="446 Main St"/>
    <x v="1"/>
    <x v="0"/>
    <s v="TRK20706408"/>
    <s v="6"/>
    <x v="3"/>
    <s v="Referral"/>
    <n v="424.4"/>
  </r>
  <r>
    <x v="156"/>
    <x v="147"/>
    <s v="C58808"/>
    <x v="3"/>
    <n v="2"/>
    <n v="269.83"/>
    <s v="651 Main St"/>
    <x v="1"/>
    <x v="3"/>
    <s v="TRK24451893"/>
    <s v="4"/>
    <x v="0"/>
    <s v="Email"/>
    <n v="539.66"/>
  </r>
  <r>
    <x v="157"/>
    <x v="148"/>
    <s v="C50422"/>
    <x v="0"/>
    <n v="2"/>
    <n v="564.58000000000004"/>
    <s v="636 Main St"/>
    <x v="1"/>
    <x v="2"/>
    <s v="TRK71227815"/>
    <s v="4"/>
    <x v="3"/>
    <s v="Facebook"/>
    <n v="1129.1600000000001"/>
  </r>
  <r>
    <x v="158"/>
    <x v="149"/>
    <s v="C23334"/>
    <x v="2"/>
    <n v="1"/>
    <n v="331.06"/>
    <s v="737 Main St"/>
    <x v="2"/>
    <x v="4"/>
    <s v="TRK46335144"/>
    <s v="5"/>
    <x v="3"/>
    <s v="Instagram"/>
    <n v="331.06"/>
  </r>
  <r>
    <x v="159"/>
    <x v="150"/>
    <s v="C48965"/>
    <x v="4"/>
    <n v="1"/>
    <n v="299.35000000000002"/>
    <s v="819 Main St"/>
    <x v="2"/>
    <x v="1"/>
    <s v="TRK50921780"/>
    <s v="5"/>
    <x v="3"/>
    <s v="Email"/>
    <n v="299.35000000000002"/>
  </r>
  <r>
    <x v="160"/>
    <x v="96"/>
    <s v="C38669"/>
    <x v="0"/>
    <n v="4"/>
    <n v="101.32"/>
    <s v="240 Main St"/>
    <x v="4"/>
    <x v="4"/>
    <s v="TRK81738254"/>
    <s v="7"/>
    <x v="2"/>
    <s v="Referral"/>
    <n v="405.28"/>
  </r>
  <r>
    <x v="161"/>
    <x v="151"/>
    <s v="C35091"/>
    <x v="0"/>
    <n v="1"/>
    <n v="211.14"/>
    <s v="513 Main St"/>
    <x v="2"/>
    <x v="1"/>
    <s v="TRK53784452"/>
    <s v="1"/>
    <x v="0"/>
    <s v="Facebook"/>
    <n v="211.14"/>
  </r>
  <r>
    <x v="162"/>
    <x v="152"/>
    <s v="C82313"/>
    <x v="3"/>
    <n v="3"/>
    <n v="65.86"/>
    <s v="917 Main St"/>
    <x v="1"/>
    <x v="4"/>
    <s v="TRK79854624"/>
    <s v="8"/>
    <x v="3"/>
    <s v="Google"/>
    <n v="197.58"/>
  </r>
  <r>
    <x v="163"/>
    <x v="53"/>
    <s v="C99589"/>
    <x v="2"/>
    <n v="1"/>
    <n v="641.39"/>
    <s v="277 Main St"/>
    <x v="1"/>
    <x v="1"/>
    <s v="TRK16695001"/>
    <s v="1"/>
    <x v="2"/>
    <s v="Referral"/>
    <n v="641.39"/>
  </r>
  <r>
    <x v="164"/>
    <x v="153"/>
    <s v="C70566"/>
    <x v="6"/>
    <n v="5"/>
    <n v="536.58000000000004"/>
    <s v="667 Main St"/>
    <x v="3"/>
    <x v="4"/>
    <s v="TRK49673411"/>
    <s v="5"/>
    <x v="0"/>
    <s v="Google"/>
    <n v="2682.9"/>
  </r>
  <r>
    <x v="165"/>
    <x v="154"/>
    <s v="C60355"/>
    <x v="0"/>
    <n v="2"/>
    <n v="500.29"/>
    <s v="226 Main St"/>
    <x v="1"/>
    <x v="2"/>
    <s v="TRK30155194"/>
    <s v="7"/>
    <x v="3"/>
    <s v="Google"/>
    <n v="1000.58"/>
  </r>
  <r>
    <x v="166"/>
    <x v="155"/>
    <s v="C28889"/>
    <x v="3"/>
    <n v="3"/>
    <n v="86.29"/>
    <s v="565 Main St"/>
    <x v="4"/>
    <x v="3"/>
    <s v="TRK23791726"/>
    <s v="6"/>
    <x v="3"/>
    <s v="Instagram"/>
    <n v="258.87"/>
  </r>
  <r>
    <x v="167"/>
    <x v="156"/>
    <s v="C88304"/>
    <x v="3"/>
    <n v="2"/>
    <n v="384.14"/>
    <s v="219 Main St"/>
    <x v="1"/>
    <x v="2"/>
    <s v="TRK44268941"/>
    <s v="2"/>
    <x v="3"/>
    <s v="Email"/>
    <n v="768.28"/>
  </r>
  <r>
    <x v="168"/>
    <x v="157"/>
    <s v="C49517"/>
    <x v="4"/>
    <n v="1"/>
    <n v="594.96"/>
    <s v="878 Main St"/>
    <x v="4"/>
    <x v="2"/>
    <s v="TRK78551375"/>
    <s v="6"/>
    <x v="2"/>
    <s v="Facebook"/>
    <n v="594.96"/>
  </r>
  <r>
    <x v="169"/>
    <x v="158"/>
    <s v="C35785"/>
    <x v="4"/>
    <n v="1"/>
    <n v="427.82"/>
    <s v="732 Main St"/>
    <x v="1"/>
    <x v="3"/>
    <s v="TRK78923089"/>
    <s v="2"/>
    <x v="3"/>
    <s v="Email"/>
    <n v="427.82"/>
  </r>
  <r>
    <x v="170"/>
    <x v="159"/>
    <s v="C80223"/>
    <x v="6"/>
    <n v="4"/>
    <n v="662.94"/>
    <s v="535 Main St"/>
    <x v="4"/>
    <x v="1"/>
    <s v="TRK68632951"/>
    <s v="8"/>
    <x v="0"/>
    <s v="Instagram"/>
    <n v="2651.76"/>
  </r>
  <r>
    <x v="171"/>
    <x v="160"/>
    <s v="C20448"/>
    <x v="2"/>
    <n v="2"/>
    <n v="148.22"/>
    <s v="336 Main St"/>
    <x v="2"/>
    <x v="3"/>
    <s v="TRK67379895"/>
    <s v="7"/>
    <x v="3"/>
    <s v="Instagram"/>
    <n v="296.44"/>
  </r>
  <r>
    <x v="172"/>
    <x v="161"/>
    <s v="C34134"/>
    <x v="4"/>
    <n v="1"/>
    <n v="254.12"/>
    <s v="365 Main St"/>
    <x v="1"/>
    <x v="3"/>
    <s v="TRK43074303"/>
    <s v="1"/>
    <x v="3"/>
    <s v="Email"/>
    <n v="254.12"/>
  </r>
  <r>
    <x v="173"/>
    <x v="59"/>
    <s v="C95901"/>
    <x v="1"/>
    <n v="3"/>
    <n v="664.46"/>
    <s v="806 Main St"/>
    <x v="1"/>
    <x v="3"/>
    <s v="TRK56989066"/>
    <s v="4"/>
    <x v="1"/>
    <s v="Google"/>
    <n v="1993.38"/>
  </r>
  <r>
    <x v="174"/>
    <x v="162"/>
    <s v="C51145"/>
    <x v="4"/>
    <n v="4"/>
    <n v="600.80999999999995"/>
    <s v="790 Main St"/>
    <x v="0"/>
    <x v="3"/>
    <s v="TRK59154274"/>
    <s v="9"/>
    <x v="0"/>
    <s v="Email"/>
    <n v="2403.2399999999998"/>
  </r>
  <r>
    <x v="175"/>
    <x v="163"/>
    <s v="C78170"/>
    <x v="3"/>
    <n v="5"/>
    <n v="68.34"/>
    <s v="332 Main St"/>
    <x v="0"/>
    <x v="4"/>
    <s v="TRK71410605"/>
    <s v="6"/>
    <x v="3"/>
    <s v="Referral"/>
    <n v="341.7"/>
  </r>
  <r>
    <x v="176"/>
    <x v="164"/>
    <s v="C80151"/>
    <x v="2"/>
    <n v="4"/>
    <n v="430.83"/>
    <s v="553 Main St"/>
    <x v="3"/>
    <x v="4"/>
    <s v="TRK88251529"/>
    <s v="8"/>
    <x v="3"/>
    <s v="Referral"/>
    <n v="1723.32"/>
  </r>
  <r>
    <x v="177"/>
    <x v="165"/>
    <s v="C55632"/>
    <x v="3"/>
    <n v="5"/>
    <n v="431.69"/>
    <s v="354 Main St"/>
    <x v="2"/>
    <x v="4"/>
    <s v="TRK13003066"/>
    <s v="10"/>
    <x v="2"/>
    <s v="Facebook"/>
    <n v="2158.4499999999998"/>
  </r>
  <r>
    <x v="178"/>
    <x v="166"/>
    <s v="C53070"/>
    <x v="3"/>
    <n v="4"/>
    <n v="512.05999999999995"/>
    <s v="283 Main St"/>
    <x v="1"/>
    <x v="3"/>
    <s v="TRK49791755"/>
    <s v="5"/>
    <x v="0"/>
    <s v="Google"/>
    <n v="2048.2399999999998"/>
  </r>
  <r>
    <x v="179"/>
    <x v="167"/>
    <s v="C27401"/>
    <x v="5"/>
    <n v="3"/>
    <n v="539.91"/>
    <s v="500 Main St"/>
    <x v="2"/>
    <x v="3"/>
    <s v="TRK14332053"/>
    <s v="8"/>
    <x v="2"/>
    <s v="Email"/>
    <n v="1619.73"/>
  </r>
  <r>
    <x v="180"/>
    <x v="168"/>
    <s v="C87216"/>
    <x v="2"/>
    <n v="5"/>
    <n v="316.07"/>
    <s v="970 Main St"/>
    <x v="4"/>
    <x v="2"/>
    <s v="TRK18713727"/>
    <s v="10"/>
    <x v="2"/>
    <s v="Google"/>
    <n v="1580.35"/>
  </r>
  <r>
    <x v="181"/>
    <x v="169"/>
    <s v="C38966"/>
    <x v="4"/>
    <n v="5"/>
    <n v="404.39"/>
    <s v="247 Main St"/>
    <x v="1"/>
    <x v="0"/>
    <s v="TRK17205146"/>
    <s v="10"/>
    <x v="2"/>
    <s v="Referral"/>
    <n v="2021.95"/>
  </r>
  <r>
    <x v="182"/>
    <x v="170"/>
    <s v="C16612"/>
    <x v="6"/>
    <n v="1"/>
    <n v="600.54"/>
    <s v="596 Main St"/>
    <x v="0"/>
    <x v="4"/>
    <s v="TRK96188223"/>
    <s v="4"/>
    <x v="3"/>
    <s v="Google"/>
    <n v="600.54"/>
  </r>
  <r>
    <x v="183"/>
    <x v="171"/>
    <s v="C39246"/>
    <x v="0"/>
    <n v="5"/>
    <n v="186.28"/>
    <s v="258 Main St"/>
    <x v="0"/>
    <x v="3"/>
    <s v="TRK16658182"/>
    <s v="8"/>
    <x v="0"/>
    <s v="Email"/>
    <n v="931.4"/>
  </r>
  <r>
    <x v="184"/>
    <x v="172"/>
    <s v="C65180"/>
    <x v="2"/>
    <n v="4"/>
    <n v="214.54"/>
    <s v="231 Main St"/>
    <x v="3"/>
    <x v="1"/>
    <s v="TRK39255469"/>
    <s v="7"/>
    <x v="2"/>
    <s v="Referral"/>
    <n v="858.16"/>
  </r>
  <r>
    <x v="185"/>
    <x v="61"/>
    <s v="C46877"/>
    <x v="5"/>
    <n v="1"/>
    <n v="210.7"/>
    <s v="572 Main St"/>
    <x v="1"/>
    <x v="0"/>
    <s v="TRK96935978"/>
    <s v="2"/>
    <x v="3"/>
    <s v="Referral"/>
    <n v="210.7"/>
  </r>
  <r>
    <x v="186"/>
    <x v="173"/>
    <s v="C30334"/>
    <x v="1"/>
    <n v="2"/>
    <n v="133.55000000000001"/>
    <s v="322 Main St"/>
    <x v="4"/>
    <x v="4"/>
    <s v="TRK66388885"/>
    <s v="7"/>
    <x v="1"/>
    <s v="Facebook"/>
    <n v="267.10000000000002"/>
  </r>
  <r>
    <x v="187"/>
    <x v="174"/>
    <s v="C21227"/>
    <x v="3"/>
    <n v="1"/>
    <n v="590.87"/>
    <s v="689 Main St"/>
    <x v="3"/>
    <x v="2"/>
    <s v="TRK79129657"/>
    <s v="6"/>
    <x v="1"/>
    <s v="Referral"/>
    <n v="590.87"/>
  </r>
  <r>
    <x v="188"/>
    <x v="175"/>
    <s v="C97715"/>
    <x v="3"/>
    <n v="2"/>
    <n v="363.91"/>
    <s v="927 Main St"/>
    <x v="3"/>
    <x v="0"/>
    <s v="TRK19515949"/>
    <s v="2"/>
    <x v="1"/>
    <s v="Referral"/>
    <n v="727.82"/>
  </r>
  <r>
    <x v="189"/>
    <x v="176"/>
    <s v="C48939"/>
    <x v="4"/>
    <n v="5"/>
    <n v="429.45"/>
    <s v="597 Main St"/>
    <x v="3"/>
    <x v="1"/>
    <s v="TRK62786764"/>
    <s v="5"/>
    <x v="3"/>
    <s v="Email"/>
    <n v="2147.25"/>
  </r>
  <r>
    <x v="190"/>
    <x v="169"/>
    <s v="C35483"/>
    <x v="4"/>
    <n v="3"/>
    <n v="223.7"/>
    <s v="725 Main St"/>
    <x v="4"/>
    <x v="2"/>
    <s v="TRK79638203"/>
    <s v="3"/>
    <x v="0"/>
    <s v="Email"/>
    <n v="671.1"/>
  </r>
  <r>
    <x v="191"/>
    <x v="177"/>
    <s v="C51494"/>
    <x v="5"/>
    <n v="2"/>
    <n v="488.87"/>
    <s v="505 Main St"/>
    <x v="1"/>
    <x v="1"/>
    <s v="TRK58520306"/>
    <s v="4"/>
    <x v="1"/>
    <s v="Google"/>
    <n v="977.74"/>
  </r>
  <r>
    <x v="192"/>
    <x v="178"/>
    <s v="C58410"/>
    <x v="6"/>
    <n v="1"/>
    <n v="645.46"/>
    <s v="151 Main St"/>
    <x v="3"/>
    <x v="1"/>
    <s v="TRK19749672"/>
    <s v="5"/>
    <x v="0"/>
    <s v="Google"/>
    <n v="645.46"/>
  </r>
  <r>
    <x v="193"/>
    <x v="179"/>
    <s v="C11644"/>
    <x v="4"/>
    <n v="1"/>
    <n v="46.66"/>
    <s v="429 Main St"/>
    <x v="4"/>
    <x v="1"/>
    <s v="TRK81320339"/>
    <s v="6"/>
    <x v="2"/>
    <s v="Google"/>
    <n v="46.66"/>
  </r>
  <r>
    <x v="194"/>
    <x v="180"/>
    <s v="C53501"/>
    <x v="0"/>
    <n v="1"/>
    <n v="249.57"/>
    <s v="899 Main St"/>
    <x v="4"/>
    <x v="0"/>
    <s v="TRK90144892"/>
    <s v="3"/>
    <x v="1"/>
    <s v="Google"/>
    <n v="249.57"/>
  </r>
  <r>
    <x v="195"/>
    <x v="181"/>
    <s v="C63619"/>
    <x v="3"/>
    <n v="3"/>
    <n v="619.21"/>
    <s v="801 Main St"/>
    <x v="0"/>
    <x v="1"/>
    <s v="TRK65385674"/>
    <s v="6"/>
    <x v="2"/>
    <s v="Email"/>
    <n v="1857.63"/>
  </r>
  <r>
    <x v="196"/>
    <x v="182"/>
    <s v="C40882"/>
    <x v="6"/>
    <n v="4"/>
    <n v="217.13"/>
    <s v="719 Main St"/>
    <x v="4"/>
    <x v="3"/>
    <s v="TRK64165503"/>
    <s v="8"/>
    <x v="3"/>
    <s v="Email"/>
    <n v="868.52"/>
  </r>
  <r>
    <x v="197"/>
    <x v="183"/>
    <s v="C80135"/>
    <x v="5"/>
    <n v="5"/>
    <n v="221.51"/>
    <s v="723 Main St"/>
    <x v="4"/>
    <x v="2"/>
    <s v="TRK95222269"/>
    <s v="5"/>
    <x v="3"/>
    <s v="Referral"/>
    <n v="1107.55"/>
  </r>
  <r>
    <x v="198"/>
    <x v="184"/>
    <s v="C37594"/>
    <x v="5"/>
    <n v="4"/>
    <n v="340.3"/>
    <s v="926 Main St"/>
    <x v="4"/>
    <x v="1"/>
    <s v="TRK94405162"/>
    <s v="8"/>
    <x v="0"/>
    <s v="Referral"/>
    <n v="1361.2"/>
  </r>
  <r>
    <x v="199"/>
    <x v="185"/>
    <s v="C87524"/>
    <x v="1"/>
    <n v="1"/>
    <n v="625"/>
    <s v="358 Main St"/>
    <x v="1"/>
    <x v="2"/>
    <s v="TRK21114341"/>
    <s v="5"/>
    <x v="3"/>
    <s v="Google"/>
    <n v="625"/>
  </r>
  <r>
    <x v="200"/>
    <x v="186"/>
    <s v="C97681"/>
    <x v="2"/>
    <n v="5"/>
    <n v="433.26"/>
    <s v="895 Main St"/>
    <x v="2"/>
    <x v="3"/>
    <s v="TRK37531040"/>
    <s v="9"/>
    <x v="0"/>
    <s v="Google"/>
    <n v="2166.3000000000002"/>
  </r>
  <r>
    <x v="201"/>
    <x v="187"/>
    <s v="C10126"/>
    <x v="0"/>
    <n v="2"/>
    <n v="674.9"/>
    <s v="146 Main St"/>
    <x v="1"/>
    <x v="0"/>
    <s v="TRK75607531"/>
    <s v="4"/>
    <x v="0"/>
    <s v="Facebook"/>
    <n v="1349.8"/>
  </r>
  <r>
    <x v="202"/>
    <x v="188"/>
    <s v="C36938"/>
    <x v="0"/>
    <n v="3"/>
    <n v="253.98"/>
    <s v="636 Main St"/>
    <x v="2"/>
    <x v="1"/>
    <s v="TRK52522904"/>
    <s v="3"/>
    <x v="1"/>
    <s v="Email"/>
    <n v="761.94"/>
  </r>
  <r>
    <x v="203"/>
    <x v="94"/>
    <s v="C99173"/>
    <x v="4"/>
    <n v="3"/>
    <n v="356.84"/>
    <s v="172 Main St"/>
    <x v="1"/>
    <x v="0"/>
    <s v="TRK89849342"/>
    <s v="5"/>
    <x v="0"/>
    <s v="Instagram"/>
    <n v="1070.52"/>
  </r>
  <r>
    <x v="204"/>
    <x v="189"/>
    <s v="C99775"/>
    <x v="5"/>
    <n v="4"/>
    <n v="413.71"/>
    <s v="478 Main St"/>
    <x v="3"/>
    <x v="1"/>
    <s v="TRK21638425"/>
    <s v="9"/>
    <x v="1"/>
    <s v="Facebook"/>
    <n v="1654.84"/>
  </r>
  <r>
    <x v="205"/>
    <x v="190"/>
    <s v="C19266"/>
    <x v="6"/>
    <n v="3"/>
    <n v="147.38999999999999"/>
    <s v="609 Main St"/>
    <x v="0"/>
    <x v="2"/>
    <s v="TRK58357269"/>
    <s v="3"/>
    <x v="2"/>
    <s v="Email"/>
    <n v="442.17"/>
  </r>
  <r>
    <x v="206"/>
    <x v="162"/>
    <s v="C31072"/>
    <x v="5"/>
    <n v="4"/>
    <n v="229.1"/>
    <s v="729 Main St"/>
    <x v="3"/>
    <x v="2"/>
    <s v="TRK77172975"/>
    <s v="8"/>
    <x v="3"/>
    <s v="Email"/>
    <n v="916.4"/>
  </r>
  <r>
    <x v="207"/>
    <x v="191"/>
    <s v="C54595"/>
    <x v="1"/>
    <n v="1"/>
    <n v="121.96"/>
    <s v="999 Main St"/>
    <x v="0"/>
    <x v="3"/>
    <s v="TRK44416659"/>
    <s v="3"/>
    <x v="2"/>
    <s v="Google"/>
    <n v="121.96"/>
  </r>
  <r>
    <x v="208"/>
    <x v="192"/>
    <s v="C87777"/>
    <x v="6"/>
    <n v="2"/>
    <n v="408.32"/>
    <s v="597 Main St"/>
    <x v="1"/>
    <x v="0"/>
    <s v="TRK29003608"/>
    <s v="3"/>
    <x v="1"/>
    <s v="Facebook"/>
    <n v="816.64"/>
  </r>
  <r>
    <x v="209"/>
    <x v="193"/>
    <s v="C35854"/>
    <x v="2"/>
    <n v="5"/>
    <n v="187.97"/>
    <s v="706 Main St"/>
    <x v="4"/>
    <x v="2"/>
    <s v="TRK30615168"/>
    <s v="9"/>
    <x v="0"/>
    <s v="Google"/>
    <n v="939.85"/>
  </r>
  <r>
    <x v="210"/>
    <x v="194"/>
    <s v="C93821"/>
    <x v="3"/>
    <n v="3"/>
    <n v="358.48"/>
    <s v="513 Main St"/>
    <x v="3"/>
    <x v="3"/>
    <s v="TRK10658539"/>
    <s v="7"/>
    <x v="1"/>
    <s v="Facebook"/>
    <n v="1075.44"/>
  </r>
  <r>
    <x v="211"/>
    <x v="195"/>
    <s v="C54390"/>
    <x v="4"/>
    <n v="3"/>
    <n v="193.58"/>
    <s v="185 Main St"/>
    <x v="3"/>
    <x v="4"/>
    <s v="TRK83853742"/>
    <s v="7"/>
    <x v="1"/>
    <s v="Email"/>
    <n v="580.74"/>
  </r>
  <r>
    <x v="212"/>
    <x v="196"/>
    <s v="C53215"/>
    <x v="0"/>
    <n v="1"/>
    <n v="265.38"/>
    <s v="367 Main St"/>
    <x v="2"/>
    <x v="1"/>
    <s v="TRK34751835"/>
    <s v="6"/>
    <x v="3"/>
    <s v="Email"/>
    <n v="265.38"/>
  </r>
  <r>
    <x v="213"/>
    <x v="197"/>
    <s v="C71122"/>
    <x v="5"/>
    <n v="1"/>
    <n v="634.4"/>
    <s v="317 Main St"/>
    <x v="4"/>
    <x v="1"/>
    <s v="TRK54757882"/>
    <s v="6"/>
    <x v="0"/>
    <s v="Email"/>
    <n v="634.4"/>
  </r>
  <r>
    <x v="214"/>
    <x v="58"/>
    <s v="C29483"/>
    <x v="6"/>
    <n v="4"/>
    <n v="305.72000000000003"/>
    <s v="673 Main St"/>
    <x v="1"/>
    <x v="3"/>
    <s v="TRK89423603"/>
    <s v="5"/>
    <x v="2"/>
    <s v="Facebook"/>
    <n v="1222.8800000000001"/>
  </r>
  <r>
    <x v="215"/>
    <x v="121"/>
    <s v="C26767"/>
    <x v="4"/>
    <n v="1"/>
    <n v="303.60000000000002"/>
    <s v="432 Main St"/>
    <x v="4"/>
    <x v="0"/>
    <s v="TRK24585307"/>
    <s v="5"/>
    <x v="1"/>
    <s v="Facebook"/>
    <n v="303.60000000000002"/>
  </r>
  <r>
    <x v="216"/>
    <x v="198"/>
    <s v="C70492"/>
    <x v="0"/>
    <n v="4"/>
    <n v="496"/>
    <s v="811 Main St"/>
    <x v="1"/>
    <x v="1"/>
    <s v="TRK84625405"/>
    <s v="8"/>
    <x v="3"/>
    <s v="Google"/>
    <n v="1984"/>
  </r>
  <r>
    <x v="217"/>
    <x v="199"/>
    <s v="C61549"/>
    <x v="6"/>
    <n v="4"/>
    <n v="321.51"/>
    <s v="908 Main St"/>
    <x v="4"/>
    <x v="2"/>
    <s v="TRK65596914"/>
    <s v="9"/>
    <x v="2"/>
    <s v="Google"/>
    <n v="1286.04"/>
  </r>
  <r>
    <x v="218"/>
    <x v="200"/>
    <s v="C11665"/>
    <x v="2"/>
    <n v="3"/>
    <n v="112.46"/>
    <s v="882 Main St"/>
    <x v="3"/>
    <x v="0"/>
    <s v="TRK10993930"/>
    <s v="6"/>
    <x v="0"/>
    <s v="Instagram"/>
    <n v="337.38"/>
  </r>
  <r>
    <x v="219"/>
    <x v="201"/>
    <s v="C48946"/>
    <x v="5"/>
    <n v="5"/>
    <n v="61.97"/>
    <s v="457 Main St"/>
    <x v="4"/>
    <x v="3"/>
    <s v="TRK99387220"/>
    <s v="6"/>
    <x v="0"/>
    <s v="Email"/>
    <n v="309.85000000000002"/>
  </r>
  <r>
    <x v="220"/>
    <x v="202"/>
    <s v="C79506"/>
    <x v="5"/>
    <n v="2"/>
    <n v="373.17"/>
    <s v="497 Main St"/>
    <x v="2"/>
    <x v="4"/>
    <s v="TRK95188748"/>
    <s v="6"/>
    <x v="0"/>
    <s v="Referral"/>
    <n v="746.34"/>
  </r>
  <r>
    <x v="221"/>
    <x v="203"/>
    <s v="C93473"/>
    <x v="2"/>
    <n v="5"/>
    <n v="639.37"/>
    <s v="552 Main St"/>
    <x v="0"/>
    <x v="4"/>
    <s v="TRK50003989"/>
    <s v="6"/>
    <x v="0"/>
    <s v="Google"/>
    <n v="3196.85"/>
  </r>
  <r>
    <x v="222"/>
    <x v="204"/>
    <s v="C43124"/>
    <x v="3"/>
    <n v="4"/>
    <n v="693.36"/>
    <s v="931 Main St"/>
    <x v="1"/>
    <x v="0"/>
    <s v="TRK17293348"/>
    <s v="8"/>
    <x v="2"/>
    <s v="Instagram"/>
    <n v="2773.44"/>
  </r>
  <r>
    <x v="223"/>
    <x v="57"/>
    <s v="C22783"/>
    <x v="1"/>
    <n v="4"/>
    <n v="692.91"/>
    <s v="673 Main St"/>
    <x v="2"/>
    <x v="4"/>
    <s v="TRK55009149"/>
    <s v="9"/>
    <x v="0"/>
    <s v="Instagram"/>
    <n v="2771.64"/>
  </r>
  <r>
    <x v="224"/>
    <x v="205"/>
    <s v="C18567"/>
    <x v="4"/>
    <n v="4"/>
    <n v="91.46"/>
    <s v="507 Main St"/>
    <x v="4"/>
    <x v="1"/>
    <s v="TRK17554673"/>
    <s v="9"/>
    <x v="0"/>
    <s v="Referral"/>
    <n v="365.84"/>
  </r>
  <r>
    <x v="225"/>
    <x v="206"/>
    <s v="C99879"/>
    <x v="1"/>
    <n v="3"/>
    <n v="273.95999999999998"/>
    <s v="692 Main St"/>
    <x v="0"/>
    <x v="2"/>
    <s v="TRK50246700"/>
    <s v="8"/>
    <x v="0"/>
    <s v="Google"/>
    <n v="821.88"/>
  </r>
  <r>
    <x v="226"/>
    <x v="207"/>
    <s v="C31501"/>
    <x v="6"/>
    <n v="3"/>
    <n v="588.04999999999995"/>
    <s v="242 Main St"/>
    <x v="3"/>
    <x v="3"/>
    <s v="TRK93063929"/>
    <s v="8"/>
    <x v="2"/>
    <s v="Instagram"/>
    <n v="1764.15"/>
  </r>
  <r>
    <x v="227"/>
    <x v="208"/>
    <s v="C93220"/>
    <x v="0"/>
    <n v="2"/>
    <n v="365.17"/>
    <s v="353 Main St"/>
    <x v="1"/>
    <x v="1"/>
    <s v="TRK89023251"/>
    <s v="4"/>
    <x v="1"/>
    <s v="Facebook"/>
    <n v="730.34"/>
  </r>
  <r>
    <x v="228"/>
    <x v="209"/>
    <s v="C57867"/>
    <x v="3"/>
    <n v="4"/>
    <n v="385.92"/>
    <s v="579 Main St"/>
    <x v="2"/>
    <x v="1"/>
    <s v="TRK92055007"/>
    <s v="8"/>
    <x v="2"/>
    <s v="Instagram"/>
    <n v="1543.68"/>
  </r>
  <r>
    <x v="229"/>
    <x v="210"/>
    <s v="C62622"/>
    <x v="2"/>
    <n v="1"/>
    <n v="562.61"/>
    <s v="762 Main St"/>
    <x v="2"/>
    <x v="3"/>
    <s v="TRK70997648"/>
    <s v="3"/>
    <x v="3"/>
    <s v="Facebook"/>
    <n v="562.61"/>
  </r>
  <r>
    <x v="230"/>
    <x v="211"/>
    <s v="C94595"/>
    <x v="6"/>
    <n v="4"/>
    <n v="61.91"/>
    <s v="948 Main St"/>
    <x v="3"/>
    <x v="3"/>
    <s v="TRK24497305"/>
    <s v="6"/>
    <x v="3"/>
    <s v="Email"/>
    <n v="247.64"/>
  </r>
  <r>
    <x v="231"/>
    <x v="212"/>
    <s v="C30955"/>
    <x v="1"/>
    <n v="4"/>
    <n v="41.9"/>
    <s v="327 Main St"/>
    <x v="3"/>
    <x v="4"/>
    <s v="TRK46898848"/>
    <s v="9"/>
    <x v="1"/>
    <s v="Instagram"/>
    <n v="167.6"/>
  </r>
  <r>
    <x v="232"/>
    <x v="213"/>
    <s v="C20731"/>
    <x v="4"/>
    <n v="4"/>
    <n v="444.44"/>
    <s v="610 Main St"/>
    <x v="0"/>
    <x v="1"/>
    <s v="TRK75568437"/>
    <s v="8"/>
    <x v="3"/>
    <s v="Google"/>
    <n v="1777.76"/>
  </r>
  <r>
    <x v="233"/>
    <x v="214"/>
    <s v="C30168"/>
    <x v="1"/>
    <n v="3"/>
    <n v="311.33"/>
    <s v="146 Main St"/>
    <x v="4"/>
    <x v="1"/>
    <s v="TRK73699939"/>
    <s v="3"/>
    <x v="3"/>
    <s v="Instagram"/>
    <n v="933.99"/>
  </r>
  <r>
    <x v="234"/>
    <x v="130"/>
    <s v="C79842"/>
    <x v="4"/>
    <n v="4"/>
    <n v="236.41"/>
    <s v="337 Main St"/>
    <x v="0"/>
    <x v="4"/>
    <s v="TRK26957950"/>
    <s v="7"/>
    <x v="0"/>
    <s v="Google"/>
    <n v="945.64"/>
  </r>
  <r>
    <x v="235"/>
    <x v="215"/>
    <s v="C32854"/>
    <x v="6"/>
    <n v="1"/>
    <n v="65.45"/>
    <s v="815 Main St"/>
    <x v="4"/>
    <x v="4"/>
    <s v="TRK30009218"/>
    <s v="2"/>
    <x v="3"/>
    <s v="Google"/>
    <n v="65.45"/>
  </r>
  <r>
    <x v="236"/>
    <x v="107"/>
    <s v="C14847"/>
    <x v="0"/>
    <n v="1"/>
    <n v="318.81"/>
    <s v="562 Main St"/>
    <x v="0"/>
    <x v="4"/>
    <s v="TRK39663243"/>
    <s v="3"/>
    <x v="3"/>
    <s v="Email"/>
    <n v="318.81"/>
  </r>
  <r>
    <x v="237"/>
    <x v="216"/>
    <s v="C88645"/>
    <x v="0"/>
    <n v="3"/>
    <n v="583.72"/>
    <s v="783 Main St"/>
    <x v="2"/>
    <x v="0"/>
    <s v="TRK74097570"/>
    <s v="5"/>
    <x v="1"/>
    <s v="Facebook"/>
    <n v="1751.16"/>
  </r>
  <r>
    <x v="238"/>
    <x v="217"/>
    <s v="C66149"/>
    <x v="6"/>
    <n v="4"/>
    <n v="384.32"/>
    <s v="770 Main St"/>
    <x v="2"/>
    <x v="4"/>
    <s v="TRK76307307"/>
    <s v="6"/>
    <x v="3"/>
    <s v="Google"/>
    <n v="1537.28"/>
  </r>
  <r>
    <x v="239"/>
    <x v="218"/>
    <s v="C20256"/>
    <x v="2"/>
    <n v="3"/>
    <n v="538.74"/>
    <s v="456 Main St"/>
    <x v="1"/>
    <x v="0"/>
    <s v="TRK71127943"/>
    <s v="6"/>
    <x v="1"/>
    <s v="Email"/>
    <n v="1616.22"/>
  </r>
  <r>
    <x v="240"/>
    <x v="219"/>
    <s v="C14983"/>
    <x v="2"/>
    <n v="1"/>
    <n v="17.239999999999998"/>
    <s v="255 Main St"/>
    <x v="1"/>
    <x v="4"/>
    <s v="TRK93444157"/>
    <s v="2"/>
    <x v="1"/>
    <s v="Instagram"/>
    <n v="17.239999999999998"/>
  </r>
  <r>
    <x v="241"/>
    <x v="220"/>
    <s v="C20817"/>
    <x v="3"/>
    <n v="5"/>
    <n v="615.66999999999996"/>
    <s v="407 Main St"/>
    <x v="1"/>
    <x v="4"/>
    <s v="TRK44164590"/>
    <s v="6"/>
    <x v="0"/>
    <s v="Email"/>
    <n v="3078.35"/>
  </r>
  <r>
    <x v="242"/>
    <x v="221"/>
    <s v="C94921"/>
    <x v="4"/>
    <n v="2"/>
    <n v="219.1"/>
    <s v="134 Main St"/>
    <x v="1"/>
    <x v="4"/>
    <s v="TRK97794327"/>
    <s v="4"/>
    <x v="0"/>
    <s v="Referral"/>
    <n v="438.2"/>
  </r>
  <r>
    <x v="243"/>
    <x v="222"/>
    <s v="C54725"/>
    <x v="3"/>
    <n v="2"/>
    <n v="144.66"/>
    <s v="506 Main St"/>
    <x v="1"/>
    <x v="1"/>
    <s v="TRK30601940"/>
    <s v="7"/>
    <x v="1"/>
    <s v="Google"/>
    <n v="289.32"/>
  </r>
  <r>
    <x v="244"/>
    <x v="223"/>
    <s v="C98096"/>
    <x v="6"/>
    <n v="2"/>
    <n v="317.77"/>
    <s v="838 Main St"/>
    <x v="0"/>
    <x v="1"/>
    <s v="TRK51518631"/>
    <s v="4"/>
    <x v="3"/>
    <s v="Facebook"/>
    <n v="635.54"/>
  </r>
  <r>
    <x v="245"/>
    <x v="224"/>
    <s v="C12667"/>
    <x v="5"/>
    <n v="1"/>
    <n v="223.3"/>
    <s v="306 Main St"/>
    <x v="1"/>
    <x v="2"/>
    <s v="TRK25390491"/>
    <s v="1"/>
    <x v="2"/>
    <s v="Facebook"/>
    <n v="223.3"/>
  </r>
  <r>
    <x v="246"/>
    <x v="225"/>
    <s v="C55354"/>
    <x v="6"/>
    <n v="2"/>
    <n v="342.11"/>
    <s v="164 Main St"/>
    <x v="3"/>
    <x v="0"/>
    <s v="TRK15439493"/>
    <s v="2"/>
    <x v="3"/>
    <s v="Instagram"/>
    <n v="684.22"/>
  </r>
  <r>
    <x v="247"/>
    <x v="145"/>
    <s v="C14600"/>
    <x v="4"/>
    <n v="2"/>
    <n v="220.9"/>
    <s v="785 Main St"/>
    <x v="3"/>
    <x v="0"/>
    <s v="TRK84984764"/>
    <s v="4"/>
    <x v="2"/>
    <s v="Email"/>
    <n v="441.8"/>
  </r>
  <r>
    <x v="248"/>
    <x v="226"/>
    <s v="C97187"/>
    <x v="5"/>
    <n v="1"/>
    <n v="670.54"/>
    <s v="471 Main St"/>
    <x v="4"/>
    <x v="0"/>
    <s v="TRK62283713"/>
    <s v="6"/>
    <x v="1"/>
    <s v="Referral"/>
    <n v="670.54"/>
  </r>
  <r>
    <x v="249"/>
    <x v="227"/>
    <s v="C39106"/>
    <x v="4"/>
    <n v="1"/>
    <n v="546.19000000000005"/>
    <s v="245 Main St"/>
    <x v="4"/>
    <x v="4"/>
    <s v="TRK35464433"/>
    <s v="5"/>
    <x v="1"/>
    <s v="Referral"/>
    <n v="546.19000000000005"/>
  </r>
  <r>
    <x v="250"/>
    <x v="228"/>
    <s v="C93379"/>
    <x v="6"/>
    <n v="3"/>
    <n v="42.95"/>
    <s v="318 Main St"/>
    <x v="3"/>
    <x v="2"/>
    <s v="TRK67954150"/>
    <s v="8"/>
    <x v="0"/>
    <s v="Email"/>
    <n v="128.85"/>
  </r>
  <r>
    <x v="251"/>
    <x v="229"/>
    <s v="C93175"/>
    <x v="0"/>
    <n v="4"/>
    <n v="14.69"/>
    <s v="814 Main St"/>
    <x v="4"/>
    <x v="1"/>
    <s v="TRK32995144"/>
    <s v="9"/>
    <x v="2"/>
    <s v="Email"/>
    <n v="58.76"/>
  </r>
  <r>
    <x v="252"/>
    <x v="28"/>
    <s v="C19648"/>
    <x v="1"/>
    <n v="4"/>
    <n v="668.36"/>
    <s v="821 Main St"/>
    <x v="3"/>
    <x v="1"/>
    <s v="TRK51297879"/>
    <s v="5"/>
    <x v="1"/>
    <s v="Facebook"/>
    <n v="2673.44"/>
  </r>
  <r>
    <x v="253"/>
    <x v="230"/>
    <s v="C14891"/>
    <x v="3"/>
    <n v="4"/>
    <n v="413.74"/>
    <s v="743 Main St"/>
    <x v="3"/>
    <x v="2"/>
    <s v="TRK79471534"/>
    <s v="7"/>
    <x v="1"/>
    <s v="Instagram"/>
    <n v="1654.96"/>
  </r>
  <r>
    <x v="254"/>
    <x v="231"/>
    <s v="C10866"/>
    <x v="0"/>
    <n v="3"/>
    <n v="263.19"/>
    <s v="770 Main St"/>
    <x v="1"/>
    <x v="3"/>
    <s v="TRK34809583"/>
    <s v="5"/>
    <x v="2"/>
    <s v="Instagram"/>
    <n v="789.57"/>
  </r>
  <r>
    <x v="255"/>
    <x v="232"/>
    <s v="C47283"/>
    <x v="0"/>
    <n v="1"/>
    <n v="263.95999999999998"/>
    <s v="806 Main St"/>
    <x v="3"/>
    <x v="2"/>
    <s v="TRK56235117"/>
    <s v="2"/>
    <x v="0"/>
    <s v="Google"/>
    <n v="263.95999999999998"/>
  </r>
  <r>
    <x v="256"/>
    <x v="233"/>
    <s v="C94323"/>
    <x v="3"/>
    <n v="5"/>
    <n v="75.81"/>
    <s v="463 Main St"/>
    <x v="3"/>
    <x v="2"/>
    <s v="TRK22663277"/>
    <s v="10"/>
    <x v="3"/>
    <s v="Instagram"/>
    <n v="379.05"/>
  </r>
  <r>
    <x v="257"/>
    <x v="234"/>
    <s v="C89732"/>
    <x v="1"/>
    <n v="1"/>
    <n v="406.22"/>
    <s v="712 Main St"/>
    <x v="2"/>
    <x v="1"/>
    <s v="TRK41059233"/>
    <s v="5"/>
    <x v="0"/>
    <s v="Referral"/>
    <n v="406.22"/>
  </r>
  <r>
    <x v="258"/>
    <x v="235"/>
    <s v="C87764"/>
    <x v="2"/>
    <n v="2"/>
    <n v="103.41"/>
    <s v="294 Main St"/>
    <x v="1"/>
    <x v="0"/>
    <s v="TRK94082469"/>
    <s v="2"/>
    <x v="1"/>
    <s v="Referral"/>
    <n v="206.82"/>
  </r>
  <r>
    <x v="259"/>
    <x v="236"/>
    <s v="C20977"/>
    <x v="3"/>
    <n v="4"/>
    <n v="435.12"/>
    <s v="636 Main St"/>
    <x v="2"/>
    <x v="3"/>
    <s v="TRK54991561"/>
    <s v="9"/>
    <x v="0"/>
    <s v="Instagram"/>
    <n v="1740.48"/>
  </r>
  <r>
    <x v="260"/>
    <x v="209"/>
    <s v="C12245"/>
    <x v="0"/>
    <n v="2"/>
    <n v="407.79"/>
    <s v="153 Main St"/>
    <x v="0"/>
    <x v="0"/>
    <s v="TRK22000463"/>
    <s v="3"/>
    <x v="2"/>
    <s v="Google"/>
    <n v="815.58"/>
  </r>
  <r>
    <x v="261"/>
    <x v="237"/>
    <s v="C68976"/>
    <x v="1"/>
    <n v="5"/>
    <n v="173.65"/>
    <s v="460 Main St"/>
    <x v="3"/>
    <x v="3"/>
    <s v="TRK25491356"/>
    <s v="9"/>
    <x v="0"/>
    <s v="Email"/>
    <n v="868.25"/>
  </r>
  <r>
    <x v="262"/>
    <x v="238"/>
    <s v="C69476"/>
    <x v="1"/>
    <n v="4"/>
    <n v="249.07"/>
    <s v="642 Main St"/>
    <x v="2"/>
    <x v="2"/>
    <s v="TRK65869386"/>
    <s v="5"/>
    <x v="3"/>
    <s v="Referral"/>
    <n v="996.28"/>
  </r>
  <r>
    <x v="263"/>
    <x v="239"/>
    <s v="C71040"/>
    <x v="1"/>
    <n v="4"/>
    <n v="434.85"/>
    <s v="250 Main St"/>
    <x v="2"/>
    <x v="4"/>
    <s v="TRK41397604"/>
    <s v="4"/>
    <x v="3"/>
    <s v="Google"/>
    <n v="1739.4"/>
  </r>
  <r>
    <x v="264"/>
    <x v="240"/>
    <s v="C71035"/>
    <x v="2"/>
    <n v="1"/>
    <n v="436.77"/>
    <s v="977 Main St"/>
    <x v="4"/>
    <x v="2"/>
    <s v="TRK19599578"/>
    <s v="5"/>
    <x v="1"/>
    <s v="Google"/>
    <n v="436.77"/>
  </r>
  <r>
    <x v="265"/>
    <x v="241"/>
    <s v="C20752"/>
    <x v="4"/>
    <n v="1"/>
    <n v="572.13"/>
    <s v="150 Main St"/>
    <x v="0"/>
    <x v="1"/>
    <s v="TRK22298450"/>
    <s v="4"/>
    <x v="0"/>
    <s v="Google"/>
    <n v="572.13"/>
  </r>
  <r>
    <x v="266"/>
    <x v="180"/>
    <s v="C38840"/>
    <x v="3"/>
    <n v="4"/>
    <n v="583.07000000000005"/>
    <s v="589 Main St"/>
    <x v="2"/>
    <x v="1"/>
    <s v="TRK48484633"/>
    <s v="6"/>
    <x v="1"/>
    <s v="Referral"/>
    <n v="2332.2800000000002"/>
  </r>
  <r>
    <x v="267"/>
    <x v="242"/>
    <s v="C84480"/>
    <x v="3"/>
    <n v="5"/>
    <n v="468.51"/>
    <s v="803 Main St"/>
    <x v="0"/>
    <x v="3"/>
    <s v="TRK62361867"/>
    <s v="9"/>
    <x v="2"/>
    <s v="Facebook"/>
    <n v="2342.5500000000002"/>
  </r>
  <r>
    <x v="268"/>
    <x v="178"/>
    <s v="C37032"/>
    <x v="1"/>
    <n v="2"/>
    <n v="423.88"/>
    <s v="655 Main St"/>
    <x v="0"/>
    <x v="3"/>
    <s v="TRK48639226"/>
    <s v="7"/>
    <x v="0"/>
    <s v="Referral"/>
    <n v="847.76"/>
  </r>
  <r>
    <x v="269"/>
    <x v="97"/>
    <s v="C48942"/>
    <x v="2"/>
    <n v="4"/>
    <n v="663.67"/>
    <s v="129 Main St"/>
    <x v="2"/>
    <x v="4"/>
    <s v="TRK29355120"/>
    <s v="7"/>
    <x v="1"/>
    <s v="Google"/>
    <n v="2654.68"/>
  </r>
  <r>
    <x v="270"/>
    <x v="243"/>
    <s v="C13540"/>
    <x v="4"/>
    <n v="4"/>
    <n v="309.91000000000003"/>
    <s v="127 Main St"/>
    <x v="0"/>
    <x v="0"/>
    <s v="TRK81087373"/>
    <s v="5"/>
    <x v="3"/>
    <s v="Google"/>
    <n v="1239.6400000000001"/>
  </r>
  <r>
    <x v="271"/>
    <x v="125"/>
    <s v="C59572"/>
    <x v="0"/>
    <n v="1"/>
    <n v="542.07000000000005"/>
    <s v="791 Main St"/>
    <x v="4"/>
    <x v="0"/>
    <s v="TRK16792991"/>
    <s v="6"/>
    <x v="3"/>
    <s v="Referral"/>
    <n v="542.07000000000005"/>
  </r>
  <r>
    <x v="272"/>
    <x v="244"/>
    <s v="C29758"/>
    <x v="3"/>
    <n v="2"/>
    <n v="399.32"/>
    <s v="119 Main St"/>
    <x v="1"/>
    <x v="4"/>
    <s v="TRK12990043"/>
    <s v="6"/>
    <x v="3"/>
    <s v="Instagram"/>
    <n v="798.64"/>
  </r>
  <r>
    <x v="273"/>
    <x v="245"/>
    <s v="C11849"/>
    <x v="2"/>
    <n v="2"/>
    <n v="238.25"/>
    <s v="974 Main St"/>
    <x v="1"/>
    <x v="1"/>
    <s v="TRK91195261"/>
    <s v="7"/>
    <x v="1"/>
    <s v="Email"/>
    <n v="476.5"/>
  </r>
  <r>
    <x v="274"/>
    <x v="246"/>
    <s v="C50967"/>
    <x v="1"/>
    <n v="2"/>
    <n v="182.4"/>
    <s v="884 Main St"/>
    <x v="3"/>
    <x v="1"/>
    <s v="TRK65300814"/>
    <s v="5"/>
    <x v="0"/>
    <s v="Referral"/>
    <n v="364.8"/>
  </r>
  <r>
    <x v="275"/>
    <x v="247"/>
    <s v="C80735"/>
    <x v="3"/>
    <n v="2"/>
    <n v="65.069999999999993"/>
    <s v="360 Main St"/>
    <x v="2"/>
    <x v="1"/>
    <s v="TRK99880231"/>
    <s v="4"/>
    <x v="0"/>
    <s v="Google"/>
    <n v="130.13999999999999"/>
  </r>
  <r>
    <x v="276"/>
    <x v="248"/>
    <s v="C99050"/>
    <x v="4"/>
    <n v="2"/>
    <n v="600.57000000000005"/>
    <s v="654 Main St"/>
    <x v="0"/>
    <x v="2"/>
    <s v="TRK56927089"/>
    <s v="3"/>
    <x v="3"/>
    <s v="Instagram"/>
    <n v="1201.1400000000001"/>
  </r>
  <r>
    <x v="277"/>
    <x v="82"/>
    <s v="C11210"/>
    <x v="3"/>
    <n v="5"/>
    <n v="90.92"/>
    <s v="910 Main St"/>
    <x v="2"/>
    <x v="3"/>
    <s v="TRK44929965"/>
    <s v="9"/>
    <x v="0"/>
    <s v="Facebook"/>
    <n v="454.6"/>
  </r>
  <r>
    <x v="278"/>
    <x v="249"/>
    <s v="C46015"/>
    <x v="5"/>
    <n v="5"/>
    <n v="362.46"/>
    <s v="299 Main St"/>
    <x v="4"/>
    <x v="3"/>
    <s v="TRK46598430"/>
    <s v="6"/>
    <x v="1"/>
    <s v="Instagram"/>
    <n v="1812.3"/>
  </r>
  <r>
    <x v="279"/>
    <x v="250"/>
    <s v="C69167"/>
    <x v="3"/>
    <n v="3"/>
    <n v="55.01"/>
    <s v="263 Main St"/>
    <x v="1"/>
    <x v="4"/>
    <s v="TRK12425655"/>
    <s v="7"/>
    <x v="3"/>
    <s v="Email"/>
    <n v="165.03"/>
  </r>
  <r>
    <x v="280"/>
    <x v="14"/>
    <s v="C55388"/>
    <x v="2"/>
    <n v="3"/>
    <n v="404.62"/>
    <s v="740 Main St"/>
    <x v="3"/>
    <x v="3"/>
    <s v="TRK75741001"/>
    <s v="6"/>
    <x v="1"/>
    <s v="Instagram"/>
    <n v="1213.8599999999999"/>
  </r>
  <r>
    <x v="281"/>
    <x v="152"/>
    <s v="C87181"/>
    <x v="6"/>
    <n v="4"/>
    <n v="654.79"/>
    <s v="195 Main St"/>
    <x v="4"/>
    <x v="4"/>
    <s v="TRK60093390"/>
    <s v="9"/>
    <x v="2"/>
    <s v="Referral"/>
    <n v="2619.16"/>
  </r>
  <r>
    <x v="282"/>
    <x v="251"/>
    <s v="C30411"/>
    <x v="4"/>
    <n v="4"/>
    <n v="637.79"/>
    <s v="375 Main St"/>
    <x v="3"/>
    <x v="1"/>
    <s v="TRK71810536"/>
    <s v="9"/>
    <x v="1"/>
    <s v="Google"/>
    <n v="2551.16"/>
  </r>
  <r>
    <x v="283"/>
    <x v="252"/>
    <s v="C39638"/>
    <x v="5"/>
    <n v="4"/>
    <n v="540.33000000000004"/>
    <s v="990 Main St"/>
    <x v="4"/>
    <x v="0"/>
    <s v="TRK69745608"/>
    <s v="6"/>
    <x v="2"/>
    <s v="Google"/>
    <n v="2161.3200000000002"/>
  </r>
  <r>
    <x v="284"/>
    <x v="223"/>
    <s v="C27203"/>
    <x v="5"/>
    <n v="5"/>
    <n v="208.17"/>
    <s v="516 Main St"/>
    <x v="2"/>
    <x v="2"/>
    <s v="TRK22023906"/>
    <s v="6"/>
    <x v="0"/>
    <s v="Facebook"/>
    <n v="1040.8499999999999"/>
  </r>
  <r>
    <x v="285"/>
    <x v="69"/>
    <s v="C67583"/>
    <x v="1"/>
    <n v="1"/>
    <n v="338.31"/>
    <s v="974 Main St"/>
    <x v="1"/>
    <x v="3"/>
    <s v="TRK93281700"/>
    <s v="3"/>
    <x v="2"/>
    <s v="Google"/>
    <n v="338.31"/>
  </r>
  <r>
    <x v="286"/>
    <x v="253"/>
    <s v="C70554"/>
    <x v="0"/>
    <n v="3"/>
    <n v="139.44999999999999"/>
    <s v="187 Main St"/>
    <x v="3"/>
    <x v="2"/>
    <s v="TRK61086952"/>
    <s v="8"/>
    <x v="3"/>
    <s v="Google"/>
    <n v="418.35"/>
  </r>
  <r>
    <x v="287"/>
    <x v="254"/>
    <s v="C70437"/>
    <x v="3"/>
    <n v="4"/>
    <n v="655.17999999999995"/>
    <s v="630 Main St"/>
    <x v="1"/>
    <x v="0"/>
    <s v="TRK26628830"/>
    <s v="5"/>
    <x v="2"/>
    <s v="Facebook"/>
    <n v="2620.7199999999998"/>
  </r>
  <r>
    <x v="288"/>
    <x v="255"/>
    <s v="C97643"/>
    <x v="5"/>
    <n v="4"/>
    <n v="512.75"/>
    <s v="537 Main St"/>
    <x v="0"/>
    <x v="2"/>
    <s v="TRK60831391"/>
    <s v="8"/>
    <x v="3"/>
    <s v="Google"/>
    <n v="2051"/>
  </r>
  <r>
    <x v="289"/>
    <x v="256"/>
    <s v="C17136"/>
    <x v="3"/>
    <n v="4"/>
    <n v="160.49"/>
    <s v="333 Main St"/>
    <x v="2"/>
    <x v="0"/>
    <s v="TRK55362541"/>
    <s v="8"/>
    <x v="3"/>
    <s v="Referral"/>
    <n v="641.96"/>
  </r>
  <r>
    <x v="290"/>
    <x v="257"/>
    <s v="C24901"/>
    <x v="3"/>
    <n v="3"/>
    <n v="99.9"/>
    <s v="258 Main St"/>
    <x v="4"/>
    <x v="3"/>
    <s v="TRK14029489"/>
    <s v="8"/>
    <x v="1"/>
    <s v="Facebook"/>
    <n v="299.7"/>
  </r>
  <r>
    <x v="291"/>
    <x v="258"/>
    <s v="C61521"/>
    <x v="1"/>
    <n v="2"/>
    <n v="345.01"/>
    <s v="670 Main St"/>
    <x v="2"/>
    <x v="3"/>
    <s v="TRK93676567"/>
    <s v="6"/>
    <x v="1"/>
    <s v="Google"/>
    <n v="690.02"/>
  </r>
  <r>
    <x v="292"/>
    <x v="259"/>
    <s v="C39639"/>
    <x v="0"/>
    <n v="1"/>
    <n v="65.95"/>
    <s v="185 Main St"/>
    <x v="2"/>
    <x v="3"/>
    <s v="TRK31042152"/>
    <s v="5"/>
    <x v="2"/>
    <s v="Facebook"/>
    <n v="65.95"/>
  </r>
  <r>
    <x v="293"/>
    <x v="223"/>
    <s v="C33220"/>
    <x v="2"/>
    <n v="4"/>
    <n v="463.04"/>
    <s v="564 Main St"/>
    <x v="3"/>
    <x v="2"/>
    <s v="TRK40450219"/>
    <s v="9"/>
    <x v="2"/>
    <s v="Instagram"/>
    <n v="1852.16"/>
  </r>
  <r>
    <x v="294"/>
    <x v="260"/>
    <s v="C65414"/>
    <x v="1"/>
    <n v="2"/>
    <n v="297.70999999999998"/>
    <s v="208 Main St"/>
    <x v="1"/>
    <x v="0"/>
    <s v="TRK67562517"/>
    <s v="7"/>
    <x v="0"/>
    <s v="Referral"/>
    <n v="595.41999999999996"/>
  </r>
  <r>
    <x v="295"/>
    <x v="261"/>
    <s v="C49009"/>
    <x v="4"/>
    <n v="5"/>
    <n v="107.48"/>
    <s v="278 Main St"/>
    <x v="0"/>
    <x v="1"/>
    <s v="TRK46285799"/>
    <s v="9"/>
    <x v="1"/>
    <s v="Email"/>
    <n v="537.4"/>
  </r>
  <r>
    <x v="296"/>
    <x v="83"/>
    <s v="C48453"/>
    <x v="6"/>
    <n v="5"/>
    <n v="638.79999999999995"/>
    <s v="434 Main St"/>
    <x v="0"/>
    <x v="1"/>
    <s v="TRK52110494"/>
    <s v="10"/>
    <x v="3"/>
    <s v="Referral"/>
    <n v="3194"/>
  </r>
  <r>
    <x v="297"/>
    <x v="262"/>
    <s v="C68078"/>
    <x v="6"/>
    <n v="2"/>
    <n v="493.88"/>
    <s v="252 Main St"/>
    <x v="2"/>
    <x v="2"/>
    <s v="TRK64862812"/>
    <s v="7"/>
    <x v="0"/>
    <s v="Instagram"/>
    <n v="987.76"/>
  </r>
  <r>
    <x v="298"/>
    <x v="263"/>
    <s v="C19402"/>
    <x v="4"/>
    <n v="4"/>
    <n v="301.17"/>
    <s v="267 Main St"/>
    <x v="1"/>
    <x v="1"/>
    <s v="TRK97825212"/>
    <s v="6"/>
    <x v="2"/>
    <s v="Email"/>
    <n v="1204.68"/>
  </r>
  <r>
    <x v="299"/>
    <x v="264"/>
    <s v="C30711"/>
    <x v="0"/>
    <n v="1"/>
    <n v="278.66000000000003"/>
    <s v="856 Main St"/>
    <x v="3"/>
    <x v="1"/>
    <s v="TRK42696593"/>
    <s v="2"/>
    <x v="1"/>
    <s v="Instagram"/>
    <n v="278.66000000000003"/>
  </r>
  <r>
    <x v="300"/>
    <x v="265"/>
    <s v="C39000"/>
    <x v="1"/>
    <n v="1"/>
    <n v="287.45999999999998"/>
    <s v="894 Main St"/>
    <x v="0"/>
    <x v="2"/>
    <s v="TRK33753945"/>
    <s v="3"/>
    <x v="1"/>
    <s v="Facebook"/>
    <n v="287.45999999999998"/>
  </r>
  <r>
    <x v="301"/>
    <x v="67"/>
    <s v="C31105"/>
    <x v="3"/>
    <n v="1"/>
    <n v="583.99"/>
    <s v="726 Main St"/>
    <x v="4"/>
    <x v="1"/>
    <s v="TRK40149095"/>
    <s v="2"/>
    <x v="0"/>
    <s v="Email"/>
    <n v="583.99"/>
  </r>
  <r>
    <x v="302"/>
    <x v="220"/>
    <s v="C29432"/>
    <x v="3"/>
    <n v="3"/>
    <n v="468.74"/>
    <s v="121 Main St"/>
    <x v="4"/>
    <x v="4"/>
    <s v="TRK44142517"/>
    <s v="4"/>
    <x v="1"/>
    <s v="Instagram"/>
    <n v="1406.22"/>
  </r>
  <r>
    <x v="303"/>
    <x v="34"/>
    <s v="C48531"/>
    <x v="2"/>
    <n v="1"/>
    <n v="30.54"/>
    <s v="368 Main St"/>
    <x v="0"/>
    <x v="2"/>
    <s v="TRK95462192"/>
    <s v="1"/>
    <x v="2"/>
    <s v="Google"/>
    <n v="30.54"/>
  </r>
  <r>
    <x v="304"/>
    <x v="266"/>
    <s v="C86762"/>
    <x v="0"/>
    <n v="5"/>
    <n v="408.73"/>
    <s v="326 Main St"/>
    <x v="3"/>
    <x v="3"/>
    <s v="TRK75686292"/>
    <s v="10"/>
    <x v="1"/>
    <s v="Instagram"/>
    <n v="2043.65"/>
  </r>
  <r>
    <x v="305"/>
    <x v="97"/>
    <s v="C63822"/>
    <x v="5"/>
    <n v="4"/>
    <n v="126.89"/>
    <s v="235 Main St"/>
    <x v="4"/>
    <x v="4"/>
    <s v="TRK59353216"/>
    <s v="9"/>
    <x v="1"/>
    <s v="Instagram"/>
    <n v="507.56"/>
  </r>
  <r>
    <x v="306"/>
    <x v="267"/>
    <s v="C70495"/>
    <x v="4"/>
    <n v="2"/>
    <n v="57.07"/>
    <s v="238 Main St"/>
    <x v="0"/>
    <x v="2"/>
    <s v="TRK65511225"/>
    <s v="3"/>
    <x v="0"/>
    <s v="Instagram"/>
    <n v="114.14"/>
  </r>
  <r>
    <x v="307"/>
    <x v="268"/>
    <s v="C92407"/>
    <x v="5"/>
    <n v="3"/>
    <n v="557.41"/>
    <s v="135 Main St"/>
    <x v="1"/>
    <x v="3"/>
    <s v="TRK11755610"/>
    <s v="4"/>
    <x v="2"/>
    <s v="Email"/>
    <n v="1672.23"/>
  </r>
  <r>
    <x v="308"/>
    <x v="66"/>
    <s v="C75888"/>
    <x v="4"/>
    <n v="3"/>
    <n v="448.9"/>
    <s v="790 Main St"/>
    <x v="0"/>
    <x v="2"/>
    <s v="TRK98467398"/>
    <s v="7"/>
    <x v="0"/>
    <s v="Instagram"/>
    <n v="1346.7"/>
  </r>
  <r>
    <x v="309"/>
    <x v="269"/>
    <s v="C63153"/>
    <x v="3"/>
    <n v="4"/>
    <n v="549.76"/>
    <s v="625 Main St"/>
    <x v="0"/>
    <x v="3"/>
    <s v="TRK38033305"/>
    <s v="4"/>
    <x v="1"/>
    <s v="Facebook"/>
    <n v="2199.04"/>
  </r>
  <r>
    <x v="310"/>
    <x v="270"/>
    <s v="C85863"/>
    <x v="4"/>
    <n v="3"/>
    <n v="132.47999999999999"/>
    <s v="968 Main St"/>
    <x v="1"/>
    <x v="0"/>
    <s v="TRK16094218"/>
    <s v="4"/>
    <x v="2"/>
    <s v="Referral"/>
    <n v="397.44"/>
  </r>
  <r>
    <x v="311"/>
    <x v="271"/>
    <s v="C71698"/>
    <x v="6"/>
    <n v="5"/>
    <n v="489.37"/>
    <s v="274 Main St"/>
    <x v="1"/>
    <x v="2"/>
    <s v="TRK34786818"/>
    <s v="8"/>
    <x v="2"/>
    <s v="Instagram"/>
    <n v="2446.85"/>
  </r>
  <r>
    <x v="312"/>
    <x v="272"/>
    <s v="C35397"/>
    <x v="4"/>
    <n v="5"/>
    <n v="66.31"/>
    <s v="579 Main St"/>
    <x v="3"/>
    <x v="4"/>
    <s v="TRK64742535"/>
    <s v="7"/>
    <x v="1"/>
    <s v="Referral"/>
    <n v="331.55"/>
  </r>
  <r>
    <x v="313"/>
    <x v="273"/>
    <s v="C67687"/>
    <x v="3"/>
    <n v="2"/>
    <n v="434.3"/>
    <s v="978 Main St"/>
    <x v="4"/>
    <x v="3"/>
    <s v="TRK22838735"/>
    <s v="7"/>
    <x v="0"/>
    <s v="Instagram"/>
    <n v="868.6"/>
  </r>
  <r>
    <x v="314"/>
    <x v="274"/>
    <s v="C29931"/>
    <x v="6"/>
    <n v="4"/>
    <n v="153.09"/>
    <s v="540 Main St"/>
    <x v="1"/>
    <x v="3"/>
    <s v="TRK48712417"/>
    <s v="4"/>
    <x v="1"/>
    <s v="Referral"/>
    <n v="612.36"/>
  </r>
  <r>
    <x v="315"/>
    <x v="275"/>
    <s v="C59139"/>
    <x v="2"/>
    <n v="5"/>
    <n v="91.67"/>
    <s v="301 Main St"/>
    <x v="1"/>
    <x v="1"/>
    <s v="TRK45507090"/>
    <s v="9"/>
    <x v="1"/>
    <s v="Email"/>
    <n v="458.35"/>
  </r>
  <r>
    <x v="316"/>
    <x v="276"/>
    <s v="C66078"/>
    <x v="6"/>
    <n v="4"/>
    <n v="275.27999999999997"/>
    <s v="101 Main St"/>
    <x v="3"/>
    <x v="0"/>
    <s v="TRK86474559"/>
    <s v="9"/>
    <x v="3"/>
    <s v="Facebook"/>
    <n v="1101.1199999999999"/>
  </r>
  <r>
    <x v="317"/>
    <x v="132"/>
    <s v="C88370"/>
    <x v="0"/>
    <n v="2"/>
    <n v="139.94999999999999"/>
    <s v="339 Main St"/>
    <x v="1"/>
    <x v="2"/>
    <s v="TRK22575151"/>
    <s v="5"/>
    <x v="2"/>
    <s v="Instagram"/>
    <n v="279.89999999999998"/>
  </r>
  <r>
    <x v="318"/>
    <x v="277"/>
    <s v="C93375"/>
    <x v="3"/>
    <n v="3"/>
    <n v="148.72"/>
    <s v="317 Main St"/>
    <x v="0"/>
    <x v="1"/>
    <s v="TRK95706967"/>
    <s v="7"/>
    <x v="0"/>
    <s v="Google"/>
    <n v="446.16"/>
  </r>
  <r>
    <x v="319"/>
    <x v="278"/>
    <s v="C53049"/>
    <x v="5"/>
    <n v="2"/>
    <n v="563.05999999999995"/>
    <s v="413 Main St"/>
    <x v="4"/>
    <x v="2"/>
    <s v="TRK48974907"/>
    <s v="6"/>
    <x v="2"/>
    <s v="Instagram"/>
    <n v="1126.1199999999999"/>
  </r>
  <r>
    <x v="320"/>
    <x v="36"/>
    <s v="C55590"/>
    <x v="4"/>
    <n v="1"/>
    <n v="625.51"/>
    <s v="772 Main St"/>
    <x v="2"/>
    <x v="0"/>
    <s v="TRK48792951"/>
    <s v="1"/>
    <x v="1"/>
    <s v="Facebook"/>
    <n v="625.51"/>
  </r>
  <r>
    <x v="321"/>
    <x v="279"/>
    <s v="C47086"/>
    <x v="1"/>
    <n v="4"/>
    <n v="152.29"/>
    <s v="135 Main St"/>
    <x v="0"/>
    <x v="1"/>
    <s v="TRK44194358"/>
    <s v="6"/>
    <x v="3"/>
    <s v="Google"/>
    <n v="609.16"/>
  </r>
  <r>
    <x v="322"/>
    <x v="280"/>
    <s v="C48646"/>
    <x v="1"/>
    <n v="5"/>
    <n v="231.82"/>
    <s v="339 Main St"/>
    <x v="0"/>
    <x v="3"/>
    <s v="TRK18233748"/>
    <s v="6"/>
    <x v="0"/>
    <s v="Facebook"/>
    <n v="1159.0999999999999"/>
  </r>
  <r>
    <x v="323"/>
    <x v="281"/>
    <s v="C29416"/>
    <x v="5"/>
    <n v="1"/>
    <n v="150.16999999999999"/>
    <s v="414 Main St"/>
    <x v="0"/>
    <x v="2"/>
    <s v="TRK63820842"/>
    <s v="1"/>
    <x v="0"/>
    <s v="Referral"/>
    <n v="150.16999999999999"/>
  </r>
  <r>
    <x v="324"/>
    <x v="136"/>
    <s v="C13525"/>
    <x v="2"/>
    <n v="3"/>
    <n v="70.930000000000007"/>
    <s v="847 Main St"/>
    <x v="0"/>
    <x v="2"/>
    <s v="TRK70193221"/>
    <s v="5"/>
    <x v="2"/>
    <s v="Referral"/>
    <n v="212.79"/>
  </r>
  <r>
    <x v="325"/>
    <x v="282"/>
    <s v="C53545"/>
    <x v="6"/>
    <n v="3"/>
    <n v="361.39"/>
    <s v="665 Main St"/>
    <x v="2"/>
    <x v="0"/>
    <s v="TRK61123177"/>
    <s v="8"/>
    <x v="2"/>
    <s v="Referral"/>
    <n v="1084.17"/>
  </r>
  <r>
    <x v="326"/>
    <x v="283"/>
    <s v="C65986"/>
    <x v="5"/>
    <n v="5"/>
    <n v="670.48"/>
    <s v="273 Main St"/>
    <x v="3"/>
    <x v="2"/>
    <s v="TRK98353867"/>
    <s v="5"/>
    <x v="0"/>
    <s v="Facebook"/>
    <n v="3352.4"/>
  </r>
  <r>
    <x v="327"/>
    <x v="284"/>
    <s v="C17302"/>
    <x v="1"/>
    <n v="1"/>
    <n v="359.99"/>
    <s v="385 Main St"/>
    <x v="3"/>
    <x v="1"/>
    <s v="TRK43940016"/>
    <s v="5"/>
    <x v="0"/>
    <s v="Email"/>
    <n v="359.99"/>
  </r>
  <r>
    <x v="328"/>
    <x v="285"/>
    <s v="C18404"/>
    <x v="2"/>
    <n v="5"/>
    <n v="674.04"/>
    <s v="546 Main St"/>
    <x v="1"/>
    <x v="1"/>
    <s v="TRK89401624"/>
    <s v="7"/>
    <x v="0"/>
    <s v="Google"/>
    <n v="3370.2"/>
  </r>
  <r>
    <x v="329"/>
    <x v="286"/>
    <s v="C88371"/>
    <x v="3"/>
    <n v="4"/>
    <n v="283.16000000000003"/>
    <s v="306 Main St"/>
    <x v="2"/>
    <x v="0"/>
    <s v="TRK63224811"/>
    <s v="6"/>
    <x v="2"/>
    <s v="Google"/>
    <n v="1132.6400000000001"/>
  </r>
  <r>
    <x v="330"/>
    <x v="287"/>
    <s v="C38068"/>
    <x v="6"/>
    <n v="5"/>
    <n v="260.52999999999997"/>
    <s v="532 Main St"/>
    <x v="3"/>
    <x v="4"/>
    <s v="TRK54059198"/>
    <s v="5"/>
    <x v="0"/>
    <s v="Instagram"/>
    <n v="1302.6500000000001"/>
  </r>
  <r>
    <x v="331"/>
    <x v="288"/>
    <s v="C78724"/>
    <x v="4"/>
    <n v="3"/>
    <n v="422.13"/>
    <s v="187 Main St"/>
    <x v="1"/>
    <x v="3"/>
    <s v="TRK25703134"/>
    <s v="7"/>
    <x v="0"/>
    <s v="Facebook"/>
    <n v="1266.3900000000001"/>
  </r>
  <r>
    <x v="332"/>
    <x v="289"/>
    <s v="C26163"/>
    <x v="6"/>
    <n v="5"/>
    <n v="125.02"/>
    <s v="607 Main St"/>
    <x v="0"/>
    <x v="4"/>
    <s v="TRK67499316"/>
    <s v="9"/>
    <x v="0"/>
    <s v="Google"/>
    <n v="625.1"/>
  </r>
  <r>
    <x v="333"/>
    <x v="162"/>
    <s v="C87124"/>
    <x v="1"/>
    <n v="1"/>
    <n v="198.51"/>
    <s v="818 Main St"/>
    <x v="2"/>
    <x v="2"/>
    <s v="TRK52086740"/>
    <s v="5"/>
    <x v="3"/>
    <s v="Instagram"/>
    <n v="198.51"/>
  </r>
  <r>
    <x v="334"/>
    <x v="290"/>
    <s v="C90348"/>
    <x v="3"/>
    <n v="4"/>
    <n v="224.75"/>
    <s v="728 Main St"/>
    <x v="1"/>
    <x v="3"/>
    <s v="TRK20635777"/>
    <s v="7"/>
    <x v="3"/>
    <s v="Facebook"/>
    <n v="899"/>
  </r>
  <r>
    <x v="335"/>
    <x v="291"/>
    <s v="C58721"/>
    <x v="2"/>
    <n v="3"/>
    <n v="205.86"/>
    <s v="978 Main St"/>
    <x v="3"/>
    <x v="0"/>
    <s v="TRK34801199"/>
    <s v="4"/>
    <x v="2"/>
    <s v="Email"/>
    <n v="617.58000000000004"/>
  </r>
  <r>
    <x v="336"/>
    <x v="10"/>
    <s v="C88174"/>
    <x v="5"/>
    <n v="1"/>
    <n v="18.2"/>
    <s v="441 Main St"/>
    <x v="0"/>
    <x v="4"/>
    <s v="TRK10143345"/>
    <s v="4"/>
    <x v="0"/>
    <s v="Instagram"/>
    <n v="18.2"/>
  </r>
  <r>
    <x v="337"/>
    <x v="292"/>
    <s v="C77763"/>
    <x v="2"/>
    <n v="3"/>
    <n v="502.77"/>
    <s v="599 Main St"/>
    <x v="0"/>
    <x v="2"/>
    <s v="TRK66980447"/>
    <s v="8"/>
    <x v="3"/>
    <s v="Email"/>
    <n v="1508.31"/>
  </r>
  <r>
    <x v="338"/>
    <x v="293"/>
    <s v="C53627"/>
    <x v="1"/>
    <n v="5"/>
    <n v="305.49"/>
    <s v="704 Main St"/>
    <x v="0"/>
    <x v="0"/>
    <s v="TRK64112352"/>
    <s v="10"/>
    <x v="2"/>
    <s v="Referral"/>
    <n v="1527.45"/>
  </r>
  <r>
    <x v="339"/>
    <x v="294"/>
    <s v="C84563"/>
    <x v="4"/>
    <n v="2"/>
    <n v="236.33"/>
    <s v="398 Main St"/>
    <x v="1"/>
    <x v="4"/>
    <s v="TRK62422797"/>
    <s v="3"/>
    <x v="0"/>
    <s v="Instagram"/>
    <n v="472.66"/>
  </r>
  <r>
    <x v="340"/>
    <x v="295"/>
    <s v="C76207"/>
    <x v="5"/>
    <n v="5"/>
    <n v="521.25"/>
    <s v="826 Main St"/>
    <x v="4"/>
    <x v="1"/>
    <s v="TRK25569378"/>
    <s v="8"/>
    <x v="2"/>
    <s v="Email"/>
    <n v="2606.25"/>
  </r>
  <r>
    <x v="341"/>
    <x v="296"/>
    <s v="C94671"/>
    <x v="2"/>
    <n v="1"/>
    <n v="167.15"/>
    <s v="293 Main St"/>
    <x v="3"/>
    <x v="0"/>
    <s v="TRK61357272"/>
    <s v="5"/>
    <x v="3"/>
    <s v="Email"/>
    <n v="167.15"/>
  </r>
  <r>
    <x v="342"/>
    <x v="53"/>
    <s v="C69994"/>
    <x v="0"/>
    <n v="5"/>
    <n v="466.42"/>
    <s v="619 Main St"/>
    <x v="3"/>
    <x v="2"/>
    <s v="TRK95935805"/>
    <s v="5"/>
    <x v="2"/>
    <s v="Referral"/>
    <n v="2332.1"/>
  </r>
  <r>
    <x v="343"/>
    <x v="297"/>
    <s v="C64638"/>
    <x v="4"/>
    <n v="1"/>
    <n v="527.57000000000005"/>
    <s v="919 Main St"/>
    <x v="0"/>
    <x v="4"/>
    <s v="TRK64087938"/>
    <s v="3"/>
    <x v="1"/>
    <s v="Facebook"/>
    <n v="527.57000000000005"/>
  </r>
  <r>
    <x v="344"/>
    <x v="298"/>
    <s v="C95623"/>
    <x v="2"/>
    <n v="3"/>
    <n v="623.34"/>
    <s v="248 Main St"/>
    <x v="1"/>
    <x v="1"/>
    <s v="TRK67558189"/>
    <s v="3"/>
    <x v="0"/>
    <s v="Instagram"/>
    <n v="1870.02"/>
  </r>
  <r>
    <x v="345"/>
    <x v="173"/>
    <s v="C24751"/>
    <x v="2"/>
    <n v="5"/>
    <n v="501.26"/>
    <s v="259 Main St"/>
    <x v="3"/>
    <x v="0"/>
    <s v="TRK37285406"/>
    <s v="10"/>
    <x v="1"/>
    <s v="Referral"/>
    <n v="2506.3000000000002"/>
  </r>
  <r>
    <x v="346"/>
    <x v="299"/>
    <s v="C31764"/>
    <x v="2"/>
    <n v="1"/>
    <n v="655.09"/>
    <s v="876 Main St"/>
    <x v="4"/>
    <x v="4"/>
    <s v="TRK44680433"/>
    <s v="6"/>
    <x v="2"/>
    <s v="Referral"/>
    <n v="655.09"/>
  </r>
  <r>
    <x v="347"/>
    <x v="300"/>
    <s v="C83556"/>
    <x v="4"/>
    <n v="4"/>
    <n v="264.79000000000002"/>
    <s v="380 Main St"/>
    <x v="2"/>
    <x v="4"/>
    <s v="TRK21109187"/>
    <s v="5"/>
    <x v="0"/>
    <s v="Google"/>
    <n v="1059.1600000000001"/>
  </r>
  <r>
    <x v="348"/>
    <x v="206"/>
    <s v="C24369"/>
    <x v="5"/>
    <n v="3"/>
    <n v="359.73"/>
    <s v="885 Main St"/>
    <x v="0"/>
    <x v="2"/>
    <s v="TRK72633998"/>
    <s v="7"/>
    <x v="1"/>
    <s v="Email"/>
    <n v="1079.19"/>
  </r>
  <r>
    <x v="349"/>
    <x v="115"/>
    <s v="C39648"/>
    <x v="3"/>
    <n v="1"/>
    <n v="465.33"/>
    <s v="824 Main St"/>
    <x v="3"/>
    <x v="3"/>
    <s v="TRK56016905"/>
    <s v="2"/>
    <x v="1"/>
    <s v="Google"/>
    <n v="465.33"/>
  </r>
  <r>
    <x v="350"/>
    <x v="301"/>
    <s v="C13296"/>
    <x v="3"/>
    <n v="2"/>
    <n v="54.41"/>
    <s v="495 Main St"/>
    <x v="1"/>
    <x v="0"/>
    <s v="TRK60127216"/>
    <s v="6"/>
    <x v="2"/>
    <s v="Instagram"/>
    <n v="108.82"/>
  </r>
  <r>
    <x v="351"/>
    <x v="302"/>
    <s v="C94248"/>
    <x v="5"/>
    <n v="1"/>
    <n v="64.66"/>
    <s v="494 Main St"/>
    <x v="0"/>
    <x v="3"/>
    <s v="TRK89406816"/>
    <s v="4"/>
    <x v="2"/>
    <s v="Instagram"/>
    <n v="64.66"/>
  </r>
  <r>
    <x v="352"/>
    <x v="303"/>
    <s v="C26637"/>
    <x v="3"/>
    <n v="5"/>
    <n v="173.96"/>
    <s v="995 Main St"/>
    <x v="0"/>
    <x v="4"/>
    <s v="TRK59546992"/>
    <s v="8"/>
    <x v="3"/>
    <s v="Instagram"/>
    <n v="869.8"/>
  </r>
  <r>
    <x v="353"/>
    <x v="210"/>
    <s v="C16012"/>
    <x v="2"/>
    <n v="1"/>
    <n v="630.82000000000005"/>
    <s v="171 Main St"/>
    <x v="1"/>
    <x v="3"/>
    <s v="TRK15195225"/>
    <s v="5"/>
    <x v="1"/>
    <s v="Google"/>
    <n v="630.82000000000005"/>
  </r>
  <r>
    <x v="354"/>
    <x v="304"/>
    <s v="C31772"/>
    <x v="1"/>
    <n v="1"/>
    <n v="693.41"/>
    <s v="992 Main St"/>
    <x v="0"/>
    <x v="0"/>
    <s v="TRK11970357"/>
    <s v="4"/>
    <x v="2"/>
    <s v="Instagram"/>
    <n v="693.41"/>
  </r>
  <r>
    <x v="355"/>
    <x v="305"/>
    <s v="C18353"/>
    <x v="2"/>
    <n v="3"/>
    <n v="433.33"/>
    <s v="677 Main St"/>
    <x v="2"/>
    <x v="1"/>
    <s v="TRK78766533"/>
    <s v="4"/>
    <x v="1"/>
    <s v="Referral"/>
    <n v="1299.99"/>
  </r>
  <r>
    <x v="356"/>
    <x v="306"/>
    <s v="C26966"/>
    <x v="4"/>
    <n v="5"/>
    <n v="374.58"/>
    <s v="907 Main St"/>
    <x v="3"/>
    <x v="1"/>
    <s v="TRK83889574"/>
    <s v="10"/>
    <x v="1"/>
    <s v="Instagram"/>
    <n v="1872.9"/>
  </r>
  <r>
    <x v="357"/>
    <x v="307"/>
    <s v="C74982"/>
    <x v="5"/>
    <n v="5"/>
    <n v="408.56"/>
    <s v="398 Main St"/>
    <x v="0"/>
    <x v="3"/>
    <s v="TRK98700702"/>
    <s v="8"/>
    <x v="1"/>
    <s v="Instagram"/>
    <n v="2042.8"/>
  </r>
  <r>
    <x v="358"/>
    <x v="158"/>
    <s v="C70633"/>
    <x v="2"/>
    <n v="2"/>
    <n v="183.67"/>
    <s v="747 Main St"/>
    <x v="1"/>
    <x v="1"/>
    <s v="TRK82540521"/>
    <s v="3"/>
    <x v="0"/>
    <s v="Google"/>
    <n v="367.34"/>
  </r>
  <r>
    <x v="359"/>
    <x v="308"/>
    <s v="C95643"/>
    <x v="6"/>
    <n v="4"/>
    <n v="606.57000000000005"/>
    <s v="303 Main St"/>
    <x v="0"/>
    <x v="3"/>
    <s v="TRK23286689"/>
    <s v="5"/>
    <x v="3"/>
    <s v="Referral"/>
    <n v="2426.2800000000002"/>
  </r>
  <r>
    <x v="360"/>
    <x v="309"/>
    <s v="C53810"/>
    <x v="1"/>
    <n v="4"/>
    <n v="589.57000000000005"/>
    <s v="779 Main St"/>
    <x v="4"/>
    <x v="4"/>
    <s v="TRK34630612"/>
    <s v="8"/>
    <x v="2"/>
    <s v="Instagram"/>
    <n v="2358.2800000000002"/>
  </r>
  <r>
    <x v="361"/>
    <x v="310"/>
    <s v="C53464"/>
    <x v="4"/>
    <n v="5"/>
    <n v="659.85"/>
    <s v="197 Main St"/>
    <x v="2"/>
    <x v="3"/>
    <s v="TRK32743531"/>
    <s v="9"/>
    <x v="0"/>
    <s v="Facebook"/>
    <n v="3299.25"/>
  </r>
  <r>
    <x v="362"/>
    <x v="78"/>
    <s v="C53697"/>
    <x v="0"/>
    <n v="4"/>
    <n v="206.84"/>
    <s v="312 Main St"/>
    <x v="4"/>
    <x v="1"/>
    <s v="TRK60476656"/>
    <s v="5"/>
    <x v="3"/>
    <s v="Instagram"/>
    <n v="827.36"/>
  </r>
  <r>
    <x v="363"/>
    <x v="75"/>
    <s v="C31668"/>
    <x v="5"/>
    <n v="5"/>
    <n v="113.87"/>
    <s v="871 Main St"/>
    <x v="2"/>
    <x v="4"/>
    <s v="TRK42584392"/>
    <s v="6"/>
    <x v="0"/>
    <s v="Email"/>
    <n v="569.35"/>
  </r>
  <r>
    <x v="364"/>
    <x v="254"/>
    <s v="C85282"/>
    <x v="1"/>
    <n v="5"/>
    <n v="628.74"/>
    <s v="740 Main St"/>
    <x v="4"/>
    <x v="1"/>
    <s v="TRK86767206"/>
    <s v="9"/>
    <x v="1"/>
    <s v="Facebook"/>
    <n v="3143.7"/>
  </r>
  <r>
    <x v="365"/>
    <x v="311"/>
    <s v="C56796"/>
    <x v="1"/>
    <n v="1"/>
    <n v="678.38"/>
    <s v="607 Main St"/>
    <x v="2"/>
    <x v="1"/>
    <s v="TRK74263180"/>
    <s v="4"/>
    <x v="0"/>
    <s v="Referral"/>
    <n v="678.38"/>
  </r>
  <r>
    <x v="366"/>
    <x v="312"/>
    <s v="C95213"/>
    <x v="4"/>
    <n v="3"/>
    <n v="602.24"/>
    <s v="603 Main St"/>
    <x v="0"/>
    <x v="4"/>
    <s v="TRK40630538"/>
    <s v="8"/>
    <x v="2"/>
    <s v="Referral"/>
    <n v="1806.72"/>
  </r>
  <r>
    <x v="367"/>
    <x v="313"/>
    <s v="C13108"/>
    <x v="5"/>
    <n v="5"/>
    <n v="658.77"/>
    <s v="712 Main St"/>
    <x v="3"/>
    <x v="4"/>
    <s v="TRK82284400"/>
    <s v="10"/>
    <x v="1"/>
    <s v="Instagram"/>
    <n v="3293.85"/>
  </r>
  <r>
    <x v="368"/>
    <x v="31"/>
    <s v="C85322"/>
    <x v="0"/>
    <n v="3"/>
    <n v="271.02"/>
    <s v="403 Main St"/>
    <x v="2"/>
    <x v="1"/>
    <s v="TRK89728869"/>
    <s v="6"/>
    <x v="2"/>
    <s v="Google"/>
    <n v="813.06"/>
  </r>
  <r>
    <x v="369"/>
    <x v="70"/>
    <s v="C43545"/>
    <x v="0"/>
    <n v="5"/>
    <n v="375.25"/>
    <s v="216 Main St"/>
    <x v="3"/>
    <x v="4"/>
    <s v="TRK73937402"/>
    <s v="9"/>
    <x v="0"/>
    <s v="Email"/>
    <n v="1876.25"/>
  </r>
  <r>
    <x v="370"/>
    <x v="120"/>
    <s v="C80649"/>
    <x v="1"/>
    <n v="1"/>
    <n v="312.11"/>
    <s v="870 Main St"/>
    <x v="1"/>
    <x v="1"/>
    <s v="TRK41143313"/>
    <s v="4"/>
    <x v="3"/>
    <s v="Facebook"/>
    <n v="312.11"/>
  </r>
  <r>
    <x v="371"/>
    <x v="314"/>
    <s v="C59752"/>
    <x v="1"/>
    <n v="5"/>
    <n v="307.76"/>
    <s v="179 Main St"/>
    <x v="3"/>
    <x v="4"/>
    <s v="TRK82229639"/>
    <s v="9"/>
    <x v="1"/>
    <s v="Google"/>
    <n v="1538.8"/>
  </r>
  <r>
    <x v="372"/>
    <x v="311"/>
    <s v="C53645"/>
    <x v="3"/>
    <n v="3"/>
    <n v="483.53"/>
    <s v="166 Main St"/>
    <x v="4"/>
    <x v="2"/>
    <s v="TRK12123939"/>
    <s v="4"/>
    <x v="2"/>
    <s v="Referral"/>
    <n v="1450.59"/>
  </r>
  <r>
    <x v="373"/>
    <x v="315"/>
    <s v="C60178"/>
    <x v="5"/>
    <n v="3"/>
    <n v="341.15"/>
    <s v="969 Main St"/>
    <x v="4"/>
    <x v="4"/>
    <s v="TRK84505143"/>
    <s v="4"/>
    <x v="1"/>
    <s v="Instagram"/>
    <n v="1023.45"/>
  </r>
  <r>
    <x v="374"/>
    <x v="316"/>
    <s v="C20286"/>
    <x v="0"/>
    <n v="1"/>
    <n v="571.9"/>
    <s v="129 Main St"/>
    <x v="3"/>
    <x v="4"/>
    <s v="TRK67648338"/>
    <s v="1"/>
    <x v="3"/>
    <s v="Instagram"/>
    <n v="571.9"/>
  </r>
  <r>
    <x v="375"/>
    <x v="317"/>
    <s v="C87547"/>
    <x v="0"/>
    <n v="4"/>
    <n v="95.03"/>
    <s v="400 Main St"/>
    <x v="1"/>
    <x v="0"/>
    <s v="TRK71027262"/>
    <s v="8"/>
    <x v="1"/>
    <s v="Facebook"/>
    <n v="380.12"/>
  </r>
  <r>
    <x v="376"/>
    <x v="318"/>
    <s v="C64549"/>
    <x v="0"/>
    <n v="5"/>
    <n v="201.22"/>
    <s v="341 Main St"/>
    <x v="0"/>
    <x v="4"/>
    <s v="TRK20788231"/>
    <s v="6"/>
    <x v="1"/>
    <s v="Facebook"/>
    <n v="1006.1"/>
  </r>
  <r>
    <x v="377"/>
    <x v="319"/>
    <s v="C24884"/>
    <x v="0"/>
    <n v="1"/>
    <n v="260.26"/>
    <s v="625 Main St"/>
    <x v="1"/>
    <x v="4"/>
    <s v="TRK44538419"/>
    <s v="5"/>
    <x v="3"/>
    <s v="Instagram"/>
    <n v="260.26"/>
  </r>
  <r>
    <x v="378"/>
    <x v="320"/>
    <s v="C62666"/>
    <x v="3"/>
    <n v="5"/>
    <n v="64.5"/>
    <s v="148 Main St"/>
    <x v="2"/>
    <x v="4"/>
    <s v="TRK91029390"/>
    <s v="8"/>
    <x v="3"/>
    <s v="Instagram"/>
    <n v="322.5"/>
  </r>
  <r>
    <x v="379"/>
    <x v="321"/>
    <s v="C47284"/>
    <x v="1"/>
    <n v="3"/>
    <n v="297.67"/>
    <s v="500 Main St"/>
    <x v="1"/>
    <x v="0"/>
    <s v="TRK85756094"/>
    <s v="6"/>
    <x v="2"/>
    <s v="Google"/>
    <n v="893.01"/>
  </r>
  <r>
    <x v="380"/>
    <x v="322"/>
    <s v="C35355"/>
    <x v="4"/>
    <n v="4"/>
    <n v="331.9"/>
    <s v="127 Main St"/>
    <x v="4"/>
    <x v="4"/>
    <s v="TRK52935059"/>
    <s v="5"/>
    <x v="0"/>
    <s v="Instagram"/>
    <n v="1327.6"/>
  </r>
  <r>
    <x v="381"/>
    <x v="323"/>
    <s v="C29467"/>
    <x v="3"/>
    <n v="1"/>
    <n v="191.76"/>
    <s v="223 Main St"/>
    <x v="2"/>
    <x v="2"/>
    <s v="TRK98103385"/>
    <s v="1"/>
    <x v="1"/>
    <s v="Instagram"/>
    <n v="191.76"/>
  </r>
  <r>
    <x v="382"/>
    <x v="324"/>
    <s v="C26718"/>
    <x v="4"/>
    <n v="4"/>
    <n v="263.08999999999997"/>
    <s v="272 Main St"/>
    <x v="0"/>
    <x v="0"/>
    <s v="TRK91702525"/>
    <s v="8"/>
    <x v="0"/>
    <s v="Google"/>
    <n v="1052.3599999999999"/>
  </r>
  <r>
    <x v="383"/>
    <x v="325"/>
    <s v="C18944"/>
    <x v="3"/>
    <n v="4"/>
    <n v="393.8"/>
    <s v="837 Main St"/>
    <x v="2"/>
    <x v="4"/>
    <s v="TRK45275439"/>
    <s v="7"/>
    <x v="0"/>
    <s v="Email"/>
    <n v="1575.2"/>
  </r>
  <r>
    <x v="384"/>
    <x v="167"/>
    <s v="C35628"/>
    <x v="3"/>
    <n v="3"/>
    <n v="553.57000000000005"/>
    <s v="147 Main St"/>
    <x v="2"/>
    <x v="2"/>
    <s v="TRK45688220"/>
    <s v="4"/>
    <x v="1"/>
    <s v="Facebook"/>
    <n v="1660.71"/>
  </r>
  <r>
    <x v="385"/>
    <x v="150"/>
    <s v="C56851"/>
    <x v="3"/>
    <n v="5"/>
    <n v="191.63"/>
    <s v="752 Main St"/>
    <x v="3"/>
    <x v="3"/>
    <s v="TRK65290904"/>
    <s v="6"/>
    <x v="1"/>
    <s v="Facebook"/>
    <n v="958.15"/>
  </r>
  <r>
    <x v="386"/>
    <x v="200"/>
    <s v="C12421"/>
    <x v="2"/>
    <n v="1"/>
    <n v="93.02"/>
    <s v="373 Main St"/>
    <x v="1"/>
    <x v="2"/>
    <s v="TRK32588504"/>
    <s v="4"/>
    <x v="2"/>
    <s v="Email"/>
    <n v="93.02"/>
  </r>
  <r>
    <x v="387"/>
    <x v="326"/>
    <s v="C25316"/>
    <x v="4"/>
    <n v="2"/>
    <n v="39.53"/>
    <s v="904 Main St"/>
    <x v="2"/>
    <x v="0"/>
    <s v="TRK55423551"/>
    <s v="3"/>
    <x v="3"/>
    <s v="Google"/>
    <n v="79.06"/>
  </r>
  <r>
    <x v="388"/>
    <x v="153"/>
    <s v="C22657"/>
    <x v="4"/>
    <n v="3"/>
    <n v="633.97"/>
    <s v="152 Main St"/>
    <x v="4"/>
    <x v="4"/>
    <s v="TRK49157047"/>
    <s v="7"/>
    <x v="3"/>
    <s v="Facebook"/>
    <n v="1901.91"/>
  </r>
  <r>
    <x v="389"/>
    <x v="327"/>
    <s v="C29703"/>
    <x v="6"/>
    <n v="4"/>
    <n v="697.5"/>
    <s v="558 Main St"/>
    <x v="4"/>
    <x v="0"/>
    <s v="TRK40543461"/>
    <s v="7"/>
    <x v="1"/>
    <s v="Referral"/>
    <n v="2790"/>
  </r>
  <r>
    <x v="390"/>
    <x v="328"/>
    <s v="C55996"/>
    <x v="4"/>
    <n v="5"/>
    <n v="508.69"/>
    <s v="885 Main St"/>
    <x v="4"/>
    <x v="3"/>
    <s v="TRK30547638"/>
    <s v="10"/>
    <x v="1"/>
    <s v="Google"/>
    <n v="2543.4499999999998"/>
  </r>
  <r>
    <x v="391"/>
    <x v="317"/>
    <s v="C60037"/>
    <x v="5"/>
    <n v="2"/>
    <n v="527.46"/>
    <s v="516 Main St"/>
    <x v="0"/>
    <x v="1"/>
    <s v="TRK82009557"/>
    <s v="3"/>
    <x v="1"/>
    <s v="Referral"/>
    <n v="1054.92"/>
  </r>
  <r>
    <x v="392"/>
    <x v="329"/>
    <s v="C95100"/>
    <x v="1"/>
    <n v="1"/>
    <n v="627.20000000000005"/>
    <s v="197 Main St"/>
    <x v="1"/>
    <x v="3"/>
    <s v="TRK47366265"/>
    <s v="1"/>
    <x v="3"/>
    <s v="Email"/>
    <n v="627.20000000000005"/>
  </r>
  <r>
    <x v="393"/>
    <x v="330"/>
    <s v="C39906"/>
    <x v="4"/>
    <n v="1"/>
    <n v="75.010000000000005"/>
    <s v="921 Main St"/>
    <x v="2"/>
    <x v="2"/>
    <s v="TRK24632134"/>
    <s v="3"/>
    <x v="2"/>
    <s v="Google"/>
    <n v="75.010000000000005"/>
  </r>
  <r>
    <x v="394"/>
    <x v="176"/>
    <s v="C70148"/>
    <x v="6"/>
    <n v="5"/>
    <n v="529.54999999999995"/>
    <s v="359 Main St"/>
    <x v="3"/>
    <x v="0"/>
    <s v="TRK34848650"/>
    <s v="10"/>
    <x v="2"/>
    <s v="Facebook"/>
    <n v="2647.75"/>
  </r>
  <r>
    <x v="395"/>
    <x v="331"/>
    <s v="C30010"/>
    <x v="1"/>
    <n v="3"/>
    <n v="127.41"/>
    <s v="830 Main St"/>
    <x v="3"/>
    <x v="3"/>
    <s v="TRK35386084"/>
    <s v="7"/>
    <x v="0"/>
    <s v="Referral"/>
    <n v="382.23"/>
  </r>
  <r>
    <x v="396"/>
    <x v="142"/>
    <s v="C99217"/>
    <x v="2"/>
    <n v="5"/>
    <n v="287.13"/>
    <s v="778 Main St"/>
    <x v="1"/>
    <x v="0"/>
    <s v="TRK82004594"/>
    <s v="10"/>
    <x v="0"/>
    <s v="Email"/>
    <n v="1435.65"/>
  </r>
  <r>
    <x v="397"/>
    <x v="332"/>
    <s v="C30184"/>
    <x v="0"/>
    <n v="1"/>
    <n v="427.06"/>
    <s v="987 Main St"/>
    <x v="1"/>
    <x v="1"/>
    <s v="TRK86674704"/>
    <s v="1"/>
    <x v="3"/>
    <s v="Referral"/>
    <n v="427.06"/>
  </r>
  <r>
    <x v="398"/>
    <x v="333"/>
    <s v="C50275"/>
    <x v="1"/>
    <n v="5"/>
    <n v="53.93"/>
    <s v="729 Main St"/>
    <x v="3"/>
    <x v="0"/>
    <s v="TRK98925264"/>
    <s v="7"/>
    <x v="0"/>
    <s v="Instagram"/>
    <n v="269.64999999999998"/>
  </r>
  <r>
    <x v="399"/>
    <x v="334"/>
    <s v="C64641"/>
    <x v="2"/>
    <n v="5"/>
    <n v="423.93"/>
    <s v="319 Main St"/>
    <x v="0"/>
    <x v="2"/>
    <s v="TRK32012588"/>
    <s v="5"/>
    <x v="1"/>
    <s v="Facebook"/>
    <n v="2119.65"/>
  </r>
  <r>
    <x v="400"/>
    <x v="335"/>
    <s v="C56266"/>
    <x v="6"/>
    <n v="4"/>
    <n v="160.22"/>
    <s v="304 Main St"/>
    <x v="0"/>
    <x v="2"/>
    <s v="TRK60088901"/>
    <s v="9"/>
    <x v="3"/>
    <s v="Instagram"/>
    <n v="640.88"/>
  </r>
  <r>
    <x v="401"/>
    <x v="23"/>
    <s v="C98635"/>
    <x v="4"/>
    <n v="1"/>
    <n v="538.67999999999995"/>
    <s v="197 Main St"/>
    <x v="0"/>
    <x v="2"/>
    <s v="TRK14225465"/>
    <s v="6"/>
    <x v="2"/>
    <s v="Referral"/>
    <n v="538.67999999999995"/>
  </r>
  <r>
    <x v="402"/>
    <x v="336"/>
    <s v="C83026"/>
    <x v="4"/>
    <n v="5"/>
    <n v="337.38"/>
    <s v="858 Main St"/>
    <x v="3"/>
    <x v="0"/>
    <s v="TRK79746259"/>
    <s v="5"/>
    <x v="2"/>
    <s v="Referral"/>
    <n v="1686.9"/>
  </r>
  <r>
    <x v="403"/>
    <x v="337"/>
    <s v="C28893"/>
    <x v="2"/>
    <n v="1"/>
    <n v="620.21"/>
    <s v="740 Main St"/>
    <x v="1"/>
    <x v="2"/>
    <s v="TRK98333066"/>
    <s v="1"/>
    <x v="1"/>
    <s v="Referral"/>
    <n v="620.21"/>
  </r>
  <r>
    <x v="404"/>
    <x v="338"/>
    <s v="C45482"/>
    <x v="0"/>
    <n v="2"/>
    <n v="99.1"/>
    <s v="440 Main St"/>
    <x v="4"/>
    <x v="3"/>
    <s v="TRK54571699"/>
    <s v="6"/>
    <x v="2"/>
    <s v="Instagram"/>
    <n v="198.2"/>
  </r>
  <r>
    <x v="405"/>
    <x v="281"/>
    <s v="C97774"/>
    <x v="0"/>
    <n v="4"/>
    <n v="451.97"/>
    <s v="603 Main St"/>
    <x v="1"/>
    <x v="1"/>
    <s v="TRK64664424"/>
    <s v="7"/>
    <x v="3"/>
    <s v="Email"/>
    <n v="1807.88"/>
  </r>
  <r>
    <x v="406"/>
    <x v="339"/>
    <s v="C11657"/>
    <x v="2"/>
    <n v="4"/>
    <n v="66.099999999999994"/>
    <s v="572 Main St"/>
    <x v="4"/>
    <x v="2"/>
    <s v="TRK50284486"/>
    <s v="9"/>
    <x v="3"/>
    <s v="Google"/>
    <n v="264.39999999999998"/>
  </r>
  <r>
    <x v="407"/>
    <x v="340"/>
    <s v="C85993"/>
    <x v="2"/>
    <n v="4"/>
    <n v="547.32000000000005"/>
    <s v="250 Main St"/>
    <x v="4"/>
    <x v="2"/>
    <s v="TRK72547640"/>
    <s v="8"/>
    <x v="1"/>
    <s v="Instagram"/>
    <n v="2189.2800000000002"/>
  </r>
  <r>
    <x v="408"/>
    <x v="341"/>
    <s v="C11906"/>
    <x v="4"/>
    <n v="3"/>
    <n v="412.53"/>
    <s v="536 Main St"/>
    <x v="1"/>
    <x v="4"/>
    <s v="TRK31140158"/>
    <s v="6"/>
    <x v="3"/>
    <s v="Google"/>
    <n v="1237.5899999999999"/>
  </r>
  <r>
    <x v="409"/>
    <x v="342"/>
    <s v="C45187"/>
    <x v="6"/>
    <n v="5"/>
    <n v="84.13"/>
    <s v="767 Main St"/>
    <x v="1"/>
    <x v="3"/>
    <s v="TRK12320793"/>
    <s v="9"/>
    <x v="0"/>
    <s v="Google"/>
    <n v="420.65"/>
  </r>
  <r>
    <x v="410"/>
    <x v="343"/>
    <s v="C37375"/>
    <x v="2"/>
    <n v="2"/>
    <n v="518.23"/>
    <s v="184 Main St"/>
    <x v="0"/>
    <x v="0"/>
    <s v="TRK52470162"/>
    <s v="5"/>
    <x v="2"/>
    <s v="Email"/>
    <n v="1036.46"/>
  </r>
  <r>
    <x v="411"/>
    <x v="83"/>
    <s v="C66567"/>
    <x v="6"/>
    <n v="2"/>
    <n v="39.51"/>
    <s v="981 Main St"/>
    <x v="1"/>
    <x v="0"/>
    <s v="TRK21174822"/>
    <s v="5"/>
    <x v="2"/>
    <s v="Facebook"/>
    <n v="79.02"/>
  </r>
  <r>
    <x v="412"/>
    <x v="344"/>
    <s v="C42451"/>
    <x v="2"/>
    <n v="5"/>
    <n v="133.01"/>
    <s v="246 Main St"/>
    <x v="2"/>
    <x v="2"/>
    <s v="TRK31313343"/>
    <s v="10"/>
    <x v="2"/>
    <s v="Facebook"/>
    <n v="665.05"/>
  </r>
  <r>
    <x v="413"/>
    <x v="345"/>
    <s v="C13923"/>
    <x v="2"/>
    <n v="1"/>
    <n v="118.8"/>
    <s v="123 Main St"/>
    <x v="1"/>
    <x v="3"/>
    <s v="TRK87598790"/>
    <s v="6"/>
    <x v="0"/>
    <s v="Email"/>
    <n v="118.8"/>
  </r>
  <r>
    <x v="414"/>
    <x v="346"/>
    <s v="C11829"/>
    <x v="6"/>
    <n v="2"/>
    <n v="139.57"/>
    <s v="797 Main St"/>
    <x v="4"/>
    <x v="3"/>
    <s v="TRK84229257"/>
    <s v="4"/>
    <x v="3"/>
    <s v="Facebook"/>
    <n v="279.14"/>
  </r>
  <r>
    <x v="415"/>
    <x v="161"/>
    <s v="C62169"/>
    <x v="3"/>
    <n v="1"/>
    <n v="184.15"/>
    <s v="655 Main St"/>
    <x v="3"/>
    <x v="0"/>
    <s v="TRK64558985"/>
    <s v="5"/>
    <x v="1"/>
    <s v="Facebook"/>
    <n v="184.15"/>
  </r>
  <r>
    <x v="416"/>
    <x v="202"/>
    <s v="C20881"/>
    <x v="5"/>
    <n v="2"/>
    <n v="644.04999999999995"/>
    <s v="652 Main St"/>
    <x v="3"/>
    <x v="1"/>
    <s v="TRK26263902"/>
    <s v="5"/>
    <x v="3"/>
    <s v="Referral"/>
    <n v="1288.0999999999999"/>
  </r>
  <r>
    <x v="417"/>
    <x v="347"/>
    <s v="C44492"/>
    <x v="5"/>
    <n v="5"/>
    <n v="55.41"/>
    <s v="954 Main St"/>
    <x v="1"/>
    <x v="1"/>
    <s v="TRK51429869"/>
    <s v="5"/>
    <x v="2"/>
    <s v="Google"/>
    <n v="277.05"/>
  </r>
  <r>
    <x v="418"/>
    <x v="348"/>
    <s v="C74169"/>
    <x v="4"/>
    <n v="1"/>
    <n v="310.93"/>
    <s v="862 Main St"/>
    <x v="1"/>
    <x v="1"/>
    <s v="TRK66144809"/>
    <s v="3"/>
    <x v="2"/>
    <s v="Facebook"/>
    <n v="310.93"/>
  </r>
  <r>
    <x v="419"/>
    <x v="349"/>
    <s v="C70999"/>
    <x v="2"/>
    <n v="2"/>
    <n v="216.66"/>
    <s v="885 Main St"/>
    <x v="0"/>
    <x v="4"/>
    <s v="TRK75644156"/>
    <s v="6"/>
    <x v="1"/>
    <s v="Instagram"/>
    <n v="433.32"/>
  </r>
  <r>
    <x v="420"/>
    <x v="350"/>
    <s v="C11921"/>
    <x v="1"/>
    <n v="1"/>
    <n v="452.7"/>
    <s v="439 Main St"/>
    <x v="0"/>
    <x v="0"/>
    <s v="TRK91362635"/>
    <s v="5"/>
    <x v="1"/>
    <s v="Instagram"/>
    <n v="452.7"/>
  </r>
  <r>
    <x v="421"/>
    <x v="3"/>
    <s v="C50683"/>
    <x v="3"/>
    <n v="2"/>
    <n v="288.20999999999998"/>
    <s v="769 Main St"/>
    <x v="0"/>
    <x v="1"/>
    <s v="TRK53032122"/>
    <s v="5"/>
    <x v="2"/>
    <s v="Email"/>
    <n v="576.41999999999996"/>
  </r>
  <r>
    <x v="422"/>
    <x v="32"/>
    <s v="C76140"/>
    <x v="1"/>
    <n v="4"/>
    <n v="206.6"/>
    <s v="914 Main St"/>
    <x v="3"/>
    <x v="2"/>
    <s v="TRK25861469"/>
    <s v="6"/>
    <x v="3"/>
    <s v="Referral"/>
    <n v="826.4"/>
  </r>
  <r>
    <x v="423"/>
    <x v="351"/>
    <s v="C94311"/>
    <x v="4"/>
    <n v="4"/>
    <n v="685.2"/>
    <s v="195 Main St"/>
    <x v="3"/>
    <x v="1"/>
    <s v="TRK97308771"/>
    <s v="6"/>
    <x v="3"/>
    <s v="Google"/>
    <n v="2740.8"/>
  </r>
  <r>
    <x v="424"/>
    <x v="352"/>
    <s v="C49491"/>
    <x v="3"/>
    <n v="5"/>
    <n v="22.94"/>
    <s v="339 Main St"/>
    <x v="4"/>
    <x v="4"/>
    <s v="TRK64012257"/>
    <s v="10"/>
    <x v="2"/>
    <s v="Email"/>
    <n v="114.7"/>
  </r>
  <r>
    <x v="425"/>
    <x v="338"/>
    <s v="C40648"/>
    <x v="5"/>
    <n v="2"/>
    <n v="301.88"/>
    <s v="488 Main St"/>
    <x v="3"/>
    <x v="2"/>
    <s v="TRK25325993"/>
    <s v="5"/>
    <x v="3"/>
    <s v="Email"/>
    <n v="603.76"/>
  </r>
  <r>
    <x v="426"/>
    <x v="353"/>
    <s v="C40967"/>
    <x v="0"/>
    <n v="5"/>
    <n v="57.45"/>
    <s v="315 Main St"/>
    <x v="4"/>
    <x v="1"/>
    <s v="TRK24839296"/>
    <s v="10"/>
    <x v="2"/>
    <s v="Facebook"/>
    <n v="287.25"/>
  </r>
  <r>
    <x v="427"/>
    <x v="144"/>
    <s v="C25406"/>
    <x v="6"/>
    <n v="1"/>
    <n v="161.24"/>
    <s v="379 Main St"/>
    <x v="2"/>
    <x v="4"/>
    <s v="TRK70952564"/>
    <s v="3"/>
    <x v="3"/>
    <s v="Instagram"/>
    <n v="161.24"/>
  </r>
  <r>
    <x v="428"/>
    <x v="130"/>
    <s v="C77085"/>
    <x v="3"/>
    <n v="4"/>
    <n v="262.58"/>
    <s v="895 Main St"/>
    <x v="1"/>
    <x v="1"/>
    <s v="TRK57227640"/>
    <s v="8"/>
    <x v="3"/>
    <s v="Email"/>
    <n v="1050.32"/>
  </r>
  <r>
    <x v="429"/>
    <x v="36"/>
    <s v="C38126"/>
    <x v="4"/>
    <n v="4"/>
    <n v="515.19000000000005"/>
    <s v="522 Main St"/>
    <x v="2"/>
    <x v="4"/>
    <s v="TRK90838498"/>
    <s v="9"/>
    <x v="0"/>
    <s v="Facebook"/>
    <n v="2060.7600000000002"/>
  </r>
  <r>
    <x v="430"/>
    <x v="323"/>
    <s v="C87448"/>
    <x v="1"/>
    <n v="1"/>
    <n v="450.07"/>
    <s v="433 Main St"/>
    <x v="3"/>
    <x v="0"/>
    <s v="TRK44134016"/>
    <s v="6"/>
    <x v="1"/>
    <s v="Google"/>
    <n v="450.07"/>
  </r>
  <r>
    <x v="431"/>
    <x v="354"/>
    <s v="C62312"/>
    <x v="4"/>
    <n v="1"/>
    <n v="52.54"/>
    <s v="651 Main St"/>
    <x v="0"/>
    <x v="1"/>
    <s v="TRK59623037"/>
    <s v="6"/>
    <x v="3"/>
    <s v="Facebook"/>
    <n v="52.54"/>
  </r>
  <r>
    <x v="432"/>
    <x v="355"/>
    <s v="C58443"/>
    <x v="2"/>
    <n v="2"/>
    <n v="424.32"/>
    <s v="662 Main St"/>
    <x v="2"/>
    <x v="2"/>
    <s v="TRK77163738"/>
    <s v="6"/>
    <x v="2"/>
    <s v="Referral"/>
    <n v="848.64"/>
  </r>
  <r>
    <x v="433"/>
    <x v="46"/>
    <s v="C36613"/>
    <x v="0"/>
    <n v="3"/>
    <n v="631.64"/>
    <s v="785 Main St"/>
    <x v="2"/>
    <x v="2"/>
    <s v="TRK13282106"/>
    <s v="3"/>
    <x v="1"/>
    <s v="Facebook"/>
    <n v="1894.92"/>
  </r>
  <r>
    <x v="434"/>
    <x v="356"/>
    <s v="C73893"/>
    <x v="4"/>
    <n v="5"/>
    <n v="327.68"/>
    <s v="384 Main St"/>
    <x v="2"/>
    <x v="2"/>
    <s v="TRK85939879"/>
    <s v="6"/>
    <x v="2"/>
    <s v="Facebook"/>
    <n v="1638.4"/>
  </r>
  <r>
    <x v="435"/>
    <x v="156"/>
    <s v="C48601"/>
    <x v="4"/>
    <n v="1"/>
    <n v="414.47"/>
    <s v="101 Main St"/>
    <x v="0"/>
    <x v="2"/>
    <s v="TRK97868309"/>
    <s v="3"/>
    <x v="1"/>
    <s v="Instagram"/>
    <n v="414.47"/>
  </r>
  <r>
    <x v="436"/>
    <x v="91"/>
    <s v="C14568"/>
    <x v="5"/>
    <n v="4"/>
    <n v="221.33"/>
    <s v="651 Main St"/>
    <x v="1"/>
    <x v="4"/>
    <s v="TRK73545796"/>
    <s v="5"/>
    <x v="2"/>
    <s v="Google"/>
    <n v="885.32"/>
  </r>
  <r>
    <x v="437"/>
    <x v="171"/>
    <s v="C63378"/>
    <x v="1"/>
    <n v="1"/>
    <n v="512.39"/>
    <s v="955 Main St"/>
    <x v="1"/>
    <x v="3"/>
    <s v="TRK20863705"/>
    <s v="2"/>
    <x v="1"/>
    <s v="Instagram"/>
    <n v="512.39"/>
  </r>
  <r>
    <x v="438"/>
    <x v="195"/>
    <s v="C77800"/>
    <x v="2"/>
    <n v="3"/>
    <n v="459.34"/>
    <s v="436 Main St"/>
    <x v="3"/>
    <x v="4"/>
    <s v="TRK27439574"/>
    <s v="3"/>
    <x v="0"/>
    <s v="Instagram"/>
    <n v="1378.02"/>
  </r>
  <r>
    <x v="439"/>
    <x v="50"/>
    <s v="C91155"/>
    <x v="2"/>
    <n v="1"/>
    <n v="146.32"/>
    <s v="321 Main St"/>
    <x v="1"/>
    <x v="0"/>
    <s v="TRK36260319"/>
    <s v="4"/>
    <x v="3"/>
    <s v="Facebook"/>
    <n v="146.32"/>
  </r>
  <r>
    <x v="440"/>
    <x v="357"/>
    <s v="C60215"/>
    <x v="6"/>
    <n v="4"/>
    <n v="83.6"/>
    <s v="978 Main St"/>
    <x v="0"/>
    <x v="4"/>
    <s v="TRK31727767"/>
    <s v="4"/>
    <x v="0"/>
    <s v="Facebook"/>
    <n v="334.4"/>
  </r>
  <r>
    <x v="441"/>
    <x v="141"/>
    <s v="C52915"/>
    <x v="4"/>
    <n v="2"/>
    <n v="328.54"/>
    <s v="475 Main St"/>
    <x v="3"/>
    <x v="2"/>
    <s v="TRK79466982"/>
    <s v="6"/>
    <x v="1"/>
    <s v="Email"/>
    <n v="657.08"/>
  </r>
  <r>
    <x v="442"/>
    <x v="40"/>
    <s v="C72588"/>
    <x v="3"/>
    <n v="5"/>
    <n v="314.94"/>
    <s v="661 Main St"/>
    <x v="4"/>
    <x v="4"/>
    <s v="TRK43410829"/>
    <s v="8"/>
    <x v="0"/>
    <s v="Instagram"/>
    <n v="1574.7"/>
  </r>
  <r>
    <x v="443"/>
    <x v="358"/>
    <s v="C61668"/>
    <x v="3"/>
    <n v="2"/>
    <n v="69.64"/>
    <s v="813 Main St"/>
    <x v="4"/>
    <x v="2"/>
    <s v="TRK58970302"/>
    <s v="6"/>
    <x v="2"/>
    <s v="Facebook"/>
    <n v="139.28"/>
  </r>
  <r>
    <x v="444"/>
    <x v="180"/>
    <s v="C79508"/>
    <x v="4"/>
    <n v="1"/>
    <n v="135.16999999999999"/>
    <s v="585 Main St"/>
    <x v="1"/>
    <x v="0"/>
    <s v="TRK61882353"/>
    <s v="6"/>
    <x v="1"/>
    <s v="Instagram"/>
    <n v="135.16999999999999"/>
  </r>
  <r>
    <x v="445"/>
    <x v="230"/>
    <s v="C94569"/>
    <x v="1"/>
    <n v="1"/>
    <n v="487.21"/>
    <s v="227 Main St"/>
    <x v="4"/>
    <x v="3"/>
    <s v="TRK31351770"/>
    <s v="3"/>
    <x v="0"/>
    <s v="Referral"/>
    <n v="487.21"/>
  </r>
  <r>
    <x v="446"/>
    <x v="359"/>
    <s v="C89592"/>
    <x v="5"/>
    <n v="5"/>
    <n v="509.58"/>
    <s v="262 Main St"/>
    <x v="1"/>
    <x v="3"/>
    <s v="TRK49442402"/>
    <s v="6"/>
    <x v="1"/>
    <s v="Instagram"/>
    <n v="2547.9"/>
  </r>
  <r>
    <x v="447"/>
    <x v="158"/>
    <s v="C48207"/>
    <x v="4"/>
    <n v="2"/>
    <n v="416.81"/>
    <s v="356 Main St"/>
    <x v="4"/>
    <x v="2"/>
    <s v="TRK45355655"/>
    <s v="2"/>
    <x v="2"/>
    <s v="Facebook"/>
    <n v="833.62"/>
  </r>
  <r>
    <x v="448"/>
    <x v="355"/>
    <s v="C16776"/>
    <x v="5"/>
    <n v="2"/>
    <n v="160"/>
    <s v="854 Main St"/>
    <x v="4"/>
    <x v="4"/>
    <s v="TRK12860600"/>
    <s v="4"/>
    <x v="0"/>
    <s v="Instagram"/>
    <n v="320"/>
  </r>
  <r>
    <x v="449"/>
    <x v="360"/>
    <s v="C91518"/>
    <x v="2"/>
    <n v="3"/>
    <n v="253.05"/>
    <s v="286 Main St"/>
    <x v="1"/>
    <x v="4"/>
    <s v="TRK48688724"/>
    <s v="3"/>
    <x v="2"/>
    <s v="Instagram"/>
    <n v="759.15"/>
  </r>
  <r>
    <x v="450"/>
    <x v="361"/>
    <s v="C36408"/>
    <x v="0"/>
    <n v="5"/>
    <n v="615.1"/>
    <s v="160 Main St"/>
    <x v="3"/>
    <x v="2"/>
    <s v="TRK94023253"/>
    <s v="10"/>
    <x v="3"/>
    <s v="Instagram"/>
    <n v="3075.5"/>
  </r>
  <r>
    <x v="451"/>
    <x v="362"/>
    <s v="C14837"/>
    <x v="0"/>
    <n v="1"/>
    <n v="183.18"/>
    <s v="647 Main St"/>
    <x v="0"/>
    <x v="1"/>
    <s v="TRK17501136"/>
    <s v="6"/>
    <x v="0"/>
    <s v="Email"/>
    <n v="183.18"/>
  </r>
  <r>
    <x v="452"/>
    <x v="363"/>
    <s v="C36467"/>
    <x v="4"/>
    <n v="1"/>
    <n v="75.78"/>
    <s v="581 Main St"/>
    <x v="4"/>
    <x v="4"/>
    <s v="TRK20863987"/>
    <s v="5"/>
    <x v="0"/>
    <s v="Google"/>
    <n v="75.78"/>
  </r>
  <r>
    <x v="453"/>
    <x v="201"/>
    <s v="C15017"/>
    <x v="2"/>
    <n v="1"/>
    <n v="675.57"/>
    <s v="492 Main St"/>
    <x v="4"/>
    <x v="0"/>
    <s v="TRK51241924"/>
    <s v="1"/>
    <x v="3"/>
    <s v="Facebook"/>
    <n v="675.57"/>
  </r>
  <r>
    <x v="454"/>
    <x v="364"/>
    <s v="C54759"/>
    <x v="5"/>
    <n v="1"/>
    <n v="109.29"/>
    <s v="686 Main St"/>
    <x v="0"/>
    <x v="1"/>
    <s v="TRK75583042"/>
    <s v="5"/>
    <x v="1"/>
    <s v="Google"/>
    <n v="109.29"/>
  </r>
  <r>
    <x v="455"/>
    <x v="290"/>
    <s v="C58341"/>
    <x v="1"/>
    <n v="1"/>
    <n v="639.83000000000004"/>
    <s v="874 Main St"/>
    <x v="0"/>
    <x v="4"/>
    <s v="TRK32856728"/>
    <s v="2"/>
    <x v="0"/>
    <s v="Referral"/>
    <n v="639.83000000000004"/>
  </r>
  <r>
    <x v="456"/>
    <x v="365"/>
    <s v="C94479"/>
    <x v="6"/>
    <n v="5"/>
    <n v="62.81"/>
    <s v="259 Main St"/>
    <x v="2"/>
    <x v="0"/>
    <s v="TRK69089975"/>
    <s v="9"/>
    <x v="0"/>
    <s v="Facebook"/>
    <n v="314.05"/>
  </r>
  <r>
    <x v="457"/>
    <x v="366"/>
    <s v="C50236"/>
    <x v="6"/>
    <n v="4"/>
    <n v="615.83000000000004"/>
    <s v="545 Main St"/>
    <x v="1"/>
    <x v="2"/>
    <s v="TRK67692578"/>
    <s v="4"/>
    <x v="3"/>
    <s v="Instagram"/>
    <n v="2463.3200000000002"/>
  </r>
  <r>
    <x v="458"/>
    <x v="367"/>
    <s v="C31412"/>
    <x v="0"/>
    <n v="4"/>
    <n v="510.58"/>
    <s v="196 Main St"/>
    <x v="2"/>
    <x v="2"/>
    <s v="TRK61946127"/>
    <s v="7"/>
    <x v="3"/>
    <s v="Email"/>
    <n v="2042.32"/>
  </r>
  <r>
    <x v="459"/>
    <x v="25"/>
    <s v="C90142"/>
    <x v="6"/>
    <n v="1"/>
    <n v="334.39"/>
    <s v="433 Main St"/>
    <x v="2"/>
    <x v="2"/>
    <s v="TRK39717191"/>
    <s v="2"/>
    <x v="2"/>
    <s v="Instagram"/>
    <n v="334.39"/>
  </r>
  <r>
    <x v="460"/>
    <x v="354"/>
    <s v="C83548"/>
    <x v="5"/>
    <n v="1"/>
    <n v="144.25"/>
    <s v="474 Main St"/>
    <x v="4"/>
    <x v="2"/>
    <s v="TRK93822942"/>
    <s v="2"/>
    <x v="3"/>
    <s v="Referral"/>
    <n v="144.25"/>
  </r>
  <r>
    <x v="461"/>
    <x v="180"/>
    <s v="C29697"/>
    <x v="2"/>
    <n v="1"/>
    <n v="401.82"/>
    <s v="407 Main St"/>
    <x v="2"/>
    <x v="0"/>
    <s v="TRK47776482"/>
    <s v="5"/>
    <x v="1"/>
    <s v="Google"/>
    <n v="401.82"/>
  </r>
  <r>
    <x v="462"/>
    <x v="368"/>
    <s v="C22991"/>
    <x v="1"/>
    <n v="1"/>
    <n v="252.68"/>
    <s v="731 Main St"/>
    <x v="1"/>
    <x v="1"/>
    <s v="TRK32796086"/>
    <s v="1"/>
    <x v="2"/>
    <s v="Referral"/>
    <n v="252.68"/>
  </r>
  <r>
    <x v="463"/>
    <x v="68"/>
    <s v="C25276"/>
    <x v="5"/>
    <n v="5"/>
    <n v="662.78"/>
    <s v="214 Main St"/>
    <x v="0"/>
    <x v="0"/>
    <s v="TRK14011732"/>
    <s v="9"/>
    <x v="0"/>
    <s v="Instagram"/>
    <n v="3313.9"/>
  </r>
  <r>
    <x v="464"/>
    <x v="369"/>
    <s v="C39176"/>
    <x v="2"/>
    <n v="4"/>
    <n v="434.42"/>
    <s v="739 Main St"/>
    <x v="1"/>
    <x v="1"/>
    <s v="TRK71418686"/>
    <s v="6"/>
    <x v="1"/>
    <s v="Google"/>
    <n v="1737.68"/>
  </r>
  <r>
    <x v="465"/>
    <x v="235"/>
    <s v="C58773"/>
    <x v="4"/>
    <n v="5"/>
    <n v="513.49"/>
    <s v="391 Main St"/>
    <x v="3"/>
    <x v="1"/>
    <s v="TRK65438300"/>
    <s v="8"/>
    <x v="2"/>
    <s v="Google"/>
    <n v="2567.4499999999998"/>
  </r>
  <r>
    <x v="466"/>
    <x v="202"/>
    <s v="C37412"/>
    <x v="1"/>
    <n v="1"/>
    <n v="432.47"/>
    <s v="895 Main St"/>
    <x v="4"/>
    <x v="3"/>
    <s v="TRK97829604"/>
    <s v="4"/>
    <x v="1"/>
    <s v="Referral"/>
    <n v="432.47"/>
  </r>
  <r>
    <x v="467"/>
    <x v="225"/>
    <s v="C36492"/>
    <x v="6"/>
    <n v="1"/>
    <n v="45.94"/>
    <s v="572 Main St"/>
    <x v="4"/>
    <x v="1"/>
    <s v="TRK44350440"/>
    <s v="2"/>
    <x v="3"/>
    <s v="Email"/>
    <n v="45.94"/>
  </r>
  <r>
    <x v="468"/>
    <x v="370"/>
    <s v="C90110"/>
    <x v="1"/>
    <n v="1"/>
    <n v="418.36"/>
    <s v="998 Main St"/>
    <x v="2"/>
    <x v="3"/>
    <s v="TRK60203957"/>
    <s v="5"/>
    <x v="1"/>
    <s v="Email"/>
    <n v="418.36"/>
  </r>
  <r>
    <x v="469"/>
    <x v="371"/>
    <s v="C13877"/>
    <x v="3"/>
    <n v="5"/>
    <n v="676.98"/>
    <s v="893 Main St"/>
    <x v="4"/>
    <x v="1"/>
    <s v="TRK17254691"/>
    <s v="5"/>
    <x v="2"/>
    <s v="Facebook"/>
    <n v="3384.9"/>
  </r>
  <r>
    <x v="470"/>
    <x v="372"/>
    <s v="C25149"/>
    <x v="2"/>
    <n v="4"/>
    <n v="263.62"/>
    <s v="672 Main St"/>
    <x v="4"/>
    <x v="0"/>
    <s v="TRK33538608"/>
    <s v="5"/>
    <x v="0"/>
    <s v="Email"/>
    <n v="1054.48"/>
  </r>
  <r>
    <x v="471"/>
    <x v="373"/>
    <s v="C52717"/>
    <x v="6"/>
    <n v="5"/>
    <n v="551.27"/>
    <s v="395 Main St"/>
    <x v="1"/>
    <x v="1"/>
    <s v="TRK27625571"/>
    <s v="7"/>
    <x v="1"/>
    <s v="Referral"/>
    <n v="2756.35"/>
  </r>
  <r>
    <x v="472"/>
    <x v="374"/>
    <s v="C60029"/>
    <x v="3"/>
    <n v="3"/>
    <n v="508.12"/>
    <s v="796 Main St"/>
    <x v="2"/>
    <x v="1"/>
    <s v="TRK86461316"/>
    <s v="8"/>
    <x v="1"/>
    <s v="Referral"/>
    <n v="1524.36"/>
  </r>
  <r>
    <x v="473"/>
    <x v="86"/>
    <s v="C28552"/>
    <x v="3"/>
    <n v="2"/>
    <n v="14.93"/>
    <s v="449 Main St"/>
    <x v="1"/>
    <x v="0"/>
    <s v="TRK71597160"/>
    <s v="4"/>
    <x v="2"/>
    <s v="Facebook"/>
    <n v="29.86"/>
  </r>
  <r>
    <x v="474"/>
    <x v="375"/>
    <s v="C72293"/>
    <x v="4"/>
    <n v="3"/>
    <n v="229.34"/>
    <s v="398 Main St"/>
    <x v="2"/>
    <x v="0"/>
    <s v="TRK84378003"/>
    <s v="6"/>
    <x v="0"/>
    <s v="Referral"/>
    <n v="688.02"/>
  </r>
  <r>
    <x v="475"/>
    <x v="373"/>
    <s v="C29844"/>
    <x v="2"/>
    <n v="2"/>
    <n v="438.62"/>
    <s v="363 Main St"/>
    <x v="4"/>
    <x v="1"/>
    <s v="TRK91642337"/>
    <s v="3"/>
    <x v="0"/>
    <s v="Facebook"/>
    <n v="877.24"/>
  </r>
  <r>
    <x v="476"/>
    <x v="361"/>
    <s v="C77872"/>
    <x v="1"/>
    <n v="2"/>
    <n v="513.59"/>
    <s v="867 Main St"/>
    <x v="1"/>
    <x v="2"/>
    <s v="TRK19292184"/>
    <s v="4"/>
    <x v="1"/>
    <s v="Referral"/>
    <n v="1027.18"/>
  </r>
  <r>
    <x v="477"/>
    <x v="376"/>
    <s v="C56564"/>
    <x v="1"/>
    <n v="2"/>
    <n v="253.74"/>
    <s v="481 Main St"/>
    <x v="1"/>
    <x v="0"/>
    <s v="TRK13166044"/>
    <s v="5"/>
    <x v="0"/>
    <s v="Google"/>
    <n v="507.48"/>
  </r>
  <r>
    <x v="478"/>
    <x v="377"/>
    <s v="C16758"/>
    <x v="2"/>
    <n v="3"/>
    <n v="62.77"/>
    <s v="914 Main St"/>
    <x v="3"/>
    <x v="0"/>
    <s v="TRK88544431"/>
    <s v="6"/>
    <x v="1"/>
    <s v="Referral"/>
    <n v="188.31"/>
  </r>
  <r>
    <x v="479"/>
    <x v="378"/>
    <s v="C87011"/>
    <x v="0"/>
    <n v="4"/>
    <n v="25.29"/>
    <s v="943 Main St"/>
    <x v="2"/>
    <x v="4"/>
    <s v="TRK21429162"/>
    <s v="8"/>
    <x v="2"/>
    <s v="Google"/>
    <n v="101.16"/>
  </r>
  <r>
    <x v="480"/>
    <x v="379"/>
    <s v="C21147"/>
    <x v="3"/>
    <n v="1"/>
    <n v="335.1"/>
    <s v="126 Main St"/>
    <x v="0"/>
    <x v="4"/>
    <s v="TRK93171043"/>
    <s v="6"/>
    <x v="1"/>
    <s v="Referral"/>
    <n v="335.1"/>
  </r>
  <r>
    <x v="481"/>
    <x v="295"/>
    <s v="C94568"/>
    <x v="5"/>
    <n v="4"/>
    <n v="484.85"/>
    <s v="317 Main St"/>
    <x v="0"/>
    <x v="3"/>
    <s v="TRK58653915"/>
    <s v="5"/>
    <x v="3"/>
    <s v="Referral"/>
    <n v="1939.4"/>
  </r>
  <r>
    <x v="482"/>
    <x v="380"/>
    <s v="C35852"/>
    <x v="0"/>
    <n v="3"/>
    <n v="381.41"/>
    <s v="989 Main St"/>
    <x v="1"/>
    <x v="4"/>
    <s v="TRK22302049"/>
    <s v="6"/>
    <x v="2"/>
    <s v="Instagram"/>
    <n v="1144.23"/>
  </r>
  <r>
    <x v="483"/>
    <x v="381"/>
    <s v="C66462"/>
    <x v="1"/>
    <n v="5"/>
    <n v="347.92"/>
    <s v="982 Main St"/>
    <x v="4"/>
    <x v="4"/>
    <s v="TRK52743700"/>
    <s v="6"/>
    <x v="3"/>
    <s v="Google"/>
    <n v="1739.6"/>
  </r>
  <r>
    <x v="484"/>
    <x v="382"/>
    <s v="C29092"/>
    <x v="3"/>
    <n v="4"/>
    <n v="15.01"/>
    <s v="767 Main St"/>
    <x v="4"/>
    <x v="1"/>
    <s v="TRK90455340"/>
    <s v="6"/>
    <x v="2"/>
    <s v="Facebook"/>
    <n v="60.04"/>
  </r>
  <r>
    <x v="485"/>
    <x v="383"/>
    <s v="C46651"/>
    <x v="3"/>
    <n v="3"/>
    <n v="404.79"/>
    <s v="764 Main St"/>
    <x v="4"/>
    <x v="0"/>
    <s v="TRK67679195"/>
    <s v="6"/>
    <x v="0"/>
    <s v="Instagram"/>
    <n v="1214.3699999999999"/>
  </r>
  <r>
    <x v="486"/>
    <x v="384"/>
    <s v="C88981"/>
    <x v="4"/>
    <n v="4"/>
    <n v="611.26"/>
    <s v="558 Main St"/>
    <x v="4"/>
    <x v="0"/>
    <s v="TRK75267873"/>
    <s v="5"/>
    <x v="0"/>
    <s v="Referral"/>
    <n v="2445.04"/>
  </r>
  <r>
    <x v="487"/>
    <x v="338"/>
    <s v="C40136"/>
    <x v="4"/>
    <n v="3"/>
    <n v="346.52"/>
    <s v="211 Main St"/>
    <x v="2"/>
    <x v="4"/>
    <s v="TRK92924852"/>
    <s v="3"/>
    <x v="0"/>
    <s v="Google"/>
    <n v="1039.56"/>
  </r>
  <r>
    <x v="488"/>
    <x v="194"/>
    <s v="C81573"/>
    <x v="3"/>
    <n v="1"/>
    <n v="36.65"/>
    <s v="556 Main St"/>
    <x v="1"/>
    <x v="1"/>
    <s v="TRK96522994"/>
    <s v="1"/>
    <x v="3"/>
    <s v="Email"/>
    <n v="36.65"/>
  </r>
  <r>
    <x v="489"/>
    <x v="189"/>
    <s v="C11940"/>
    <x v="2"/>
    <n v="3"/>
    <n v="149.34"/>
    <s v="589 Main St"/>
    <x v="3"/>
    <x v="1"/>
    <s v="TRK85466461"/>
    <s v="7"/>
    <x v="3"/>
    <s v="Email"/>
    <n v="448.02"/>
  </r>
  <r>
    <x v="490"/>
    <x v="319"/>
    <s v="C50097"/>
    <x v="3"/>
    <n v="5"/>
    <n v="467.81"/>
    <s v="539 Main St"/>
    <x v="1"/>
    <x v="1"/>
    <s v="TRK62785150"/>
    <s v="10"/>
    <x v="2"/>
    <s v="Facebook"/>
    <n v="2339.0500000000002"/>
  </r>
  <r>
    <x v="491"/>
    <x v="314"/>
    <s v="C98168"/>
    <x v="1"/>
    <n v="5"/>
    <n v="420.7"/>
    <s v="481 Main St"/>
    <x v="4"/>
    <x v="4"/>
    <s v="TRK56423359"/>
    <s v="5"/>
    <x v="3"/>
    <s v="Facebook"/>
    <n v="2103.5"/>
  </r>
  <r>
    <x v="492"/>
    <x v="385"/>
    <s v="C39074"/>
    <x v="5"/>
    <n v="5"/>
    <n v="606.52"/>
    <s v="103 Main St"/>
    <x v="0"/>
    <x v="0"/>
    <s v="TRK13027036"/>
    <s v="6"/>
    <x v="0"/>
    <s v="Instagram"/>
    <n v="3032.6"/>
  </r>
  <r>
    <x v="493"/>
    <x v="386"/>
    <s v="C84908"/>
    <x v="1"/>
    <n v="1"/>
    <n v="420.26"/>
    <s v="372 Main St"/>
    <x v="2"/>
    <x v="4"/>
    <s v="TRK64135970"/>
    <s v="4"/>
    <x v="1"/>
    <s v="Facebook"/>
    <n v="420.26"/>
  </r>
  <r>
    <x v="494"/>
    <x v="45"/>
    <s v="C64516"/>
    <x v="5"/>
    <n v="3"/>
    <n v="505.79"/>
    <s v="459 Main St"/>
    <x v="0"/>
    <x v="4"/>
    <s v="TRK63920573"/>
    <s v="3"/>
    <x v="1"/>
    <s v="Referral"/>
    <n v="1517.37"/>
  </r>
  <r>
    <x v="495"/>
    <x v="85"/>
    <s v="C63827"/>
    <x v="1"/>
    <n v="4"/>
    <n v="493.73"/>
    <s v="947 Main St"/>
    <x v="0"/>
    <x v="4"/>
    <s v="TRK35730581"/>
    <s v="6"/>
    <x v="0"/>
    <s v="Facebook"/>
    <n v="1974.92"/>
  </r>
  <r>
    <x v="496"/>
    <x v="387"/>
    <s v="C93618"/>
    <x v="4"/>
    <n v="3"/>
    <n v="201.21"/>
    <s v="249 Main St"/>
    <x v="1"/>
    <x v="1"/>
    <s v="TRK66129326"/>
    <s v="3"/>
    <x v="0"/>
    <s v="Google"/>
    <n v="603.63"/>
  </r>
  <r>
    <x v="497"/>
    <x v="101"/>
    <s v="C93948"/>
    <x v="4"/>
    <n v="3"/>
    <n v="112.29"/>
    <s v="454 Main St"/>
    <x v="3"/>
    <x v="0"/>
    <s v="TRK77358113"/>
    <s v="6"/>
    <x v="2"/>
    <s v="Google"/>
    <n v="336.87"/>
  </r>
  <r>
    <x v="498"/>
    <x v="219"/>
    <s v="C73961"/>
    <x v="2"/>
    <n v="4"/>
    <n v="132.56"/>
    <s v="306 Main St"/>
    <x v="4"/>
    <x v="2"/>
    <s v="TRK32607173"/>
    <s v="8"/>
    <x v="3"/>
    <s v="Instagram"/>
    <n v="530.24"/>
  </r>
  <r>
    <x v="499"/>
    <x v="388"/>
    <s v="C18138"/>
    <x v="4"/>
    <n v="3"/>
    <n v="539.46"/>
    <s v="520 Main St"/>
    <x v="2"/>
    <x v="0"/>
    <s v="TRK20289483"/>
    <s v="4"/>
    <x v="0"/>
    <s v="Facebook"/>
    <n v="1618.38"/>
  </r>
  <r>
    <x v="500"/>
    <x v="158"/>
    <s v="C79475"/>
    <x v="5"/>
    <n v="5"/>
    <n v="508.59"/>
    <s v="169 Main St"/>
    <x v="4"/>
    <x v="2"/>
    <s v="TRK42168516"/>
    <s v="8"/>
    <x v="3"/>
    <s v="Facebook"/>
    <n v="2542.9499999999998"/>
  </r>
  <r>
    <x v="501"/>
    <x v="389"/>
    <s v="C88546"/>
    <x v="6"/>
    <n v="4"/>
    <n v="203.46"/>
    <s v="226 Main St"/>
    <x v="2"/>
    <x v="4"/>
    <s v="TRK19867754"/>
    <s v="7"/>
    <x v="0"/>
    <s v="Referral"/>
    <n v="813.84"/>
  </r>
  <r>
    <x v="502"/>
    <x v="390"/>
    <s v="C69332"/>
    <x v="0"/>
    <n v="3"/>
    <n v="565.25"/>
    <s v="745 Main St"/>
    <x v="0"/>
    <x v="2"/>
    <s v="TRK65718848"/>
    <s v="7"/>
    <x v="0"/>
    <s v="Email"/>
    <n v="1695.75"/>
  </r>
  <r>
    <x v="503"/>
    <x v="303"/>
    <s v="C64554"/>
    <x v="2"/>
    <n v="3"/>
    <n v="136.84"/>
    <s v="498 Main St"/>
    <x v="1"/>
    <x v="4"/>
    <s v="TRK95384568"/>
    <s v="4"/>
    <x v="1"/>
    <s v="Facebook"/>
    <n v="410.52"/>
  </r>
  <r>
    <x v="504"/>
    <x v="113"/>
    <s v="C11676"/>
    <x v="0"/>
    <n v="2"/>
    <n v="464.5"/>
    <s v="805 Main St"/>
    <x v="1"/>
    <x v="1"/>
    <s v="TRK35726395"/>
    <s v="2"/>
    <x v="3"/>
    <s v="Instagram"/>
    <n v="929"/>
  </r>
  <r>
    <x v="505"/>
    <x v="236"/>
    <s v="C36014"/>
    <x v="4"/>
    <n v="2"/>
    <n v="434.97"/>
    <s v="558 Main St"/>
    <x v="1"/>
    <x v="0"/>
    <s v="TRK97246526"/>
    <s v="7"/>
    <x v="2"/>
    <s v="Email"/>
    <n v="869.94"/>
  </r>
  <r>
    <x v="506"/>
    <x v="284"/>
    <s v="C23279"/>
    <x v="0"/>
    <n v="2"/>
    <n v="43.67"/>
    <s v="696 Main St"/>
    <x v="4"/>
    <x v="2"/>
    <s v="TRK58039693"/>
    <s v="4"/>
    <x v="3"/>
    <s v="Instagram"/>
    <n v="87.34"/>
  </r>
  <r>
    <x v="507"/>
    <x v="176"/>
    <s v="C86481"/>
    <x v="1"/>
    <n v="1"/>
    <n v="171.59"/>
    <s v="546 Main St"/>
    <x v="2"/>
    <x v="4"/>
    <s v="TRK87513944"/>
    <s v="5"/>
    <x v="3"/>
    <s v="Email"/>
    <n v="171.59"/>
  </r>
  <r>
    <x v="508"/>
    <x v="391"/>
    <s v="C39550"/>
    <x v="1"/>
    <n v="1"/>
    <n v="558.27"/>
    <s v="976 Main St"/>
    <x v="1"/>
    <x v="3"/>
    <s v="TRK24120267"/>
    <s v="1"/>
    <x v="2"/>
    <s v="Referral"/>
    <n v="558.27"/>
  </r>
  <r>
    <x v="509"/>
    <x v="392"/>
    <s v="C68937"/>
    <x v="5"/>
    <n v="2"/>
    <n v="425.03"/>
    <s v="560 Main St"/>
    <x v="4"/>
    <x v="2"/>
    <s v="TRK31908657"/>
    <s v="2"/>
    <x v="3"/>
    <s v="Google"/>
    <n v="850.06"/>
  </r>
  <r>
    <x v="510"/>
    <x v="393"/>
    <s v="C72533"/>
    <x v="4"/>
    <n v="1"/>
    <n v="376.76"/>
    <s v="389 Main St"/>
    <x v="0"/>
    <x v="3"/>
    <s v="TRK51288986"/>
    <s v="5"/>
    <x v="0"/>
    <s v="Email"/>
    <n v="376.76"/>
  </r>
  <r>
    <x v="511"/>
    <x v="394"/>
    <s v="C11415"/>
    <x v="0"/>
    <n v="5"/>
    <n v="575.24"/>
    <s v="267 Main St"/>
    <x v="4"/>
    <x v="3"/>
    <s v="TRK65061457"/>
    <s v="7"/>
    <x v="3"/>
    <s v="Email"/>
    <n v="2876.2"/>
  </r>
  <r>
    <x v="512"/>
    <x v="395"/>
    <s v="C14114"/>
    <x v="6"/>
    <n v="3"/>
    <n v="568.02"/>
    <s v="856 Main St"/>
    <x v="1"/>
    <x v="4"/>
    <s v="TRK63290700"/>
    <s v="3"/>
    <x v="1"/>
    <s v="Instagram"/>
    <n v="1704.06"/>
  </r>
  <r>
    <x v="513"/>
    <x v="396"/>
    <s v="C64128"/>
    <x v="2"/>
    <n v="3"/>
    <n v="94.88"/>
    <s v="533 Main St"/>
    <x v="3"/>
    <x v="0"/>
    <s v="TRK37053575"/>
    <s v="8"/>
    <x v="2"/>
    <s v="Referral"/>
    <n v="284.64"/>
  </r>
  <r>
    <x v="514"/>
    <x v="397"/>
    <s v="C15629"/>
    <x v="4"/>
    <n v="3"/>
    <n v="304.14999999999998"/>
    <s v="492 Main St"/>
    <x v="3"/>
    <x v="0"/>
    <s v="TRK64926044"/>
    <s v="3"/>
    <x v="3"/>
    <s v="Instagram"/>
    <n v="912.45"/>
  </r>
  <r>
    <x v="515"/>
    <x v="369"/>
    <s v="C67561"/>
    <x v="1"/>
    <n v="3"/>
    <n v="553.52"/>
    <s v="160 Main St"/>
    <x v="3"/>
    <x v="0"/>
    <s v="TRK75900717"/>
    <s v="4"/>
    <x v="1"/>
    <s v="Facebook"/>
    <n v="1660.56"/>
  </r>
  <r>
    <x v="516"/>
    <x v="158"/>
    <s v="C47022"/>
    <x v="0"/>
    <n v="3"/>
    <n v="166.99"/>
    <s v="208 Main St"/>
    <x v="4"/>
    <x v="2"/>
    <s v="TRK28855040"/>
    <s v="8"/>
    <x v="2"/>
    <s v="Facebook"/>
    <n v="500.97"/>
  </r>
  <r>
    <x v="517"/>
    <x v="398"/>
    <s v="C55205"/>
    <x v="2"/>
    <n v="4"/>
    <n v="198.35"/>
    <s v="943 Main St"/>
    <x v="4"/>
    <x v="1"/>
    <s v="TRK88141634"/>
    <s v="7"/>
    <x v="1"/>
    <s v="Google"/>
    <n v="793.4"/>
  </r>
  <r>
    <x v="518"/>
    <x v="399"/>
    <s v="C30686"/>
    <x v="4"/>
    <n v="4"/>
    <n v="403.58"/>
    <s v="319 Main St"/>
    <x v="1"/>
    <x v="4"/>
    <s v="TRK59807273"/>
    <s v="9"/>
    <x v="0"/>
    <s v="Referral"/>
    <n v="1614.32"/>
  </r>
  <r>
    <x v="519"/>
    <x v="400"/>
    <s v="C71797"/>
    <x v="5"/>
    <n v="4"/>
    <n v="464.29"/>
    <s v="941 Main St"/>
    <x v="0"/>
    <x v="2"/>
    <s v="TRK66010667"/>
    <s v="5"/>
    <x v="0"/>
    <s v="Email"/>
    <n v="1857.16"/>
  </r>
  <r>
    <x v="520"/>
    <x v="401"/>
    <s v="C66332"/>
    <x v="0"/>
    <n v="3"/>
    <n v="635.98"/>
    <s v="959 Main St"/>
    <x v="4"/>
    <x v="2"/>
    <s v="TRK27063398"/>
    <s v="5"/>
    <x v="2"/>
    <s v="Referral"/>
    <n v="1907.94"/>
  </r>
  <r>
    <x v="521"/>
    <x v="402"/>
    <s v="C82318"/>
    <x v="1"/>
    <n v="1"/>
    <n v="528.05999999999995"/>
    <s v="991 Main St"/>
    <x v="2"/>
    <x v="0"/>
    <s v="TRK37534165"/>
    <s v="2"/>
    <x v="2"/>
    <s v="Facebook"/>
    <n v="528.05999999999995"/>
  </r>
  <r>
    <x v="522"/>
    <x v="322"/>
    <s v="C66254"/>
    <x v="3"/>
    <n v="1"/>
    <n v="515.32000000000005"/>
    <s v="740 Main St"/>
    <x v="3"/>
    <x v="1"/>
    <s v="TRK82843861"/>
    <s v="1"/>
    <x v="1"/>
    <s v="Email"/>
    <n v="515.32000000000005"/>
  </r>
  <r>
    <x v="523"/>
    <x v="403"/>
    <s v="C65083"/>
    <x v="6"/>
    <n v="4"/>
    <n v="657.79"/>
    <s v="652 Main St"/>
    <x v="2"/>
    <x v="2"/>
    <s v="TRK60937148"/>
    <s v="6"/>
    <x v="3"/>
    <s v="Google"/>
    <n v="2631.16"/>
  </r>
  <r>
    <x v="524"/>
    <x v="385"/>
    <s v="C44778"/>
    <x v="1"/>
    <n v="1"/>
    <n v="153"/>
    <s v="103 Main St"/>
    <x v="2"/>
    <x v="2"/>
    <s v="TRK92617366"/>
    <s v="4"/>
    <x v="2"/>
    <s v="Referral"/>
    <n v="153"/>
  </r>
  <r>
    <x v="525"/>
    <x v="404"/>
    <s v="C54499"/>
    <x v="0"/>
    <n v="1"/>
    <n v="668.48"/>
    <s v="160 Main St"/>
    <x v="0"/>
    <x v="0"/>
    <s v="TRK18061555"/>
    <s v="1"/>
    <x v="0"/>
    <s v="Email"/>
    <n v="668.48"/>
  </r>
  <r>
    <x v="526"/>
    <x v="405"/>
    <s v="C91201"/>
    <x v="6"/>
    <n v="2"/>
    <n v="46.5"/>
    <s v="837 Main St"/>
    <x v="4"/>
    <x v="2"/>
    <s v="TRK63526023"/>
    <s v="7"/>
    <x v="3"/>
    <s v="Google"/>
    <n v="93"/>
  </r>
  <r>
    <x v="527"/>
    <x v="406"/>
    <s v="C27202"/>
    <x v="3"/>
    <n v="5"/>
    <n v="653.47"/>
    <s v="967 Main St"/>
    <x v="2"/>
    <x v="1"/>
    <s v="TRK75406128"/>
    <s v="10"/>
    <x v="0"/>
    <s v="Referral"/>
    <n v="3267.35"/>
  </r>
  <r>
    <x v="528"/>
    <x v="407"/>
    <s v="C32011"/>
    <x v="3"/>
    <n v="1"/>
    <n v="628.89"/>
    <s v="686 Main St"/>
    <x v="2"/>
    <x v="2"/>
    <s v="TRK70997744"/>
    <s v="2"/>
    <x v="0"/>
    <s v="Referral"/>
    <n v="628.89"/>
  </r>
  <r>
    <x v="529"/>
    <x v="158"/>
    <s v="C21181"/>
    <x v="2"/>
    <n v="2"/>
    <n v="675.1"/>
    <s v="938 Main St"/>
    <x v="4"/>
    <x v="4"/>
    <s v="TRK50363421"/>
    <s v="4"/>
    <x v="1"/>
    <s v="Google"/>
    <n v="1350.2"/>
  </r>
  <r>
    <x v="530"/>
    <x v="408"/>
    <s v="C98450"/>
    <x v="3"/>
    <n v="4"/>
    <n v="89.41"/>
    <s v="613 Main St"/>
    <x v="1"/>
    <x v="4"/>
    <s v="TRK14809530"/>
    <s v="9"/>
    <x v="2"/>
    <s v="Google"/>
    <n v="357.64"/>
  </r>
  <r>
    <x v="531"/>
    <x v="367"/>
    <s v="C64502"/>
    <x v="6"/>
    <n v="5"/>
    <n v="320.01"/>
    <s v="722 Main St"/>
    <x v="3"/>
    <x v="3"/>
    <s v="TRK14914388"/>
    <s v="6"/>
    <x v="2"/>
    <s v="Referral"/>
    <n v="1600.05"/>
  </r>
  <r>
    <x v="532"/>
    <x v="120"/>
    <s v="C47365"/>
    <x v="5"/>
    <n v="2"/>
    <n v="41"/>
    <s v="369 Main St"/>
    <x v="1"/>
    <x v="3"/>
    <s v="TRK42207882"/>
    <s v="7"/>
    <x v="2"/>
    <s v="Email"/>
    <n v="82"/>
  </r>
  <r>
    <x v="533"/>
    <x v="409"/>
    <s v="C66349"/>
    <x v="6"/>
    <n v="1"/>
    <n v="565.85"/>
    <s v="715 Main St"/>
    <x v="3"/>
    <x v="2"/>
    <s v="TRK63550793"/>
    <s v="1"/>
    <x v="1"/>
    <s v="Facebook"/>
    <n v="565.85"/>
  </r>
  <r>
    <x v="534"/>
    <x v="309"/>
    <s v="C73289"/>
    <x v="3"/>
    <n v="3"/>
    <n v="648.59"/>
    <s v="906 Main St"/>
    <x v="0"/>
    <x v="1"/>
    <s v="TRK70872738"/>
    <s v="4"/>
    <x v="0"/>
    <s v="Email"/>
    <n v="1945.77"/>
  </r>
  <r>
    <x v="535"/>
    <x v="25"/>
    <s v="C48649"/>
    <x v="0"/>
    <n v="3"/>
    <n v="68.12"/>
    <s v="332 Main St"/>
    <x v="1"/>
    <x v="1"/>
    <s v="TRK45821445"/>
    <s v="3"/>
    <x v="1"/>
    <s v="Email"/>
    <n v="204.36"/>
  </r>
  <r>
    <x v="536"/>
    <x v="410"/>
    <s v="C18724"/>
    <x v="3"/>
    <n v="1"/>
    <n v="616.1"/>
    <s v="124 Main St"/>
    <x v="4"/>
    <x v="2"/>
    <s v="TRK52508861"/>
    <s v="6"/>
    <x v="2"/>
    <s v="Email"/>
    <n v="616.1"/>
  </r>
  <r>
    <x v="537"/>
    <x v="411"/>
    <s v="C68553"/>
    <x v="2"/>
    <n v="3"/>
    <n v="247.47"/>
    <s v="385 Main St"/>
    <x v="1"/>
    <x v="3"/>
    <s v="TRK58218971"/>
    <s v="4"/>
    <x v="0"/>
    <s v="Facebook"/>
    <n v="742.41"/>
  </r>
  <r>
    <x v="538"/>
    <x v="75"/>
    <s v="C61280"/>
    <x v="1"/>
    <n v="3"/>
    <n v="490.74"/>
    <s v="100 Main St"/>
    <x v="4"/>
    <x v="0"/>
    <s v="TRK95487711"/>
    <s v="3"/>
    <x v="3"/>
    <s v="Email"/>
    <n v="1472.22"/>
  </r>
  <r>
    <x v="539"/>
    <x v="403"/>
    <s v="C53277"/>
    <x v="6"/>
    <n v="3"/>
    <n v="531.72"/>
    <s v="473 Main St"/>
    <x v="3"/>
    <x v="3"/>
    <s v="TRK17653832"/>
    <s v="7"/>
    <x v="0"/>
    <s v="Google"/>
    <n v="1595.16"/>
  </r>
  <r>
    <x v="540"/>
    <x v="412"/>
    <s v="C87281"/>
    <x v="5"/>
    <n v="5"/>
    <n v="648.65"/>
    <s v="852 Main St"/>
    <x v="1"/>
    <x v="4"/>
    <s v="TRK81765057"/>
    <s v="7"/>
    <x v="2"/>
    <s v="Referral"/>
    <n v="3243.25"/>
  </r>
  <r>
    <x v="541"/>
    <x v="413"/>
    <s v="C69009"/>
    <x v="4"/>
    <n v="5"/>
    <n v="456.06"/>
    <s v="879 Main St"/>
    <x v="4"/>
    <x v="4"/>
    <s v="TRK61295842"/>
    <s v="10"/>
    <x v="2"/>
    <s v="Instagram"/>
    <n v="2280.3000000000002"/>
  </r>
  <r>
    <x v="542"/>
    <x v="414"/>
    <s v="C49726"/>
    <x v="2"/>
    <n v="1"/>
    <n v="17.98"/>
    <s v="934 Main St"/>
    <x v="4"/>
    <x v="1"/>
    <s v="TRK20739460"/>
    <s v="6"/>
    <x v="1"/>
    <s v="Email"/>
    <n v="17.98"/>
  </r>
  <r>
    <x v="543"/>
    <x v="415"/>
    <s v="C37531"/>
    <x v="6"/>
    <n v="5"/>
    <n v="269.86"/>
    <s v="354 Main St"/>
    <x v="4"/>
    <x v="0"/>
    <s v="TRK93877673"/>
    <s v="6"/>
    <x v="3"/>
    <s v="Facebook"/>
    <n v="1349.3"/>
  </r>
  <r>
    <x v="544"/>
    <x v="416"/>
    <s v="C48713"/>
    <x v="4"/>
    <n v="5"/>
    <n v="31.96"/>
    <s v="373 Main St"/>
    <x v="2"/>
    <x v="2"/>
    <s v="TRK96334419"/>
    <s v="5"/>
    <x v="1"/>
    <s v="Referral"/>
    <n v="159.80000000000001"/>
  </r>
  <r>
    <x v="545"/>
    <x v="263"/>
    <s v="C74138"/>
    <x v="0"/>
    <n v="2"/>
    <n v="98.47"/>
    <s v="964 Main St"/>
    <x v="4"/>
    <x v="2"/>
    <s v="TRK74091695"/>
    <s v="3"/>
    <x v="2"/>
    <s v="Instagram"/>
    <n v="196.94"/>
  </r>
  <r>
    <x v="546"/>
    <x v="417"/>
    <s v="C82399"/>
    <x v="0"/>
    <n v="1"/>
    <n v="158.68"/>
    <s v="928 Main St"/>
    <x v="2"/>
    <x v="2"/>
    <s v="TRK77177284"/>
    <s v="6"/>
    <x v="3"/>
    <s v="Instagram"/>
    <n v="158.68"/>
  </r>
  <r>
    <x v="547"/>
    <x v="38"/>
    <s v="C40427"/>
    <x v="1"/>
    <n v="1"/>
    <n v="613.98"/>
    <s v="411 Main St"/>
    <x v="1"/>
    <x v="3"/>
    <s v="TRK25392280"/>
    <s v="4"/>
    <x v="1"/>
    <s v="Facebook"/>
    <n v="613.98"/>
  </r>
  <r>
    <x v="548"/>
    <x v="80"/>
    <s v="C17103"/>
    <x v="4"/>
    <n v="3"/>
    <n v="426.12"/>
    <s v="922 Main St"/>
    <x v="1"/>
    <x v="3"/>
    <s v="TRK64398650"/>
    <s v="5"/>
    <x v="3"/>
    <s v="Instagram"/>
    <n v="1278.3599999999999"/>
  </r>
  <r>
    <x v="549"/>
    <x v="86"/>
    <s v="C34266"/>
    <x v="0"/>
    <n v="4"/>
    <n v="629.88"/>
    <s v="550 Main St"/>
    <x v="0"/>
    <x v="1"/>
    <s v="TRK56378197"/>
    <s v="8"/>
    <x v="3"/>
    <s v="Instagram"/>
    <n v="2519.52"/>
  </r>
  <r>
    <x v="550"/>
    <x v="418"/>
    <s v="C97485"/>
    <x v="5"/>
    <n v="4"/>
    <n v="228.91"/>
    <s v="573 Main St"/>
    <x v="4"/>
    <x v="0"/>
    <s v="TRK81794737"/>
    <s v="4"/>
    <x v="1"/>
    <s v="Google"/>
    <n v="915.64"/>
  </r>
  <r>
    <x v="551"/>
    <x v="419"/>
    <s v="C23947"/>
    <x v="5"/>
    <n v="1"/>
    <n v="120.98"/>
    <s v="353 Main St"/>
    <x v="0"/>
    <x v="3"/>
    <s v="TRK74812710"/>
    <s v="6"/>
    <x v="3"/>
    <s v="Email"/>
    <n v="120.98"/>
  </r>
  <r>
    <x v="552"/>
    <x v="420"/>
    <s v="C21665"/>
    <x v="3"/>
    <n v="4"/>
    <n v="425.18"/>
    <s v="560 Main St"/>
    <x v="1"/>
    <x v="2"/>
    <s v="TRK29890761"/>
    <s v="8"/>
    <x v="3"/>
    <s v="Facebook"/>
    <n v="1700.72"/>
  </r>
  <r>
    <x v="553"/>
    <x v="421"/>
    <s v="C82550"/>
    <x v="1"/>
    <n v="2"/>
    <n v="333.83"/>
    <s v="828 Main St"/>
    <x v="3"/>
    <x v="1"/>
    <s v="TRK74103758"/>
    <s v="4"/>
    <x v="1"/>
    <s v="Referral"/>
    <n v="667.66"/>
  </r>
  <r>
    <x v="554"/>
    <x v="422"/>
    <s v="C61943"/>
    <x v="5"/>
    <n v="2"/>
    <n v="492.9"/>
    <s v="610 Main St"/>
    <x v="4"/>
    <x v="2"/>
    <s v="TRK66126496"/>
    <s v="5"/>
    <x v="1"/>
    <s v="Instagram"/>
    <n v="985.8"/>
  </r>
  <r>
    <x v="555"/>
    <x v="33"/>
    <s v="C88933"/>
    <x v="2"/>
    <n v="1"/>
    <n v="92.04"/>
    <s v="333 Main St"/>
    <x v="4"/>
    <x v="0"/>
    <s v="TRK89306964"/>
    <s v="2"/>
    <x v="2"/>
    <s v="Facebook"/>
    <n v="92.04"/>
  </r>
  <r>
    <x v="556"/>
    <x v="423"/>
    <s v="C30923"/>
    <x v="5"/>
    <n v="1"/>
    <n v="654.27"/>
    <s v="932 Main St"/>
    <x v="3"/>
    <x v="4"/>
    <s v="TRK82609328"/>
    <s v="2"/>
    <x v="0"/>
    <s v="Facebook"/>
    <n v="654.27"/>
  </r>
  <r>
    <x v="557"/>
    <x v="282"/>
    <s v="C56969"/>
    <x v="2"/>
    <n v="1"/>
    <n v="56.2"/>
    <s v="130 Main St"/>
    <x v="0"/>
    <x v="4"/>
    <s v="TRK40719215"/>
    <s v="1"/>
    <x v="3"/>
    <s v="Facebook"/>
    <n v="56.2"/>
  </r>
  <r>
    <x v="558"/>
    <x v="424"/>
    <s v="C76766"/>
    <x v="1"/>
    <n v="4"/>
    <n v="628.12"/>
    <s v="485 Main St"/>
    <x v="1"/>
    <x v="3"/>
    <s v="TRK32052962"/>
    <s v="6"/>
    <x v="3"/>
    <s v="Instagram"/>
    <n v="2512.48"/>
  </r>
  <r>
    <x v="559"/>
    <x v="116"/>
    <s v="C22981"/>
    <x v="6"/>
    <n v="3"/>
    <n v="157.4"/>
    <s v="454 Main St"/>
    <x v="0"/>
    <x v="1"/>
    <s v="TRK10115285"/>
    <s v="7"/>
    <x v="3"/>
    <s v="Email"/>
    <n v="472.2"/>
  </r>
  <r>
    <x v="560"/>
    <x v="425"/>
    <s v="C33634"/>
    <x v="0"/>
    <n v="4"/>
    <n v="588.85"/>
    <s v="524 Main St"/>
    <x v="3"/>
    <x v="4"/>
    <s v="TRK93168008"/>
    <s v="7"/>
    <x v="2"/>
    <s v="Email"/>
    <n v="2355.4"/>
  </r>
  <r>
    <x v="561"/>
    <x v="425"/>
    <s v="C96822"/>
    <x v="4"/>
    <n v="2"/>
    <n v="494.78"/>
    <s v="198 Main St"/>
    <x v="1"/>
    <x v="0"/>
    <s v="TRK89180077"/>
    <s v="2"/>
    <x v="2"/>
    <s v="Google"/>
    <n v="989.56"/>
  </r>
  <r>
    <x v="562"/>
    <x v="426"/>
    <s v="C76675"/>
    <x v="5"/>
    <n v="3"/>
    <n v="663.93"/>
    <s v="922 Main St"/>
    <x v="3"/>
    <x v="2"/>
    <s v="TRK28043915"/>
    <s v="6"/>
    <x v="1"/>
    <s v="Email"/>
    <n v="1991.79"/>
  </r>
  <r>
    <x v="563"/>
    <x v="427"/>
    <s v="C12039"/>
    <x v="5"/>
    <n v="1"/>
    <n v="132.68"/>
    <s v="844 Main St"/>
    <x v="0"/>
    <x v="2"/>
    <s v="TRK68645763"/>
    <s v="1"/>
    <x v="0"/>
    <s v="Referral"/>
    <n v="132.68"/>
  </r>
  <r>
    <x v="564"/>
    <x v="428"/>
    <s v="C93309"/>
    <x v="6"/>
    <n v="5"/>
    <n v="364.28"/>
    <s v="734 Main St"/>
    <x v="2"/>
    <x v="1"/>
    <s v="TRK99446987"/>
    <s v="5"/>
    <x v="3"/>
    <s v="Google"/>
    <n v="1821.4"/>
  </r>
  <r>
    <x v="565"/>
    <x v="429"/>
    <s v="C62042"/>
    <x v="2"/>
    <n v="5"/>
    <n v="307.98"/>
    <s v="214 Main St"/>
    <x v="1"/>
    <x v="4"/>
    <s v="TRK42605492"/>
    <s v="10"/>
    <x v="2"/>
    <s v="Facebook"/>
    <n v="1539.9"/>
  </r>
  <r>
    <x v="566"/>
    <x v="171"/>
    <s v="C83223"/>
    <x v="1"/>
    <n v="4"/>
    <n v="162.71"/>
    <s v="167 Main St"/>
    <x v="4"/>
    <x v="1"/>
    <s v="TRK54339083"/>
    <s v="7"/>
    <x v="1"/>
    <s v="Email"/>
    <n v="650.84"/>
  </r>
  <r>
    <x v="567"/>
    <x v="430"/>
    <s v="C92575"/>
    <x v="3"/>
    <n v="5"/>
    <n v="492.94"/>
    <s v="153 Main St"/>
    <x v="4"/>
    <x v="0"/>
    <s v="TRK53579227"/>
    <s v="10"/>
    <x v="1"/>
    <s v="Email"/>
    <n v="2464.6999999999998"/>
  </r>
  <r>
    <x v="568"/>
    <x v="401"/>
    <s v="C29072"/>
    <x v="5"/>
    <n v="2"/>
    <n v="343.99"/>
    <s v="312 Main St"/>
    <x v="1"/>
    <x v="3"/>
    <s v="TRK72334047"/>
    <s v="4"/>
    <x v="2"/>
    <s v="Google"/>
    <n v="687.98"/>
  </r>
  <r>
    <x v="569"/>
    <x v="29"/>
    <s v="C25783"/>
    <x v="6"/>
    <n v="5"/>
    <n v="250.68"/>
    <s v="672 Main St"/>
    <x v="4"/>
    <x v="0"/>
    <s v="TRK13289741"/>
    <s v="8"/>
    <x v="0"/>
    <s v="Instagram"/>
    <n v="1253.4000000000001"/>
  </r>
  <r>
    <x v="570"/>
    <x v="431"/>
    <s v="C63727"/>
    <x v="6"/>
    <n v="2"/>
    <n v="362.14"/>
    <s v="122 Main St"/>
    <x v="0"/>
    <x v="4"/>
    <s v="TRK13611021"/>
    <s v="2"/>
    <x v="0"/>
    <s v="Instagram"/>
    <n v="724.28"/>
  </r>
  <r>
    <x v="571"/>
    <x v="432"/>
    <s v="C42365"/>
    <x v="2"/>
    <n v="1"/>
    <n v="214.08"/>
    <s v="867 Main St"/>
    <x v="3"/>
    <x v="2"/>
    <s v="TRK39563288"/>
    <s v="2"/>
    <x v="3"/>
    <s v="Google"/>
    <n v="214.08"/>
  </r>
  <r>
    <x v="572"/>
    <x v="433"/>
    <s v="C27438"/>
    <x v="4"/>
    <n v="1"/>
    <n v="70.319999999999993"/>
    <s v="341 Main St"/>
    <x v="4"/>
    <x v="2"/>
    <s v="TRK69125497"/>
    <s v="4"/>
    <x v="3"/>
    <s v="Facebook"/>
    <n v="70.319999999999993"/>
  </r>
  <r>
    <x v="573"/>
    <x v="261"/>
    <s v="C13205"/>
    <x v="3"/>
    <n v="5"/>
    <n v="421.42"/>
    <s v="522 Main St"/>
    <x v="0"/>
    <x v="1"/>
    <s v="TRK30686578"/>
    <s v="7"/>
    <x v="2"/>
    <s v="Instagram"/>
    <n v="2107.1"/>
  </r>
  <r>
    <x v="574"/>
    <x v="434"/>
    <s v="C29685"/>
    <x v="3"/>
    <n v="5"/>
    <n v="384.69"/>
    <s v="275 Main St"/>
    <x v="2"/>
    <x v="4"/>
    <s v="TRK97733212"/>
    <s v="6"/>
    <x v="1"/>
    <s v="Email"/>
    <n v="1923.45"/>
  </r>
  <r>
    <x v="575"/>
    <x v="323"/>
    <s v="C74005"/>
    <x v="3"/>
    <n v="5"/>
    <n v="448.15"/>
    <s v="528 Main St"/>
    <x v="3"/>
    <x v="2"/>
    <s v="TRK61640534"/>
    <s v="7"/>
    <x v="0"/>
    <s v="Google"/>
    <n v="2240.75"/>
  </r>
  <r>
    <x v="576"/>
    <x v="382"/>
    <s v="C14457"/>
    <x v="5"/>
    <n v="5"/>
    <n v="79.08"/>
    <s v="747 Main St"/>
    <x v="4"/>
    <x v="4"/>
    <s v="TRK42517811"/>
    <s v="8"/>
    <x v="2"/>
    <s v="Facebook"/>
    <n v="395.4"/>
  </r>
  <r>
    <x v="577"/>
    <x v="55"/>
    <s v="C77046"/>
    <x v="2"/>
    <n v="4"/>
    <n v="185.41"/>
    <s v="967 Main St"/>
    <x v="1"/>
    <x v="2"/>
    <s v="TRK44401497"/>
    <s v="9"/>
    <x v="3"/>
    <s v="Google"/>
    <n v="741.64"/>
  </r>
  <r>
    <x v="578"/>
    <x v="84"/>
    <s v="C50415"/>
    <x v="0"/>
    <n v="5"/>
    <n v="566.07000000000005"/>
    <s v="587 Main St"/>
    <x v="2"/>
    <x v="3"/>
    <s v="TRK41345634"/>
    <s v="6"/>
    <x v="0"/>
    <s v="Instagram"/>
    <n v="2830.35"/>
  </r>
  <r>
    <x v="579"/>
    <x v="243"/>
    <s v="C73999"/>
    <x v="2"/>
    <n v="2"/>
    <n v="187.88"/>
    <s v="413 Main St"/>
    <x v="1"/>
    <x v="0"/>
    <s v="TRK67919507"/>
    <s v="4"/>
    <x v="3"/>
    <s v="Facebook"/>
    <n v="375.76"/>
  </r>
  <r>
    <x v="580"/>
    <x v="414"/>
    <s v="C71076"/>
    <x v="0"/>
    <n v="2"/>
    <n v="255.99"/>
    <s v="340 Main St"/>
    <x v="2"/>
    <x v="3"/>
    <s v="TRK65148292"/>
    <s v="4"/>
    <x v="0"/>
    <s v="Instagram"/>
    <n v="511.98"/>
  </r>
  <r>
    <x v="581"/>
    <x v="435"/>
    <s v="C44674"/>
    <x v="5"/>
    <n v="1"/>
    <n v="627.34"/>
    <s v="942 Main St"/>
    <x v="1"/>
    <x v="3"/>
    <s v="TRK87158684"/>
    <s v="1"/>
    <x v="2"/>
    <s v="Referral"/>
    <n v="627.34"/>
  </r>
  <r>
    <x v="582"/>
    <x v="436"/>
    <s v="C15228"/>
    <x v="2"/>
    <n v="3"/>
    <n v="474.14"/>
    <s v="558 Main St"/>
    <x v="3"/>
    <x v="0"/>
    <s v="TRK33860620"/>
    <s v="8"/>
    <x v="3"/>
    <s v="Google"/>
    <n v="1422.42"/>
  </r>
  <r>
    <x v="583"/>
    <x v="437"/>
    <s v="C27072"/>
    <x v="3"/>
    <n v="3"/>
    <n v="154.37"/>
    <s v="996 Main St"/>
    <x v="3"/>
    <x v="3"/>
    <s v="TRK29750379"/>
    <s v="4"/>
    <x v="2"/>
    <s v="Instagram"/>
    <n v="463.11"/>
  </r>
  <r>
    <x v="584"/>
    <x v="438"/>
    <s v="C15257"/>
    <x v="3"/>
    <n v="4"/>
    <n v="145.05000000000001"/>
    <s v="626 Main St"/>
    <x v="1"/>
    <x v="3"/>
    <s v="TRK28779938"/>
    <s v="6"/>
    <x v="0"/>
    <s v="Google"/>
    <n v="580.20000000000005"/>
  </r>
  <r>
    <x v="585"/>
    <x v="38"/>
    <s v="C91486"/>
    <x v="2"/>
    <n v="4"/>
    <n v="67.08"/>
    <s v="907 Main St"/>
    <x v="4"/>
    <x v="2"/>
    <s v="TRK79617136"/>
    <s v="8"/>
    <x v="3"/>
    <s v="Google"/>
    <n v="268.32"/>
  </r>
  <r>
    <x v="586"/>
    <x v="337"/>
    <s v="C17389"/>
    <x v="0"/>
    <n v="1"/>
    <n v="522.08000000000004"/>
    <s v="905 Main St"/>
    <x v="3"/>
    <x v="2"/>
    <s v="TRK98857880"/>
    <s v="5"/>
    <x v="1"/>
    <s v="Referral"/>
    <n v="522.08000000000004"/>
  </r>
  <r>
    <x v="587"/>
    <x v="439"/>
    <s v="C18820"/>
    <x v="0"/>
    <n v="5"/>
    <n v="514.6"/>
    <s v="347 Main St"/>
    <x v="3"/>
    <x v="3"/>
    <s v="TRK91547425"/>
    <s v="10"/>
    <x v="1"/>
    <s v="Instagram"/>
    <n v="2573"/>
  </r>
  <r>
    <x v="588"/>
    <x v="440"/>
    <s v="C61849"/>
    <x v="0"/>
    <n v="4"/>
    <n v="577.82000000000005"/>
    <s v="811 Main St"/>
    <x v="2"/>
    <x v="3"/>
    <s v="TRK47613918"/>
    <s v="9"/>
    <x v="2"/>
    <s v="Google"/>
    <n v="2311.2800000000002"/>
  </r>
  <r>
    <x v="589"/>
    <x v="441"/>
    <s v="C84041"/>
    <x v="5"/>
    <n v="2"/>
    <n v="500.8"/>
    <s v="900 Main St"/>
    <x v="4"/>
    <x v="3"/>
    <s v="TRK84920444"/>
    <s v="3"/>
    <x v="1"/>
    <s v="Referral"/>
    <n v="1001.6"/>
  </r>
  <r>
    <x v="590"/>
    <x v="442"/>
    <s v="C55757"/>
    <x v="4"/>
    <n v="2"/>
    <n v="461.13"/>
    <s v="175 Main St"/>
    <x v="3"/>
    <x v="2"/>
    <s v="TRK27356242"/>
    <s v="4"/>
    <x v="2"/>
    <s v="Email"/>
    <n v="922.26"/>
  </r>
  <r>
    <x v="591"/>
    <x v="249"/>
    <s v="C18187"/>
    <x v="5"/>
    <n v="1"/>
    <n v="605.28"/>
    <s v="470 Main St"/>
    <x v="3"/>
    <x v="0"/>
    <s v="TRK50528185"/>
    <s v="3"/>
    <x v="1"/>
    <s v="Referral"/>
    <n v="605.28"/>
  </r>
  <r>
    <x v="592"/>
    <x v="234"/>
    <s v="C42306"/>
    <x v="1"/>
    <n v="3"/>
    <n v="204.27"/>
    <s v="938 Main St"/>
    <x v="1"/>
    <x v="2"/>
    <s v="TRK15499648"/>
    <s v="4"/>
    <x v="2"/>
    <s v="Google"/>
    <n v="612.80999999999995"/>
  </r>
  <r>
    <x v="593"/>
    <x v="443"/>
    <s v="C51024"/>
    <x v="0"/>
    <n v="1"/>
    <n v="489.8"/>
    <s v="636 Main St"/>
    <x v="3"/>
    <x v="0"/>
    <s v="TRK31375086"/>
    <s v="4"/>
    <x v="1"/>
    <s v="Facebook"/>
    <n v="489.8"/>
  </r>
  <r>
    <x v="594"/>
    <x v="444"/>
    <s v="C40140"/>
    <x v="1"/>
    <n v="5"/>
    <n v="72.64"/>
    <s v="598 Main St"/>
    <x v="2"/>
    <x v="1"/>
    <s v="TRK12671989"/>
    <s v="7"/>
    <x v="2"/>
    <s v="Email"/>
    <n v="363.2"/>
  </r>
  <r>
    <x v="595"/>
    <x v="445"/>
    <s v="C72596"/>
    <x v="4"/>
    <n v="2"/>
    <n v="385.16"/>
    <s v="491 Main St"/>
    <x v="1"/>
    <x v="4"/>
    <s v="TRK83870446"/>
    <s v="7"/>
    <x v="0"/>
    <s v="Email"/>
    <n v="770.32"/>
  </r>
  <r>
    <x v="596"/>
    <x v="439"/>
    <s v="C91805"/>
    <x v="6"/>
    <n v="3"/>
    <n v="606.41"/>
    <s v="653 Main St"/>
    <x v="0"/>
    <x v="2"/>
    <s v="TRK34504030"/>
    <s v="7"/>
    <x v="1"/>
    <s v="Facebook"/>
    <n v="1819.23"/>
  </r>
  <r>
    <x v="597"/>
    <x v="446"/>
    <s v="C40538"/>
    <x v="6"/>
    <n v="2"/>
    <n v="211.82"/>
    <s v="700 Main St"/>
    <x v="3"/>
    <x v="1"/>
    <s v="TRK29821356"/>
    <s v="4"/>
    <x v="3"/>
    <s v="Email"/>
    <n v="423.64"/>
  </r>
  <r>
    <x v="598"/>
    <x v="447"/>
    <s v="C60329"/>
    <x v="6"/>
    <n v="5"/>
    <n v="495.35"/>
    <s v="826 Main St"/>
    <x v="2"/>
    <x v="4"/>
    <s v="TRK59069987"/>
    <s v="5"/>
    <x v="2"/>
    <s v="Facebook"/>
    <n v="2476.75"/>
  </r>
  <r>
    <x v="599"/>
    <x v="30"/>
    <s v="C28740"/>
    <x v="3"/>
    <n v="3"/>
    <n v="556.99"/>
    <s v="123 Main St"/>
    <x v="1"/>
    <x v="1"/>
    <s v="TRK33642221"/>
    <s v="4"/>
    <x v="1"/>
    <s v="Facebook"/>
    <n v="1670.97"/>
  </r>
  <r>
    <x v="600"/>
    <x v="68"/>
    <s v="C87051"/>
    <x v="4"/>
    <n v="1"/>
    <n v="72.31"/>
    <s v="460 Main St"/>
    <x v="3"/>
    <x v="1"/>
    <s v="TRK82056333"/>
    <s v="1"/>
    <x v="1"/>
    <s v="Facebook"/>
    <n v="72.31"/>
  </r>
  <r>
    <x v="601"/>
    <x v="276"/>
    <s v="C12479"/>
    <x v="0"/>
    <n v="5"/>
    <n v="24.82"/>
    <s v="529 Main St"/>
    <x v="2"/>
    <x v="0"/>
    <s v="TRK73935314"/>
    <s v="10"/>
    <x v="2"/>
    <s v="Referral"/>
    <n v="124.1"/>
  </r>
  <r>
    <x v="602"/>
    <x v="448"/>
    <s v="C35852"/>
    <x v="2"/>
    <n v="4"/>
    <n v="26.04"/>
    <s v="982 Main St"/>
    <x v="1"/>
    <x v="4"/>
    <s v="TRK64660134"/>
    <s v="5"/>
    <x v="0"/>
    <s v="Instagram"/>
    <n v="104.16"/>
  </r>
  <r>
    <x v="603"/>
    <x v="449"/>
    <s v="C26223"/>
    <x v="2"/>
    <n v="1"/>
    <n v="657.07"/>
    <s v="800 Main St"/>
    <x v="4"/>
    <x v="4"/>
    <s v="TRK50900547"/>
    <s v="4"/>
    <x v="0"/>
    <s v="Google"/>
    <n v="657.07"/>
  </r>
  <r>
    <x v="604"/>
    <x v="450"/>
    <s v="C99214"/>
    <x v="3"/>
    <n v="3"/>
    <n v="32.619999999999997"/>
    <s v="252 Main St"/>
    <x v="0"/>
    <x v="3"/>
    <s v="TRK81368481"/>
    <s v="6"/>
    <x v="2"/>
    <s v="Facebook"/>
    <n v="97.86"/>
  </r>
  <r>
    <x v="605"/>
    <x v="451"/>
    <s v="C49605"/>
    <x v="0"/>
    <n v="2"/>
    <n v="228.91"/>
    <s v="892 Main St"/>
    <x v="0"/>
    <x v="0"/>
    <s v="TRK95620066"/>
    <s v="4"/>
    <x v="0"/>
    <s v="Referral"/>
    <n v="457.82"/>
  </r>
  <r>
    <x v="606"/>
    <x v="119"/>
    <s v="C85018"/>
    <x v="5"/>
    <n v="3"/>
    <n v="274.75"/>
    <s v="783 Main St"/>
    <x v="4"/>
    <x v="1"/>
    <s v="TRK54128886"/>
    <s v="3"/>
    <x v="0"/>
    <s v="Google"/>
    <n v="824.25"/>
  </r>
  <r>
    <x v="607"/>
    <x v="133"/>
    <s v="C96434"/>
    <x v="4"/>
    <n v="4"/>
    <n v="634.04999999999995"/>
    <s v="282 Main St"/>
    <x v="4"/>
    <x v="0"/>
    <s v="TRK56730647"/>
    <s v="6"/>
    <x v="0"/>
    <s v="Google"/>
    <n v="2536.1999999999998"/>
  </r>
  <r>
    <x v="608"/>
    <x v="25"/>
    <s v="C32956"/>
    <x v="5"/>
    <n v="5"/>
    <n v="543.16"/>
    <s v="788 Main St"/>
    <x v="1"/>
    <x v="1"/>
    <s v="TRK73140103"/>
    <s v="6"/>
    <x v="0"/>
    <s v="Instagram"/>
    <n v="2715.8"/>
  </r>
  <r>
    <x v="609"/>
    <x v="109"/>
    <s v="C41137"/>
    <x v="3"/>
    <n v="3"/>
    <n v="449.13"/>
    <s v="809 Main St"/>
    <x v="4"/>
    <x v="2"/>
    <s v="TRK52732162"/>
    <s v="5"/>
    <x v="3"/>
    <s v="Referral"/>
    <n v="1347.39"/>
  </r>
  <r>
    <x v="610"/>
    <x v="452"/>
    <s v="C60361"/>
    <x v="6"/>
    <n v="5"/>
    <n v="389.62"/>
    <s v="623 Main St"/>
    <x v="4"/>
    <x v="2"/>
    <s v="TRK83566924"/>
    <s v="7"/>
    <x v="1"/>
    <s v="Facebook"/>
    <n v="1948.1"/>
  </r>
  <r>
    <x v="611"/>
    <x v="453"/>
    <s v="C36688"/>
    <x v="6"/>
    <n v="1"/>
    <n v="305.17"/>
    <s v="700 Main St"/>
    <x v="3"/>
    <x v="2"/>
    <s v="TRK35720426"/>
    <s v="3"/>
    <x v="3"/>
    <s v="Referral"/>
    <n v="305.17"/>
  </r>
  <r>
    <x v="612"/>
    <x v="454"/>
    <s v="C51811"/>
    <x v="3"/>
    <n v="3"/>
    <n v="445.12"/>
    <s v="339 Main St"/>
    <x v="3"/>
    <x v="1"/>
    <s v="TRK82377939"/>
    <s v="8"/>
    <x v="2"/>
    <s v="Google"/>
    <n v="1335.36"/>
  </r>
  <r>
    <x v="613"/>
    <x v="36"/>
    <s v="C62405"/>
    <x v="5"/>
    <n v="2"/>
    <n v="230.36"/>
    <s v="154 Main St"/>
    <x v="1"/>
    <x v="2"/>
    <s v="TRK14721763"/>
    <s v="4"/>
    <x v="3"/>
    <s v="Email"/>
    <n v="460.72"/>
  </r>
  <r>
    <x v="614"/>
    <x v="455"/>
    <s v="C77363"/>
    <x v="1"/>
    <n v="1"/>
    <n v="96.81"/>
    <s v="807 Main St"/>
    <x v="3"/>
    <x v="1"/>
    <s v="TRK12439827"/>
    <s v="3"/>
    <x v="2"/>
    <s v="Referral"/>
    <n v="96.81"/>
  </r>
  <r>
    <x v="615"/>
    <x v="456"/>
    <s v="C97218"/>
    <x v="0"/>
    <n v="5"/>
    <n v="460.14"/>
    <s v="252 Main St"/>
    <x v="2"/>
    <x v="2"/>
    <s v="TRK52632065"/>
    <s v="10"/>
    <x v="3"/>
    <s v="Facebook"/>
    <n v="2300.6999999999998"/>
  </r>
  <r>
    <x v="616"/>
    <x v="457"/>
    <s v="C43919"/>
    <x v="2"/>
    <n v="3"/>
    <n v="601.6"/>
    <s v="984 Main St"/>
    <x v="2"/>
    <x v="1"/>
    <s v="TRK73113192"/>
    <s v="7"/>
    <x v="0"/>
    <s v="Facebook"/>
    <n v="1804.8"/>
  </r>
  <r>
    <x v="617"/>
    <x v="458"/>
    <s v="C57093"/>
    <x v="2"/>
    <n v="3"/>
    <n v="184.47"/>
    <s v="834 Main St"/>
    <x v="1"/>
    <x v="1"/>
    <s v="TRK75469057"/>
    <s v="4"/>
    <x v="2"/>
    <s v="Referral"/>
    <n v="553.41"/>
  </r>
  <r>
    <x v="618"/>
    <x v="459"/>
    <s v="C50565"/>
    <x v="2"/>
    <n v="1"/>
    <n v="411.34"/>
    <s v="399 Main St"/>
    <x v="0"/>
    <x v="2"/>
    <s v="TRK97981418"/>
    <s v="5"/>
    <x v="2"/>
    <s v="Instagram"/>
    <n v="411.34"/>
  </r>
  <r>
    <x v="619"/>
    <x v="424"/>
    <s v="C38845"/>
    <x v="5"/>
    <n v="1"/>
    <n v="532.89"/>
    <s v="764 Main St"/>
    <x v="3"/>
    <x v="4"/>
    <s v="TRK47637374"/>
    <s v="2"/>
    <x v="2"/>
    <s v="Referral"/>
    <n v="532.89"/>
  </r>
  <r>
    <x v="620"/>
    <x v="460"/>
    <s v="C84834"/>
    <x v="2"/>
    <n v="3"/>
    <n v="136.34"/>
    <s v="866 Main St"/>
    <x v="0"/>
    <x v="2"/>
    <s v="TRK90136001"/>
    <s v="8"/>
    <x v="0"/>
    <s v="Referral"/>
    <n v="409.02"/>
  </r>
  <r>
    <x v="621"/>
    <x v="356"/>
    <s v="C37455"/>
    <x v="1"/>
    <n v="5"/>
    <n v="476.01"/>
    <s v="146 Main St"/>
    <x v="2"/>
    <x v="3"/>
    <s v="TRK82685594"/>
    <s v="7"/>
    <x v="3"/>
    <s v="Google"/>
    <n v="2380.0500000000002"/>
  </r>
  <r>
    <x v="622"/>
    <x v="461"/>
    <s v="C27078"/>
    <x v="6"/>
    <n v="5"/>
    <n v="236.38"/>
    <s v="128 Main St"/>
    <x v="2"/>
    <x v="2"/>
    <s v="TRK89314307"/>
    <s v="7"/>
    <x v="2"/>
    <s v="Facebook"/>
    <n v="1181.9000000000001"/>
  </r>
  <r>
    <x v="623"/>
    <x v="379"/>
    <s v="C91941"/>
    <x v="4"/>
    <n v="3"/>
    <n v="396"/>
    <s v="269 Main St"/>
    <x v="3"/>
    <x v="1"/>
    <s v="TRK21330732"/>
    <s v="4"/>
    <x v="1"/>
    <s v="Instagram"/>
    <n v="1188"/>
  </r>
  <r>
    <x v="624"/>
    <x v="462"/>
    <s v="C25967"/>
    <x v="2"/>
    <n v="5"/>
    <n v="341.96"/>
    <s v="747 Main St"/>
    <x v="0"/>
    <x v="3"/>
    <s v="TRK88559278"/>
    <s v="6"/>
    <x v="2"/>
    <s v="Email"/>
    <n v="1709.8"/>
  </r>
  <r>
    <x v="625"/>
    <x v="463"/>
    <s v="C22123"/>
    <x v="2"/>
    <n v="1"/>
    <n v="672.89"/>
    <s v="519 Main St"/>
    <x v="2"/>
    <x v="4"/>
    <s v="TRK43250279"/>
    <s v="1"/>
    <x v="3"/>
    <s v="Email"/>
    <n v="672.89"/>
  </r>
  <r>
    <x v="626"/>
    <x v="417"/>
    <s v="C45671"/>
    <x v="2"/>
    <n v="2"/>
    <n v="657.48"/>
    <s v="769 Main St"/>
    <x v="1"/>
    <x v="0"/>
    <s v="TRK18179773"/>
    <s v="5"/>
    <x v="0"/>
    <s v="Referral"/>
    <n v="1314.96"/>
  </r>
  <r>
    <x v="627"/>
    <x v="464"/>
    <s v="C53334"/>
    <x v="3"/>
    <n v="3"/>
    <n v="498.68"/>
    <s v="879 Main St"/>
    <x v="1"/>
    <x v="2"/>
    <s v="TRK31724421"/>
    <s v="4"/>
    <x v="1"/>
    <s v="Email"/>
    <n v="1496.04"/>
  </r>
  <r>
    <x v="628"/>
    <x v="465"/>
    <s v="C18717"/>
    <x v="4"/>
    <n v="5"/>
    <n v="558.63"/>
    <s v="861 Main St"/>
    <x v="4"/>
    <x v="4"/>
    <s v="TRK58568806"/>
    <s v="8"/>
    <x v="1"/>
    <s v="Referral"/>
    <n v="2793.15"/>
  </r>
  <r>
    <x v="629"/>
    <x v="466"/>
    <s v="C50137"/>
    <x v="1"/>
    <n v="3"/>
    <n v="19.73"/>
    <s v="840 Main St"/>
    <x v="1"/>
    <x v="4"/>
    <s v="TRK91836131"/>
    <s v="3"/>
    <x v="2"/>
    <s v="Referral"/>
    <n v="59.19"/>
  </r>
  <r>
    <x v="630"/>
    <x v="467"/>
    <s v="C51481"/>
    <x v="0"/>
    <n v="5"/>
    <n v="248.84"/>
    <s v="140 Main St"/>
    <x v="0"/>
    <x v="1"/>
    <s v="TRK33437701"/>
    <s v="10"/>
    <x v="2"/>
    <s v="Instagram"/>
    <n v="1244.2"/>
  </r>
  <r>
    <x v="631"/>
    <x v="169"/>
    <s v="C99128"/>
    <x v="3"/>
    <n v="3"/>
    <n v="46.11"/>
    <s v="360 Main St"/>
    <x v="3"/>
    <x v="2"/>
    <s v="TRK32426808"/>
    <s v="5"/>
    <x v="3"/>
    <s v="Referral"/>
    <n v="138.33000000000001"/>
  </r>
  <r>
    <x v="632"/>
    <x v="468"/>
    <s v="C67260"/>
    <x v="5"/>
    <n v="5"/>
    <n v="678.16"/>
    <s v="463 Main St"/>
    <x v="3"/>
    <x v="3"/>
    <s v="TRK38229104"/>
    <s v="7"/>
    <x v="3"/>
    <s v="Facebook"/>
    <n v="3390.8"/>
  </r>
  <r>
    <x v="633"/>
    <x v="294"/>
    <s v="C79533"/>
    <x v="5"/>
    <n v="5"/>
    <n v="601.72"/>
    <s v="921 Main St"/>
    <x v="3"/>
    <x v="1"/>
    <s v="TRK54711422"/>
    <s v="5"/>
    <x v="3"/>
    <s v="Instagram"/>
    <n v="3008.6"/>
  </r>
  <r>
    <x v="634"/>
    <x v="313"/>
    <s v="C66906"/>
    <x v="4"/>
    <n v="2"/>
    <n v="259.32"/>
    <s v="117 Main St"/>
    <x v="3"/>
    <x v="3"/>
    <s v="TRK31633755"/>
    <s v="2"/>
    <x v="3"/>
    <s v="Referral"/>
    <n v="518.64"/>
  </r>
  <r>
    <x v="635"/>
    <x v="141"/>
    <s v="C12818"/>
    <x v="3"/>
    <n v="3"/>
    <n v="63.68"/>
    <s v="434 Main St"/>
    <x v="4"/>
    <x v="2"/>
    <s v="TRK40879983"/>
    <s v="6"/>
    <x v="2"/>
    <s v="Facebook"/>
    <n v="191.04"/>
  </r>
  <r>
    <x v="636"/>
    <x v="469"/>
    <s v="C60384"/>
    <x v="5"/>
    <n v="4"/>
    <n v="371.07"/>
    <s v="336 Main St"/>
    <x v="4"/>
    <x v="1"/>
    <s v="TRK92080037"/>
    <s v="7"/>
    <x v="3"/>
    <s v="Facebook"/>
    <n v="1484.28"/>
  </r>
  <r>
    <x v="637"/>
    <x v="470"/>
    <s v="C92294"/>
    <x v="3"/>
    <n v="4"/>
    <n v="306.35000000000002"/>
    <s v="784 Main St"/>
    <x v="3"/>
    <x v="0"/>
    <s v="TRK23585765"/>
    <s v="7"/>
    <x v="3"/>
    <s v="Referral"/>
    <n v="1225.4000000000001"/>
  </r>
  <r>
    <x v="638"/>
    <x v="3"/>
    <s v="C66840"/>
    <x v="2"/>
    <n v="4"/>
    <n v="578.27"/>
    <s v="547 Main St"/>
    <x v="1"/>
    <x v="3"/>
    <s v="TRK76929637"/>
    <s v="9"/>
    <x v="3"/>
    <s v="Email"/>
    <n v="2313.08"/>
  </r>
  <r>
    <x v="639"/>
    <x v="325"/>
    <s v="C22534"/>
    <x v="3"/>
    <n v="1"/>
    <n v="529.19000000000005"/>
    <s v="391 Main St"/>
    <x v="4"/>
    <x v="1"/>
    <s v="TRK17415798"/>
    <s v="5"/>
    <x v="2"/>
    <s v="Referral"/>
    <n v="529.19000000000005"/>
  </r>
  <r>
    <x v="640"/>
    <x v="2"/>
    <s v="C46509"/>
    <x v="3"/>
    <n v="2"/>
    <n v="587.49"/>
    <s v="647 Main St"/>
    <x v="3"/>
    <x v="2"/>
    <s v="TRK24241664"/>
    <s v="6"/>
    <x v="0"/>
    <s v="Referral"/>
    <n v="1174.98"/>
  </r>
  <r>
    <x v="641"/>
    <x v="471"/>
    <s v="C71680"/>
    <x v="4"/>
    <n v="4"/>
    <n v="567.57000000000005"/>
    <s v="814 Main St"/>
    <x v="0"/>
    <x v="4"/>
    <s v="TRK47386650"/>
    <s v="9"/>
    <x v="3"/>
    <s v="Google"/>
    <n v="2270.2800000000002"/>
  </r>
  <r>
    <x v="642"/>
    <x v="472"/>
    <s v="C15063"/>
    <x v="3"/>
    <n v="5"/>
    <n v="85.22"/>
    <s v="527 Main St"/>
    <x v="2"/>
    <x v="1"/>
    <s v="TRK10329390"/>
    <s v="7"/>
    <x v="1"/>
    <s v="Email"/>
    <n v="426.1"/>
  </r>
  <r>
    <x v="643"/>
    <x v="360"/>
    <s v="C77122"/>
    <x v="5"/>
    <n v="1"/>
    <n v="438.37"/>
    <s v="647 Main St"/>
    <x v="4"/>
    <x v="1"/>
    <s v="TRK75814880"/>
    <s v="4"/>
    <x v="0"/>
    <s v="Referral"/>
    <n v="438.37"/>
  </r>
  <r>
    <x v="644"/>
    <x v="375"/>
    <s v="C86524"/>
    <x v="3"/>
    <n v="2"/>
    <n v="366.23"/>
    <s v="961 Main St"/>
    <x v="4"/>
    <x v="0"/>
    <s v="TRK62490506"/>
    <s v="2"/>
    <x v="3"/>
    <s v="Email"/>
    <n v="732.46"/>
  </r>
  <r>
    <x v="645"/>
    <x v="315"/>
    <s v="C82990"/>
    <x v="5"/>
    <n v="2"/>
    <n v="150.05000000000001"/>
    <s v="727 Main St"/>
    <x v="2"/>
    <x v="1"/>
    <s v="TRK68574801"/>
    <s v="4"/>
    <x v="0"/>
    <s v="Facebook"/>
    <n v="300.10000000000002"/>
  </r>
  <r>
    <x v="646"/>
    <x v="122"/>
    <s v="C98761"/>
    <x v="3"/>
    <n v="4"/>
    <n v="498.51"/>
    <s v="804 Main St"/>
    <x v="0"/>
    <x v="0"/>
    <s v="TRK43262630"/>
    <s v="4"/>
    <x v="0"/>
    <s v="Google"/>
    <n v="1994.04"/>
  </r>
  <r>
    <x v="647"/>
    <x v="473"/>
    <s v="C54409"/>
    <x v="6"/>
    <n v="3"/>
    <n v="339.39"/>
    <s v="667 Main St"/>
    <x v="4"/>
    <x v="2"/>
    <s v="TRK67671316"/>
    <s v="7"/>
    <x v="1"/>
    <s v="Google"/>
    <n v="1018.17"/>
  </r>
  <r>
    <x v="648"/>
    <x v="474"/>
    <s v="C89674"/>
    <x v="0"/>
    <n v="2"/>
    <n v="575.83000000000004"/>
    <s v="182 Main St"/>
    <x v="1"/>
    <x v="3"/>
    <s v="TRK45902512"/>
    <s v="3"/>
    <x v="3"/>
    <s v="Referral"/>
    <n v="1151.6600000000001"/>
  </r>
  <r>
    <x v="649"/>
    <x v="475"/>
    <s v="C45899"/>
    <x v="0"/>
    <n v="2"/>
    <n v="642.98"/>
    <s v="153 Main St"/>
    <x v="0"/>
    <x v="2"/>
    <s v="TRK32932093"/>
    <s v="7"/>
    <x v="1"/>
    <s v="Email"/>
    <n v="1285.96"/>
  </r>
  <r>
    <x v="650"/>
    <x v="419"/>
    <s v="C74499"/>
    <x v="6"/>
    <n v="2"/>
    <n v="372.23"/>
    <s v="518 Main St"/>
    <x v="3"/>
    <x v="3"/>
    <s v="TRK93767278"/>
    <s v="7"/>
    <x v="0"/>
    <s v="Email"/>
    <n v="744.46"/>
  </r>
  <r>
    <x v="651"/>
    <x v="476"/>
    <s v="C81192"/>
    <x v="3"/>
    <n v="3"/>
    <n v="646.34"/>
    <s v="429 Main St"/>
    <x v="0"/>
    <x v="4"/>
    <s v="TRK76931118"/>
    <s v="5"/>
    <x v="2"/>
    <s v="Google"/>
    <n v="1939.02"/>
  </r>
  <r>
    <x v="652"/>
    <x v="477"/>
    <s v="C71473"/>
    <x v="3"/>
    <n v="5"/>
    <n v="341.84"/>
    <s v="328 Main St"/>
    <x v="1"/>
    <x v="0"/>
    <s v="TRK94857335"/>
    <s v="8"/>
    <x v="1"/>
    <s v="Instagram"/>
    <n v="1709.2"/>
  </r>
  <r>
    <x v="653"/>
    <x v="402"/>
    <s v="C59338"/>
    <x v="4"/>
    <n v="3"/>
    <n v="690.3"/>
    <s v="747 Main St"/>
    <x v="2"/>
    <x v="0"/>
    <s v="TRK12902764"/>
    <s v="6"/>
    <x v="3"/>
    <s v="Google"/>
    <n v="2070.9"/>
  </r>
  <r>
    <x v="654"/>
    <x v="439"/>
    <s v="C62661"/>
    <x v="2"/>
    <n v="3"/>
    <n v="382.37"/>
    <s v="863 Main St"/>
    <x v="0"/>
    <x v="2"/>
    <s v="TRK25748100"/>
    <s v="8"/>
    <x v="2"/>
    <s v="Instagram"/>
    <n v="1147.1099999999999"/>
  </r>
  <r>
    <x v="655"/>
    <x v="369"/>
    <s v="C22101"/>
    <x v="3"/>
    <n v="2"/>
    <n v="132.6"/>
    <s v="262 Main St"/>
    <x v="0"/>
    <x v="1"/>
    <s v="TRK70711522"/>
    <s v="4"/>
    <x v="3"/>
    <s v="Email"/>
    <n v="265.2"/>
  </r>
  <r>
    <x v="656"/>
    <x v="343"/>
    <s v="C51404"/>
    <x v="0"/>
    <n v="2"/>
    <n v="189.06"/>
    <s v="835 Main St"/>
    <x v="3"/>
    <x v="0"/>
    <s v="TRK85682500"/>
    <s v="7"/>
    <x v="0"/>
    <s v="Facebook"/>
    <n v="378.12"/>
  </r>
  <r>
    <x v="657"/>
    <x v="478"/>
    <s v="C19384"/>
    <x v="2"/>
    <n v="4"/>
    <n v="87.79"/>
    <s v="532 Main St"/>
    <x v="4"/>
    <x v="1"/>
    <s v="TRK33207064"/>
    <s v="6"/>
    <x v="1"/>
    <s v="Instagram"/>
    <n v="351.16"/>
  </r>
  <r>
    <x v="658"/>
    <x v="479"/>
    <s v="C86864"/>
    <x v="4"/>
    <n v="2"/>
    <n v="46.36"/>
    <s v="670 Main St"/>
    <x v="3"/>
    <x v="2"/>
    <s v="TRK15323191"/>
    <s v="4"/>
    <x v="0"/>
    <s v="Google"/>
    <n v="92.72"/>
  </r>
  <r>
    <x v="659"/>
    <x v="480"/>
    <s v="C24301"/>
    <x v="1"/>
    <n v="2"/>
    <n v="642.04"/>
    <s v="964 Main St"/>
    <x v="3"/>
    <x v="3"/>
    <s v="TRK55000075"/>
    <s v="4"/>
    <x v="3"/>
    <s v="Email"/>
    <n v="1284.08"/>
  </r>
  <r>
    <x v="660"/>
    <x v="481"/>
    <s v="C43842"/>
    <x v="3"/>
    <n v="2"/>
    <n v="651.57000000000005"/>
    <s v="933 Main St"/>
    <x v="0"/>
    <x v="0"/>
    <s v="TRK54084424"/>
    <s v="7"/>
    <x v="3"/>
    <s v="Facebook"/>
    <n v="1303.1400000000001"/>
  </r>
  <r>
    <x v="661"/>
    <x v="252"/>
    <s v="C63657"/>
    <x v="2"/>
    <n v="3"/>
    <n v="424.89"/>
    <s v="116 Main St"/>
    <x v="0"/>
    <x v="1"/>
    <s v="TRK86378984"/>
    <s v="6"/>
    <x v="1"/>
    <s v="Google"/>
    <n v="1274.67"/>
  </r>
  <r>
    <x v="662"/>
    <x v="423"/>
    <s v="C98332"/>
    <x v="5"/>
    <n v="3"/>
    <n v="438.89"/>
    <s v="985 Main St"/>
    <x v="4"/>
    <x v="2"/>
    <s v="TRK85744797"/>
    <s v="3"/>
    <x v="2"/>
    <s v="Facebook"/>
    <n v="1316.67"/>
  </r>
  <r>
    <x v="663"/>
    <x v="116"/>
    <s v="C59774"/>
    <x v="0"/>
    <n v="1"/>
    <n v="72.599999999999994"/>
    <s v="941 Main St"/>
    <x v="0"/>
    <x v="1"/>
    <s v="TRK87635135"/>
    <s v="6"/>
    <x v="1"/>
    <s v="Instagram"/>
    <n v="72.599999999999994"/>
  </r>
  <r>
    <x v="664"/>
    <x v="36"/>
    <s v="C14847"/>
    <x v="5"/>
    <n v="4"/>
    <n v="194.75"/>
    <s v="188 Main St"/>
    <x v="4"/>
    <x v="0"/>
    <s v="TRK46492755"/>
    <s v="5"/>
    <x v="2"/>
    <s v="Facebook"/>
    <n v="779"/>
  </r>
  <r>
    <x v="665"/>
    <x v="468"/>
    <s v="C83653"/>
    <x v="2"/>
    <n v="4"/>
    <n v="231.26"/>
    <s v="253 Main St"/>
    <x v="1"/>
    <x v="0"/>
    <s v="TRK32619935"/>
    <s v="6"/>
    <x v="3"/>
    <s v="Google"/>
    <n v="925.04"/>
  </r>
  <r>
    <x v="666"/>
    <x v="169"/>
    <s v="C35711"/>
    <x v="0"/>
    <n v="4"/>
    <n v="327.12"/>
    <s v="788 Main St"/>
    <x v="2"/>
    <x v="1"/>
    <s v="TRK45281495"/>
    <s v="4"/>
    <x v="2"/>
    <s v="Email"/>
    <n v="1308.48"/>
  </r>
  <r>
    <x v="667"/>
    <x v="71"/>
    <s v="C10477"/>
    <x v="5"/>
    <n v="1"/>
    <n v="466.42"/>
    <s v="172 Main St"/>
    <x v="3"/>
    <x v="4"/>
    <s v="TRK41505339"/>
    <s v="5"/>
    <x v="0"/>
    <s v="Email"/>
    <n v="466.42"/>
  </r>
  <r>
    <x v="668"/>
    <x v="482"/>
    <s v="C61257"/>
    <x v="0"/>
    <n v="2"/>
    <n v="253.67"/>
    <s v="981 Main St"/>
    <x v="4"/>
    <x v="2"/>
    <s v="TRK25226070"/>
    <s v="3"/>
    <x v="3"/>
    <s v="Facebook"/>
    <n v="507.34"/>
  </r>
  <r>
    <x v="669"/>
    <x v="483"/>
    <s v="C60547"/>
    <x v="6"/>
    <n v="1"/>
    <n v="257"/>
    <s v="812 Main St"/>
    <x v="0"/>
    <x v="1"/>
    <s v="TRK65694249"/>
    <s v="5"/>
    <x v="2"/>
    <s v="Referral"/>
    <n v="257"/>
  </r>
  <r>
    <x v="670"/>
    <x v="171"/>
    <s v="C14576"/>
    <x v="6"/>
    <n v="4"/>
    <n v="539.20000000000005"/>
    <s v="747 Main St"/>
    <x v="2"/>
    <x v="4"/>
    <s v="TRK21637540"/>
    <s v="8"/>
    <x v="1"/>
    <s v="Google"/>
    <n v="2156.8000000000002"/>
  </r>
  <r>
    <x v="671"/>
    <x v="484"/>
    <s v="C49282"/>
    <x v="3"/>
    <n v="5"/>
    <n v="50.74"/>
    <s v="737 Main St"/>
    <x v="3"/>
    <x v="1"/>
    <s v="TRK88653901"/>
    <s v="7"/>
    <x v="3"/>
    <s v="Google"/>
    <n v="253.7"/>
  </r>
  <r>
    <x v="672"/>
    <x v="221"/>
    <s v="C14017"/>
    <x v="1"/>
    <n v="2"/>
    <n v="624.16"/>
    <s v="984 Main St"/>
    <x v="0"/>
    <x v="0"/>
    <s v="TRK71009446"/>
    <s v="2"/>
    <x v="0"/>
    <s v="Instagram"/>
    <n v="1248.32"/>
  </r>
  <r>
    <x v="673"/>
    <x v="485"/>
    <s v="C46504"/>
    <x v="2"/>
    <n v="2"/>
    <n v="372.92"/>
    <s v="131 Main St"/>
    <x v="2"/>
    <x v="3"/>
    <s v="TRK95024356"/>
    <s v="7"/>
    <x v="0"/>
    <s v="Email"/>
    <n v="745.84"/>
  </r>
  <r>
    <x v="674"/>
    <x v="486"/>
    <s v="C56928"/>
    <x v="5"/>
    <n v="4"/>
    <n v="358.75"/>
    <s v="860 Main St"/>
    <x v="3"/>
    <x v="3"/>
    <s v="TRK57792939"/>
    <s v="9"/>
    <x v="0"/>
    <s v="Facebook"/>
    <n v="1435"/>
  </r>
  <r>
    <x v="675"/>
    <x v="76"/>
    <s v="C97749"/>
    <x v="6"/>
    <n v="3"/>
    <n v="342.02"/>
    <s v="906 Main St"/>
    <x v="0"/>
    <x v="4"/>
    <s v="TRK90233116"/>
    <s v="5"/>
    <x v="2"/>
    <s v="Email"/>
    <n v="1026.06"/>
  </r>
  <r>
    <x v="676"/>
    <x v="127"/>
    <s v="C90431"/>
    <x v="5"/>
    <n v="2"/>
    <n v="422.34"/>
    <s v="985 Main St"/>
    <x v="2"/>
    <x v="1"/>
    <s v="TRK44151723"/>
    <s v="4"/>
    <x v="1"/>
    <s v="Instagram"/>
    <n v="844.68"/>
  </r>
  <r>
    <x v="677"/>
    <x v="487"/>
    <s v="C56722"/>
    <x v="2"/>
    <n v="5"/>
    <n v="22.07"/>
    <s v="179 Main St"/>
    <x v="1"/>
    <x v="1"/>
    <s v="TRK78778569"/>
    <s v="7"/>
    <x v="1"/>
    <s v="Instagram"/>
    <n v="110.35"/>
  </r>
  <r>
    <x v="678"/>
    <x v="167"/>
    <s v="C40863"/>
    <x v="3"/>
    <n v="3"/>
    <n v="163.13"/>
    <s v="457 Main St"/>
    <x v="3"/>
    <x v="0"/>
    <s v="TRK20553345"/>
    <s v="5"/>
    <x v="3"/>
    <s v="Facebook"/>
    <n v="489.39"/>
  </r>
  <r>
    <x v="679"/>
    <x v="488"/>
    <s v="C40798"/>
    <x v="2"/>
    <n v="3"/>
    <n v="360.66"/>
    <s v="304 Main St"/>
    <x v="1"/>
    <x v="2"/>
    <s v="TRK66106697"/>
    <s v="5"/>
    <x v="1"/>
    <s v="Instagram"/>
    <n v="1081.98"/>
  </r>
  <r>
    <x v="680"/>
    <x v="183"/>
    <s v="C16702"/>
    <x v="0"/>
    <n v="3"/>
    <n v="463.39"/>
    <s v="694 Main St"/>
    <x v="2"/>
    <x v="2"/>
    <s v="TRK16953491"/>
    <s v="3"/>
    <x v="2"/>
    <s v="Facebook"/>
    <n v="1390.17"/>
  </r>
  <r>
    <x v="681"/>
    <x v="489"/>
    <s v="C38262"/>
    <x v="2"/>
    <n v="1"/>
    <n v="155.27000000000001"/>
    <s v="548 Main St"/>
    <x v="0"/>
    <x v="0"/>
    <s v="TRK47300502"/>
    <s v="6"/>
    <x v="2"/>
    <s v="Email"/>
    <n v="155.27000000000001"/>
  </r>
  <r>
    <x v="682"/>
    <x v="363"/>
    <s v="C50274"/>
    <x v="0"/>
    <n v="3"/>
    <n v="509.42"/>
    <s v="449 Main St"/>
    <x v="2"/>
    <x v="1"/>
    <s v="TRK91729086"/>
    <s v="5"/>
    <x v="1"/>
    <s v="Google"/>
    <n v="1528.26"/>
  </r>
  <r>
    <x v="683"/>
    <x v="490"/>
    <s v="C91591"/>
    <x v="6"/>
    <n v="4"/>
    <n v="652.48"/>
    <s v="887 Main St"/>
    <x v="4"/>
    <x v="4"/>
    <s v="TRK23554043"/>
    <s v="5"/>
    <x v="1"/>
    <s v="Instagram"/>
    <n v="2609.92"/>
  </r>
  <r>
    <x v="684"/>
    <x v="491"/>
    <s v="C96583"/>
    <x v="4"/>
    <n v="4"/>
    <n v="34.840000000000003"/>
    <s v="288 Main St"/>
    <x v="2"/>
    <x v="0"/>
    <s v="TRK64353241"/>
    <s v="8"/>
    <x v="2"/>
    <s v="Email"/>
    <n v="139.36000000000001"/>
  </r>
  <r>
    <x v="685"/>
    <x v="492"/>
    <s v="C64579"/>
    <x v="6"/>
    <n v="1"/>
    <n v="234.37"/>
    <s v="638 Main St"/>
    <x v="0"/>
    <x v="0"/>
    <s v="TRK10276565"/>
    <s v="5"/>
    <x v="1"/>
    <s v="Email"/>
    <n v="234.37"/>
  </r>
  <r>
    <x v="686"/>
    <x v="112"/>
    <s v="C41903"/>
    <x v="6"/>
    <n v="3"/>
    <n v="53.6"/>
    <s v="525 Main St"/>
    <x v="4"/>
    <x v="4"/>
    <s v="TRK59112382"/>
    <s v="4"/>
    <x v="3"/>
    <s v="Facebook"/>
    <n v="160.80000000000001"/>
  </r>
  <r>
    <x v="687"/>
    <x v="493"/>
    <s v="C19742"/>
    <x v="2"/>
    <n v="1"/>
    <n v="332.09"/>
    <s v="408 Main St"/>
    <x v="3"/>
    <x v="2"/>
    <s v="TRK68845230"/>
    <s v="5"/>
    <x v="1"/>
    <s v="Instagram"/>
    <n v="332.09"/>
  </r>
  <r>
    <x v="688"/>
    <x v="26"/>
    <s v="C20077"/>
    <x v="0"/>
    <n v="4"/>
    <n v="593.22"/>
    <s v="154 Main St"/>
    <x v="2"/>
    <x v="1"/>
    <s v="TRK36415742"/>
    <s v="8"/>
    <x v="3"/>
    <s v="Facebook"/>
    <n v="2372.88"/>
  </r>
  <r>
    <x v="689"/>
    <x v="193"/>
    <s v="C13186"/>
    <x v="2"/>
    <n v="2"/>
    <n v="444.84"/>
    <s v="787 Main St"/>
    <x v="1"/>
    <x v="0"/>
    <s v="TRK56967415"/>
    <s v="7"/>
    <x v="2"/>
    <s v="Facebook"/>
    <n v="889.68"/>
  </r>
  <r>
    <x v="690"/>
    <x v="494"/>
    <s v="C29318"/>
    <x v="0"/>
    <n v="1"/>
    <n v="24.48"/>
    <s v="128 Main St"/>
    <x v="3"/>
    <x v="2"/>
    <s v="TRK88666721"/>
    <s v="1"/>
    <x v="2"/>
    <s v="Instagram"/>
    <n v="24.48"/>
  </r>
  <r>
    <x v="691"/>
    <x v="167"/>
    <s v="C36137"/>
    <x v="5"/>
    <n v="3"/>
    <n v="239.08"/>
    <s v="396 Main St"/>
    <x v="4"/>
    <x v="0"/>
    <s v="TRK57376416"/>
    <s v="8"/>
    <x v="2"/>
    <s v="Google"/>
    <n v="717.24"/>
  </r>
  <r>
    <x v="692"/>
    <x v="19"/>
    <s v="C25534"/>
    <x v="6"/>
    <n v="5"/>
    <n v="196.84"/>
    <s v="319 Main St"/>
    <x v="2"/>
    <x v="3"/>
    <s v="TRK68347402"/>
    <s v="5"/>
    <x v="3"/>
    <s v="Instagram"/>
    <n v="984.2"/>
  </r>
  <r>
    <x v="693"/>
    <x v="495"/>
    <s v="C62070"/>
    <x v="0"/>
    <n v="1"/>
    <n v="176.58"/>
    <s v="674 Main St"/>
    <x v="0"/>
    <x v="2"/>
    <s v="TRK10267127"/>
    <s v="4"/>
    <x v="2"/>
    <s v="Referral"/>
    <n v="176.58"/>
  </r>
  <r>
    <x v="694"/>
    <x v="276"/>
    <s v="C92049"/>
    <x v="4"/>
    <n v="4"/>
    <n v="666.52"/>
    <s v="619 Main St"/>
    <x v="4"/>
    <x v="0"/>
    <s v="TRK32287092"/>
    <s v="8"/>
    <x v="1"/>
    <s v="Email"/>
    <n v="2666.08"/>
  </r>
  <r>
    <x v="695"/>
    <x v="432"/>
    <s v="C52604"/>
    <x v="4"/>
    <n v="5"/>
    <n v="101.3"/>
    <s v="553 Main St"/>
    <x v="1"/>
    <x v="0"/>
    <s v="TRK48839788"/>
    <s v="7"/>
    <x v="1"/>
    <s v="Email"/>
    <n v="506.5"/>
  </r>
  <r>
    <x v="696"/>
    <x v="226"/>
    <s v="C22429"/>
    <x v="3"/>
    <n v="4"/>
    <n v="151.19999999999999"/>
    <s v="965 Main St"/>
    <x v="3"/>
    <x v="4"/>
    <s v="TRK38572927"/>
    <s v="9"/>
    <x v="3"/>
    <s v="Facebook"/>
    <n v="604.79999999999995"/>
  </r>
  <r>
    <x v="697"/>
    <x v="496"/>
    <s v="C27430"/>
    <x v="4"/>
    <n v="5"/>
    <n v="94.85"/>
    <s v="788 Main St"/>
    <x v="4"/>
    <x v="0"/>
    <s v="TRK45025840"/>
    <s v="6"/>
    <x v="3"/>
    <s v="Email"/>
    <n v="474.25"/>
  </r>
  <r>
    <x v="698"/>
    <x v="0"/>
    <s v="C44366"/>
    <x v="5"/>
    <n v="2"/>
    <n v="388.22"/>
    <s v="169 Main St"/>
    <x v="4"/>
    <x v="3"/>
    <s v="TRK48658394"/>
    <s v="2"/>
    <x v="3"/>
    <s v="Instagram"/>
    <n v="776.44"/>
  </r>
  <r>
    <x v="699"/>
    <x v="497"/>
    <s v="C36813"/>
    <x v="5"/>
    <n v="3"/>
    <n v="614.15"/>
    <s v="897 Main St"/>
    <x v="3"/>
    <x v="1"/>
    <s v="TRK84088900"/>
    <s v="3"/>
    <x v="2"/>
    <s v="Facebook"/>
    <n v="1842.45"/>
  </r>
  <r>
    <x v="700"/>
    <x v="498"/>
    <s v="C40201"/>
    <x v="5"/>
    <n v="2"/>
    <n v="92.91"/>
    <s v="555 Main St"/>
    <x v="4"/>
    <x v="2"/>
    <s v="TRK30198779"/>
    <s v="3"/>
    <x v="3"/>
    <s v="Instagram"/>
    <n v="185.82"/>
  </r>
  <r>
    <x v="701"/>
    <x v="499"/>
    <s v="C75456"/>
    <x v="0"/>
    <n v="3"/>
    <n v="92.22"/>
    <s v="115 Main St"/>
    <x v="2"/>
    <x v="3"/>
    <s v="TRK90519490"/>
    <s v="5"/>
    <x v="1"/>
    <s v="Email"/>
    <n v="276.66000000000003"/>
  </r>
  <r>
    <x v="702"/>
    <x v="410"/>
    <s v="C33315"/>
    <x v="4"/>
    <n v="3"/>
    <n v="562.54999999999995"/>
    <s v="154 Main St"/>
    <x v="0"/>
    <x v="2"/>
    <s v="TRK43589369"/>
    <s v="6"/>
    <x v="2"/>
    <s v="Email"/>
    <n v="1687.65"/>
  </r>
  <r>
    <x v="703"/>
    <x v="500"/>
    <s v="C89336"/>
    <x v="6"/>
    <n v="1"/>
    <n v="92.79"/>
    <s v="799 Main St"/>
    <x v="4"/>
    <x v="4"/>
    <s v="TRK47665103"/>
    <s v="3"/>
    <x v="3"/>
    <s v="Email"/>
    <n v="92.79"/>
  </r>
  <r>
    <x v="704"/>
    <x v="301"/>
    <s v="C96034"/>
    <x v="6"/>
    <n v="4"/>
    <n v="30.27"/>
    <s v="819 Main St"/>
    <x v="1"/>
    <x v="3"/>
    <s v="TRK87261034"/>
    <s v="9"/>
    <x v="1"/>
    <s v="Google"/>
    <n v="121.08"/>
  </r>
  <r>
    <x v="705"/>
    <x v="501"/>
    <s v="C50114"/>
    <x v="0"/>
    <n v="2"/>
    <n v="49.08"/>
    <s v="420 Main St"/>
    <x v="0"/>
    <x v="2"/>
    <s v="TRK20214786"/>
    <s v="7"/>
    <x v="1"/>
    <s v="Instagram"/>
    <n v="98.16"/>
  </r>
  <r>
    <x v="706"/>
    <x v="380"/>
    <s v="C85330"/>
    <x v="6"/>
    <n v="5"/>
    <n v="228.09"/>
    <s v="969 Main St"/>
    <x v="3"/>
    <x v="2"/>
    <s v="TRK97693301"/>
    <s v="9"/>
    <x v="1"/>
    <s v="Facebook"/>
    <n v="1140.45"/>
  </r>
  <r>
    <x v="707"/>
    <x v="377"/>
    <s v="C31761"/>
    <x v="3"/>
    <n v="4"/>
    <n v="650.04"/>
    <s v="989 Main St"/>
    <x v="3"/>
    <x v="1"/>
    <s v="TRK17628852"/>
    <s v="6"/>
    <x v="0"/>
    <s v="Facebook"/>
    <n v="2600.16"/>
  </r>
  <r>
    <x v="708"/>
    <x v="155"/>
    <s v="C25268"/>
    <x v="4"/>
    <n v="1"/>
    <n v="665.11"/>
    <s v="788 Main St"/>
    <x v="4"/>
    <x v="4"/>
    <s v="TRK20481215"/>
    <s v="3"/>
    <x v="1"/>
    <s v="Instagram"/>
    <n v="665.11"/>
  </r>
  <r>
    <x v="709"/>
    <x v="34"/>
    <s v="C17132"/>
    <x v="6"/>
    <n v="1"/>
    <n v="386.03"/>
    <s v="855 Main St"/>
    <x v="1"/>
    <x v="4"/>
    <s v="TRK37504692"/>
    <s v="4"/>
    <x v="1"/>
    <s v="Google"/>
    <n v="386.03"/>
  </r>
  <r>
    <x v="710"/>
    <x v="319"/>
    <s v="C48790"/>
    <x v="5"/>
    <n v="5"/>
    <n v="21.54"/>
    <s v="113 Main St"/>
    <x v="3"/>
    <x v="2"/>
    <s v="TRK19086608"/>
    <s v="10"/>
    <x v="2"/>
    <s v="Google"/>
    <n v="107.7"/>
  </r>
  <r>
    <x v="711"/>
    <x v="502"/>
    <s v="C61070"/>
    <x v="2"/>
    <n v="2"/>
    <n v="475.78"/>
    <s v="632 Main St"/>
    <x v="1"/>
    <x v="0"/>
    <s v="TRK90764894"/>
    <s v="2"/>
    <x v="3"/>
    <s v="Google"/>
    <n v="951.56"/>
  </r>
  <r>
    <x v="712"/>
    <x v="486"/>
    <s v="C56969"/>
    <x v="2"/>
    <n v="2"/>
    <n v="68.400000000000006"/>
    <s v="993 Main St"/>
    <x v="3"/>
    <x v="4"/>
    <s v="TRK10513339"/>
    <s v="7"/>
    <x v="1"/>
    <s v="Email"/>
    <n v="136.80000000000001"/>
  </r>
  <r>
    <x v="713"/>
    <x v="370"/>
    <s v="C65056"/>
    <x v="2"/>
    <n v="4"/>
    <n v="532.49"/>
    <s v="638 Main St"/>
    <x v="1"/>
    <x v="1"/>
    <s v="TRK31705278"/>
    <s v="6"/>
    <x v="0"/>
    <s v="Facebook"/>
    <n v="2129.96"/>
  </r>
  <r>
    <x v="714"/>
    <x v="453"/>
    <s v="C84888"/>
    <x v="5"/>
    <n v="1"/>
    <n v="51.73"/>
    <s v="278 Main St"/>
    <x v="0"/>
    <x v="4"/>
    <s v="TRK23612847"/>
    <s v="1"/>
    <x v="1"/>
    <s v="Facebook"/>
    <n v="51.73"/>
  </r>
  <r>
    <x v="715"/>
    <x v="503"/>
    <s v="C68266"/>
    <x v="4"/>
    <n v="3"/>
    <n v="653.63"/>
    <s v="281 Main St"/>
    <x v="1"/>
    <x v="3"/>
    <s v="TRK96161062"/>
    <s v="7"/>
    <x v="1"/>
    <s v="Email"/>
    <n v="1960.89"/>
  </r>
  <r>
    <x v="716"/>
    <x v="136"/>
    <s v="C84115"/>
    <x v="3"/>
    <n v="3"/>
    <n v="454.29"/>
    <s v="891 Main St"/>
    <x v="2"/>
    <x v="4"/>
    <s v="TRK25466842"/>
    <s v="4"/>
    <x v="3"/>
    <s v="Google"/>
    <n v="1362.87"/>
  </r>
  <r>
    <x v="717"/>
    <x v="504"/>
    <s v="C50087"/>
    <x v="3"/>
    <n v="3"/>
    <n v="122.11"/>
    <s v="707 Main St"/>
    <x v="1"/>
    <x v="3"/>
    <s v="TRK31143760"/>
    <s v="4"/>
    <x v="3"/>
    <s v="Email"/>
    <n v="366.33"/>
  </r>
  <r>
    <x v="718"/>
    <x v="505"/>
    <s v="C16790"/>
    <x v="5"/>
    <n v="4"/>
    <n v="64.739999999999995"/>
    <s v="718 Main St"/>
    <x v="3"/>
    <x v="1"/>
    <s v="TRK91791367"/>
    <s v="8"/>
    <x v="0"/>
    <s v="Google"/>
    <n v="258.95999999999998"/>
  </r>
  <r>
    <x v="719"/>
    <x v="506"/>
    <s v="C46920"/>
    <x v="5"/>
    <n v="2"/>
    <n v="681.06"/>
    <s v="703 Main St"/>
    <x v="0"/>
    <x v="0"/>
    <s v="TRK86403837"/>
    <s v="3"/>
    <x v="1"/>
    <s v="Facebook"/>
    <n v="1362.12"/>
  </r>
  <r>
    <x v="720"/>
    <x v="507"/>
    <s v="C12740"/>
    <x v="6"/>
    <n v="5"/>
    <n v="128.94999999999999"/>
    <s v="305 Main St"/>
    <x v="4"/>
    <x v="4"/>
    <s v="TRK98506513"/>
    <s v="10"/>
    <x v="1"/>
    <s v="Instagram"/>
    <n v="644.75"/>
  </r>
  <r>
    <x v="721"/>
    <x v="508"/>
    <s v="C46557"/>
    <x v="6"/>
    <n v="2"/>
    <n v="118.59"/>
    <s v="890 Main St"/>
    <x v="2"/>
    <x v="3"/>
    <s v="TRK56110689"/>
    <s v="2"/>
    <x v="2"/>
    <s v="Email"/>
    <n v="237.18"/>
  </r>
  <r>
    <x v="722"/>
    <x v="64"/>
    <s v="C58156"/>
    <x v="4"/>
    <n v="1"/>
    <n v="95.1"/>
    <s v="516 Main St"/>
    <x v="3"/>
    <x v="4"/>
    <s v="TRK49719458"/>
    <s v="1"/>
    <x v="3"/>
    <s v="Instagram"/>
    <n v="95.1"/>
  </r>
  <r>
    <x v="723"/>
    <x v="509"/>
    <s v="C14455"/>
    <x v="6"/>
    <n v="3"/>
    <n v="54.95"/>
    <s v="385 Main St"/>
    <x v="4"/>
    <x v="2"/>
    <s v="TRK50933724"/>
    <s v="8"/>
    <x v="0"/>
    <s v="Referral"/>
    <n v="164.85"/>
  </r>
  <r>
    <x v="724"/>
    <x v="266"/>
    <s v="C63150"/>
    <x v="4"/>
    <n v="3"/>
    <n v="136.97"/>
    <s v="326 Main St"/>
    <x v="2"/>
    <x v="2"/>
    <s v="TRK19348078"/>
    <s v="4"/>
    <x v="1"/>
    <s v="Referral"/>
    <n v="410.91"/>
  </r>
  <r>
    <x v="725"/>
    <x v="255"/>
    <s v="C95269"/>
    <x v="3"/>
    <n v="2"/>
    <n v="194.85"/>
    <s v="372 Main St"/>
    <x v="3"/>
    <x v="2"/>
    <s v="TRK45670926"/>
    <s v="5"/>
    <x v="2"/>
    <s v="Referral"/>
    <n v="389.7"/>
  </r>
  <r>
    <x v="726"/>
    <x v="510"/>
    <s v="C18105"/>
    <x v="5"/>
    <n v="4"/>
    <n v="583.02"/>
    <s v="338 Main St"/>
    <x v="1"/>
    <x v="3"/>
    <s v="TRK94006117"/>
    <s v="4"/>
    <x v="1"/>
    <s v="Facebook"/>
    <n v="2332.08"/>
  </r>
  <r>
    <x v="727"/>
    <x v="470"/>
    <s v="C29063"/>
    <x v="3"/>
    <n v="5"/>
    <n v="95.75"/>
    <s v="379 Main St"/>
    <x v="1"/>
    <x v="0"/>
    <s v="TRK92745947"/>
    <s v="8"/>
    <x v="0"/>
    <s v="Instagram"/>
    <n v="478.75"/>
  </r>
  <r>
    <x v="728"/>
    <x v="511"/>
    <s v="C10154"/>
    <x v="6"/>
    <n v="4"/>
    <n v="325.76"/>
    <s v="827 Main St"/>
    <x v="3"/>
    <x v="0"/>
    <s v="TRK79793300"/>
    <s v="8"/>
    <x v="3"/>
    <s v="Email"/>
    <n v="1303.04"/>
  </r>
  <r>
    <x v="729"/>
    <x v="102"/>
    <s v="C36997"/>
    <x v="1"/>
    <n v="4"/>
    <n v="186.41"/>
    <s v="819 Main St"/>
    <x v="3"/>
    <x v="4"/>
    <s v="TRK92794872"/>
    <s v="6"/>
    <x v="0"/>
    <s v="Google"/>
    <n v="745.64"/>
  </r>
  <r>
    <x v="730"/>
    <x v="512"/>
    <s v="C77357"/>
    <x v="1"/>
    <n v="1"/>
    <n v="474.6"/>
    <s v="407 Main St"/>
    <x v="0"/>
    <x v="3"/>
    <s v="TRK91943923"/>
    <s v="4"/>
    <x v="0"/>
    <s v="Email"/>
    <n v="474.6"/>
  </r>
  <r>
    <x v="731"/>
    <x v="267"/>
    <s v="C71310"/>
    <x v="4"/>
    <n v="5"/>
    <n v="584.46"/>
    <s v="308 Main St"/>
    <x v="2"/>
    <x v="2"/>
    <s v="TRK48292586"/>
    <s v="8"/>
    <x v="2"/>
    <s v="Email"/>
    <n v="2922.3"/>
  </r>
  <r>
    <x v="732"/>
    <x v="456"/>
    <s v="C80987"/>
    <x v="5"/>
    <n v="1"/>
    <n v="132.05000000000001"/>
    <s v="787 Main St"/>
    <x v="1"/>
    <x v="3"/>
    <s v="TRK42187776"/>
    <s v="2"/>
    <x v="2"/>
    <s v="Google"/>
    <n v="132.05000000000001"/>
  </r>
  <r>
    <x v="733"/>
    <x v="513"/>
    <s v="C90757"/>
    <x v="2"/>
    <n v="4"/>
    <n v="494.84"/>
    <s v="694 Main St"/>
    <x v="4"/>
    <x v="2"/>
    <s v="TRK87991608"/>
    <s v="8"/>
    <x v="0"/>
    <s v="Email"/>
    <n v="1979.36"/>
  </r>
  <r>
    <x v="734"/>
    <x v="514"/>
    <s v="C51898"/>
    <x v="4"/>
    <n v="4"/>
    <n v="224.61"/>
    <s v="630 Main St"/>
    <x v="2"/>
    <x v="2"/>
    <s v="TRK19767885"/>
    <s v="6"/>
    <x v="3"/>
    <s v="Facebook"/>
    <n v="898.44"/>
  </r>
  <r>
    <x v="735"/>
    <x v="515"/>
    <s v="C94508"/>
    <x v="0"/>
    <n v="4"/>
    <n v="44.07"/>
    <s v="359 Main St"/>
    <x v="0"/>
    <x v="4"/>
    <s v="TRK13443264"/>
    <s v="6"/>
    <x v="2"/>
    <s v="Email"/>
    <n v="176.28"/>
  </r>
  <r>
    <x v="736"/>
    <x v="516"/>
    <s v="C59441"/>
    <x v="0"/>
    <n v="5"/>
    <n v="418.53"/>
    <s v="696 Main St"/>
    <x v="2"/>
    <x v="4"/>
    <s v="TRK66186874"/>
    <s v="6"/>
    <x v="1"/>
    <s v="Google"/>
    <n v="2092.65"/>
  </r>
  <r>
    <x v="737"/>
    <x v="517"/>
    <s v="C91029"/>
    <x v="1"/>
    <n v="4"/>
    <n v="532.87"/>
    <s v="972 Main St"/>
    <x v="4"/>
    <x v="4"/>
    <s v="TRK25501930"/>
    <s v="9"/>
    <x v="1"/>
    <s v="Instagram"/>
    <n v="2131.48"/>
  </r>
  <r>
    <x v="738"/>
    <x v="518"/>
    <s v="C96261"/>
    <x v="1"/>
    <n v="2"/>
    <n v="485.37"/>
    <s v="264 Main St"/>
    <x v="2"/>
    <x v="0"/>
    <s v="TRK44998396"/>
    <s v="5"/>
    <x v="0"/>
    <s v="Email"/>
    <n v="970.74"/>
  </r>
  <r>
    <x v="739"/>
    <x v="136"/>
    <s v="C35123"/>
    <x v="1"/>
    <n v="4"/>
    <n v="386.73"/>
    <s v="513 Main St"/>
    <x v="4"/>
    <x v="3"/>
    <s v="TRK58979275"/>
    <s v="4"/>
    <x v="0"/>
    <s v="Facebook"/>
    <n v="1546.92"/>
  </r>
  <r>
    <x v="740"/>
    <x v="351"/>
    <s v="C10892"/>
    <x v="6"/>
    <n v="2"/>
    <n v="377.47"/>
    <s v="433 Main St"/>
    <x v="4"/>
    <x v="4"/>
    <s v="TRK76154554"/>
    <s v="7"/>
    <x v="2"/>
    <s v="Google"/>
    <n v="754.94"/>
  </r>
  <r>
    <x v="741"/>
    <x v="185"/>
    <s v="C99683"/>
    <x v="0"/>
    <n v="5"/>
    <n v="332.64"/>
    <s v="945 Main St"/>
    <x v="3"/>
    <x v="3"/>
    <s v="TRK87305883"/>
    <s v="10"/>
    <x v="2"/>
    <s v="Referral"/>
    <n v="1663.2"/>
  </r>
  <r>
    <x v="742"/>
    <x v="519"/>
    <s v="C41974"/>
    <x v="5"/>
    <n v="3"/>
    <n v="699.93"/>
    <s v="726 Main St"/>
    <x v="4"/>
    <x v="2"/>
    <s v="TRK48051468"/>
    <s v="7"/>
    <x v="0"/>
    <s v="Google"/>
    <n v="2099.79"/>
  </r>
  <r>
    <x v="743"/>
    <x v="430"/>
    <s v="C23978"/>
    <x v="0"/>
    <n v="1"/>
    <n v="576.35"/>
    <s v="549 Main St"/>
    <x v="3"/>
    <x v="2"/>
    <s v="TRK87090813"/>
    <s v="1"/>
    <x v="3"/>
    <s v="Instagram"/>
    <n v="576.35"/>
  </r>
  <r>
    <x v="744"/>
    <x v="520"/>
    <s v="C10642"/>
    <x v="2"/>
    <n v="2"/>
    <n v="461.37"/>
    <s v="200 Main St"/>
    <x v="4"/>
    <x v="3"/>
    <s v="TRK98725693"/>
    <s v="5"/>
    <x v="0"/>
    <s v="Google"/>
    <n v="922.74"/>
  </r>
  <r>
    <x v="745"/>
    <x v="521"/>
    <s v="C73813"/>
    <x v="4"/>
    <n v="4"/>
    <n v="111.3"/>
    <s v="364 Main St"/>
    <x v="0"/>
    <x v="4"/>
    <s v="TRK89906749"/>
    <s v="7"/>
    <x v="1"/>
    <s v="Email"/>
    <n v="445.2"/>
  </r>
  <r>
    <x v="746"/>
    <x v="522"/>
    <s v="C32183"/>
    <x v="6"/>
    <n v="3"/>
    <n v="661.89"/>
    <s v="551 Main St"/>
    <x v="1"/>
    <x v="1"/>
    <s v="TRK76287027"/>
    <s v="6"/>
    <x v="3"/>
    <s v="Referral"/>
    <n v="1985.67"/>
  </r>
  <r>
    <x v="747"/>
    <x v="495"/>
    <s v="C54277"/>
    <x v="2"/>
    <n v="2"/>
    <n v="259.58"/>
    <s v="940 Main St"/>
    <x v="0"/>
    <x v="3"/>
    <s v="TRK26500181"/>
    <s v="7"/>
    <x v="1"/>
    <s v="Instagram"/>
    <n v="519.16"/>
  </r>
  <r>
    <x v="748"/>
    <x v="523"/>
    <s v="C56553"/>
    <x v="2"/>
    <n v="3"/>
    <n v="70.81"/>
    <s v="249 Main St"/>
    <x v="2"/>
    <x v="0"/>
    <s v="TRK37667360"/>
    <s v="8"/>
    <x v="1"/>
    <s v="Referral"/>
    <n v="212.43"/>
  </r>
  <r>
    <x v="749"/>
    <x v="524"/>
    <s v="C17551"/>
    <x v="5"/>
    <n v="1"/>
    <n v="518.39"/>
    <s v="997 Main St"/>
    <x v="0"/>
    <x v="4"/>
    <s v="TRK88797170"/>
    <s v="4"/>
    <x v="1"/>
    <s v="Instagram"/>
    <n v="518.39"/>
  </r>
  <r>
    <x v="750"/>
    <x v="90"/>
    <s v="C14737"/>
    <x v="2"/>
    <n v="4"/>
    <n v="145.41"/>
    <s v="637 Main St"/>
    <x v="2"/>
    <x v="2"/>
    <s v="TRK10295115"/>
    <s v="7"/>
    <x v="1"/>
    <s v="Email"/>
    <n v="581.64"/>
  </r>
  <r>
    <x v="751"/>
    <x v="16"/>
    <s v="C35168"/>
    <x v="2"/>
    <n v="2"/>
    <n v="599.86"/>
    <s v="455 Main St"/>
    <x v="3"/>
    <x v="4"/>
    <s v="TRK76960854"/>
    <s v="7"/>
    <x v="1"/>
    <s v="Facebook"/>
    <n v="1199.72"/>
  </r>
  <r>
    <x v="752"/>
    <x v="525"/>
    <s v="C82217"/>
    <x v="1"/>
    <n v="4"/>
    <n v="429.37"/>
    <s v="299 Main St"/>
    <x v="2"/>
    <x v="3"/>
    <s v="TRK33305694"/>
    <s v="8"/>
    <x v="1"/>
    <s v="Google"/>
    <n v="1717.48"/>
  </r>
  <r>
    <x v="753"/>
    <x v="526"/>
    <s v="C42270"/>
    <x v="1"/>
    <n v="2"/>
    <n v="241.49"/>
    <s v="864 Main St"/>
    <x v="0"/>
    <x v="2"/>
    <s v="TRK72697796"/>
    <s v="7"/>
    <x v="1"/>
    <s v="Instagram"/>
    <n v="482.98"/>
  </r>
  <r>
    <x v="754"/>
    <x v="133"/>
    <s v="C48846"/>
    <x v="4"/>
    <n v="2"/>
    <n v="452.05"/>
    <s v="983 Main St"/>
    <x v="2"/>
    <x v="2"/>
    <s v="TRK52804097"/>
    <s v="3"/>
    <x v="3"/>
    <s v="Email"/>
    <n v="904.1"/>
  </r>
  <r>
    <x v="755"/>
    <x v="527"/>
    <s v="C54160"/>
    <x v="6"/>
    <n v="3"/>
    <n v="336.71"/>
    <s v="658 Main St"/>
    <x v="2"/>
    <x v="4"/>
    <s v="TRK60515972"/>
    <s v="4"/>
    <x v="2"/>
    <s v="Email"/>
    <n v="1010.13"/>
  </r>
  <r>
    <x v="756"/>
    <x v="326"/>
    <s v="C14080"/>
    <x v="1"/>
    <n v="1"/>
    <n v="283.69"/>
    <s v="202 Main St"/>
    <x v="3"/>
    <x v="0"/>
    <s v="TRK93163682"/>
    <s v="6"/>
    <x v="2"/>
    <s v="Google"/>
    <n v="283.69"/>
  </r>
  <r>
    <x v="757"/>
    <x v="27"/>
    <s v="C81074"/>
    <x v="6"/>
    <n v="1"/>
    <n v="157.72"/>
    <s v="597 Main St"/>
    <x v="0"/>
    <x v="3"/>
    <s v="TRK91105190"/>
    <s v="2"/>
    <x v="1"/>
    <s v="Google"/>
    <n v="157.72"/>
  </r>
  <r>
    <x v="758"/>
    <x v="465"/>
    <s v="C69021"/>
    <x v="2"/>
    <n v="3"/>
    <n v="624.84"/>
    <s v="917 Main St"/>
    <x v="2"/>
    <x v="1"/>
    <s v="TRK57148510"/>
    <s v="8"/>
    <x v="3"/>
    <s v="Facebook"/>
    <n v="1874.52"/>
  </r>
  <r>
    <x v="759"/>
    <x v="528"/>
    <s v="C96283"/>
    <x v="6"/>
    <n v="3"/>
    <n v="308.01"/>
    <s v="366 Main St"/>
    <x v="4"/>
    <x v="4"/>
    <s v="TRK91784124"/>
    <s v="3"/>
    <x v="1"/>
    <s v="Facebook"/>
    <n v="924.03"/>
  </r>
  <r>
    <x v="760"/>
    <x v="403"/>
    <s v="C96636"/>
    <x v="6"/>
    <n v="1"/>
    <n v="39.56"/>
    <s v="283 Main St"/>
    <x v="0"/>
    <x v="1"/>
    <s v="TRK73324346"/>
    <s v="5"/>
    <x v="2"/>
    <s v="Google"/>
    <n v="39.56"/>
  </r>
  <r>
    <x v="761"/>
    <x v="454"/>
    <s v="C37235"/>
    <x v="6"/>
    <n v="4"/>
    <n v="37.76"/>
    <s v="217 Main St"/>
    <x v="0"/>
    <x v="3"/>
    <s v="TRK67789367"/>
    <s v="7"/>
    <x v="2"/>
    <s v="Google"/>
    <n v="151.04"/>
  </r>
  <r>
    <x v="762"/>
    <x v="529"/>
    <s v="C12444"/>
    <x v="1"/>
    <n v="3"/>
    <n v="76.959999999999994"/>
    <s v="611 Main St"/>
    <x v="4"/>
    <x v="2"/>
    <s v="TRK97621403"/>
    <s v="8"/>
    <x v="1"/>
    <s v="Email"/>
    <n v="230.88"/>
  </r>
  <r>
    <x v="763"/>
    <x v="388"/>
    <s v="C79142"/>
    <x v="5"/>
    <n v="1"/>
    <n v="569.96"/>
    <s v="533 Main St"/>
    <x v="1"/>
    <x v="3"/>
    <s v="TRK30915955"/>
    <s v="4"/>
    <x v="1"/>
    <s v="Email"/>
    <n v="569.96"/>
  </r>
  <r>
    <x v="764"/>
    <x v="416"/>
    <s v="C35983"/>
    <x v="5"/>
    <n v="5"/>
    <n v="627.42999999999995"/>
    <s v="806 Main St"/>
    <x v="2"/>
    <x v="1"/>
    <s v="TRK14016163"/>
    <s v="10"/>
    <x v="1"/>
    <s v="Email"/>
    <n v="3137.15"/>
  </r>
  <r>
    <x v="765"/>
    <x v="426"/>
    <s v="C36150"/>
    <x v="5"/>
    <n v="2"/>
    <n v="534.91"/>
    <s v="281 Main St"/>
    <x v="0"/>
    <x v="2"/>
    <s v="TRK96249043"/>
    <s v="5"/>
    <x v="0"/>
    <s v="Google"/>
    <n v="1069.82"/>
  </r>
  <r>
    <x v="766"/>
    <x v="55"/>
    <s v="C91454"/>
    <x v="4"/>
    <n v="2"/>
    <n v="278.88"/>
    <s v="494 Main St"/>
    <x v="0"/>
    <x v="4"/>
    <s v="TRK99985340"/>
    <s v="3"/>
    <x v="1"/>
    <s v="Referral"/>
    <n v="557.76"/>
  </r>
  <r>
    <x v="767"/>
    <x v="479"/>
    <s v="C19368"/>
    <x v="2"/>
    <n v="2"/>
    <n v="323.22000000000003"/>
    <s v="517 Main St"/>
    <x v="2"/>
    <x v="3"/>
    <s v="TRK80436037"/>
    <s v="7"/>
    <x v="2"/>
    <s v="Instagram"/>
    <n v="646.44000000000005"/>
  </r>
  <r>
    <x v="768"/>
    <x v="355"/>
    <s v="C35987"/>
    <x v="2"/>
    <n v="5"/>
    <n v="653.46"/>
    <s v="165 Main St"/>
    <x v="4"/>
    <x v="1"/>
    <s v="TRK28918815"/>
    <s v="9"/>
    <x v="3"/>
    <s v="Email"/>
    <n v="3267.3"/>
  </r>
  <r>
    <x v="769"/>
    <x v="117"/>
    <s v="C13366"/>
    <x v="4"/>
    <n v="4"/>
    <n v="678.55"/>
    <s v="568 Main St"/>
    <x v="4"/>
    <x v="3"/>
    <s v="TRK98691410"/>
    <s v="5"/>
    <x v="2"/>
    <s v="Email"/>
    <n v="2714.2"/>
  </r>
  <r>
    <x v="770"/>
    <x v="530"/>
    <s v="C72166"/>
    <x v="6"/>
    <n v="1"/>
    <n v="314.38"/>
    <s v="227 Main St"/>
    <x v="1"/>
    <x v="2"/>
    <s v="TRK67733444"/>
    <s v="6"/>
    <x v="2"/>
    <s v="Google"/>
    <n v="314.38"/>
  </r>
  <r>
    <x v="771"/>
    <x v="520"/>
    <s v="C20357"/>
    <x v="1"/>
    <n v="3"/>
    <n v="692.44"/>
    <s v="272 Main St"/>
    <x v="0"/>
    <x v="1"/>
    <s v="TRK82236408"/>
    <s v="8"/>
    <x v="1"/>
    <s v="Google"/>
    <n v="2077.3200000000002"/>
  </r>
  <r>
    <x v="772"/>
    <x v="118"/>
    <s v="C33802"/>
    <x v="0"/>
    <n v="1"/>
    <n v="604.87"/>
    <s v="461 Main St"/>
    <x v="1"/>
    <x v="3"/>
    <s v="TRK25799478"/>
    <s v="4"/>
    <x v="2"/>
    <s v="Instagram"/>
    <n v="604.87"/>
  </r>
  <r>
    <x v="773"/>
    <x v="164"/>
    <s v="C99205"/>
    <x v="1"/>
    <n v="2"/>
    <n v="512.33000000000004"/>
    <s v="415 Main St"/>
    <x v="4"/>
    <x v="1"/>
    <s v="TRK48904015"/>
    <s v="7"/>
    <x v="2"/>
    <s v="Facebook"/>
    <n v="1024.6600000000001"/>
  </r>
  <r>
    <x v="774"/>
    <x v="198"/>
    <s v="C29701"/>
    <x v="3"/>
    <n v="3"/>
    <n v="20.54"/>
    <s v="257 Main St"/>
    <x v="2"/>
    <x v="1"/>
    <s v="TRK42266846"/>
    <s v="3"/>
    <x v="1"/>
    <s v="Instagram"/>
    <n v="61.62"/>
  </r>
  <r>
    <x v="775"/>
    <x v="190"/>
    <s v="C73941"/>
    <x v="1"/>
    <n v="2"/>
    <n v="625.22"/>
    <s v="569 Main St"/>
    <x v="1"/>
    <x v="1"/>
    <s v="TRK22051900"/>
    <s v="5"/>
    <x v="2"/>
    <s v="Google"/>
    <n v="1250.44"/>
  </r>
  <r>
    <x v="776"/>
    <x v="531"/>
    <s v="C69168"/>
    <x v="2"/>
    <n v="1"/>
    <n v="21.19"/>
    <s v="482 Main St"/>
    <x v="4"/>
    <x v="2"/>
    <s v="TRK10446197"/>
    <s v="5"/>
    <x v="3"/>
    <s v="Google"/>
    <n v="21.19"/>
  </r>
  <r>
    <x v="777"/>
    <x v="438"/>
    <s v="C66116"/>
    <x v="3"/>
    <n v="5"/>
    <n v="64.489999999999995"/>
    <s v="633 Main St"/>
    <x v="1"/>
    <x v="1"/>
    <s v="TRK41967983"/>
    <s v="7"/>
    <x v="2"/>
    <s v="Facebook"/>
    <n v="322.45"/>
  </r>
  <r>
    <x v="778"/>
    <x v="200"/>
    <s v="C85059"/>
    <x v="5"/>
    <n v="4"/>
    <n v="246.85"/>
    <s v="316 Main St"/>
    <x v="2"/>
    <x v="0"/>
    <s v="TRK56503740"/>
    <s v="8"/>
    <x v="3"/>
    <s v="Google"/>
    <n v="987.4"/>
  </r>
  <r>
    <x v="779"/>
    <x v="142"/>
    <s v="C18076"/>
    <x v="1"/>
    <n v="3"/>
    <n v="588.74"/>
    <s v="751 Main St"/>
    <x v="0"/>
    <x v="4"/>
    <s v="TRK26661705"/>
    <s v="8"/>
    <x v="1"/>
    <s v="Email"/>
    <n v="1766.22"/>
  </r>
  <r>
    <x v="780"/>
    <x v="74"/>
    <s v="C41284"/>
    <x v="5"/>
    <n v="4"/>
    <n v="184.48"/>
    <s v="661 Main St"/>
    <x v="1"/>
    <x v="1"/>
    <s v="TRK73613128"/>
    <s v="4"/>
    <x v="3"/>
    <s v="Google"/>
    <n v="737.92"/>
  </r>
  <r>
    <x v="781"/>
    <x v="532"/>
    <s v="C43524"/>
    <x v="1"/>
    <n v="5"/>
    <n v="524.26"/>
    <s v="934 Main St"/>
    <x v="3"/>
    <x v="3"/>
    <s v="TRK51479426"/>
    <s v="5"/>
    <x v="1"/>
    <s v="Referral"/>
    <n v="2621.3000000000002"/>
  </r>
  <r>
    <x v="782"/>
    <x v="533"/>
    <s v="C58063"/>
    <x v="0"/>
    <n v="2"/>
    <n v="493.63"/>
    <s v="167 Main St"/>
    <x v="1"/>
    <x v="2"/>
    <s v="TRK50548869"/>
    <s v="6"/>
    <x v="0"/>
    <s v="Referral"/>
    <n v="987.26"/>
  </r>
  <r>
    <x v="783"/>
    <x v="534"/>
    <s v="C19937"/>
    <x v="4"/>
    <n v="1"/>
    <n v="438.34"/>
    <s v="281 Main St"/>
    <x v="3"/>
    <x v="2"/>
    <s v="TRK46990083"/>
    <s v="5"/>
    <x v="1"/>
    <s v="Facebook"/>
    <n v="438.34"/>
  </r>
  <r>
    <x v="784"/>
    <x v="535"/>
    <s v="C21191"/>
    <x v="5"/>
    <n v="1"/>
    <n v="325.81"/>
    <s v="232 Main St"/>
    <x v="2"/>
    <x v="4"/>
    <s v="TRK85771230"/>
    <s v="1"/>
    <x v="3"/>
    <s v="Referral"/>
    <n v="325.81"/>
  </r>
  <r>
    <x v="785"/>
    <x v="536"/>
    <s v="C45862"/>
    <x v="3"/>
    <n v="1"/>
    <n v="176.1"/>
    <s v="342 Main St"/>
    <x v="2"/>
    <x v="4"/>
    <s v="TRK53089983"/>
    <s v="1"/>
    <x v="0"/>
    <s v="Instagram"/>
    <n v="176.1"/>
  </r>
  <r>
    <x v="786"/>
    <x v="421"/>
    <s v="C39130"/>
    <x v="3"/>
    <n v="5"/>
    <n v="45.31"/>
    <s v="774 Main St"/>
    <x v="1"/>
    <x v="1"/>
    <s v="TRK99583414"/>
    <s v="8"/>
    <x v="2"/>
    <s v="Referral"/>
    <n v="226.55"/>
  </r>
  <r>
    <x v="787"/>
    <x v="537"/>
    <s v="C18167"/>
    <x v="6"/>
    <n v="4"/>
    <n v="221.96"/>
    <s v="193 Main St"/>
    <x v="4"/>
    <x v="3"/>
    <s v="TRK36841089"/>
    <s v="7"/>
    <x v="2"/>
    <s v="Google"/>
    <n v="887.84"/>
  </r>
  <r>
    <x v="788"/>
    <x v="208"/>
    <s v="C47307"/>
    <x v="3"/>
    <n v="2"/>
    <n v="601.42999999999995"/>
    <s v="761 Main St"/>
    <x v="1"/>
    <x v="4"/>
    <s v="TRK43516112"/>
    <s v="5"/>
    <x v="1"/>
    <s v="Instagram"/>
    <n v="1202.8599999999999"/>
  </r>
  <r>
    <x v="789"/>
    <x v="538"/>
    <s v="C57276"/>
    <x v="2"/>
    <n v="5"/>
    <n v="691.28"/>
    <s v="183 Main St"/>
    <x v="1"/>
    <x v="3"/>
    <s v="TRK75899752"/>
    <s v="10"/>
    <x v="0"/>
    <s v="Email"/>
    <n v="3456.4"/>
  </r>
  <r>
    <x v="790"/>
    <x v="154"/>
    <s v="C38928"/>
    <x v="5"/>
    <n v="4"/>
    <n v="417.89"/>
    <s v="302 Main St"/>
    <x v="3"/>
    <x v="4"/>
    <s v="TRK96636009"/>
    <s v="4"/>
    <x v="2"/>
    <s v="Google"/>
    <n v="1671.56"/>
  </r>
  <r>
    <x v="791"/>
    <x v="539"/>
    <s v="C49710"/>
    <x v="3"/>
    <n v="4"/>
    <n v="409.28"/>
    <s v="956 Main St"/>
    <x v="4"/>
    <x v="4"/>
    <s v="TRK92591237"/>
    <s v="8"/>
    <x v="2"/>
    <s v="Email"/>
    <n v="1637.12"/>
  </r>
  <r>
    <x v="792"/>
    <x v="379"/>
    <s v="C41709"/>
    <x v="6"/>
    <n v="2"/>
    <n v="356.35"/>
    <s v="746 Main St"/>
    <x v="0"/>
    <x v="2"/>
    <s v="TRK90995294"/>
    <s v="6"/>
    <x v="3"/>
    <s v="Facebook"/>
    <n v="712.7"/>
  </r>
  <r>
    <x v="793"/>
    <x v="116"/>
    <s v="C91255"/>
    <x v="3"/>
    <n v="5"/>
    <n v="170.22"/>
    <s v="769 Main St"/>
    <x v="0"/>
    <x v="3"/>
    <s v="TRK69599961"/>
    <s v="8"/>
    <x v="2"/>
    <s v="Referral"/>
    <n v="851.1"/>
  </r>
  <r>
    <x v="794"/>
    <x v="338"/>
    <s v="C76653"/>
    <x v="4"/>
    <n v="4"/>
    <n v="384.85"/>
    <s v="988 Main St"/>
    <x v="1"/>
    <x v="3"/>
    <s v="TRK77052196"/>
    <s v="9"/>
    <x v="1"/>
    <s v="Instagram"/>
    <n v="1539.4"/>
  </r>
  <r>
    <x v="795"/>
    <x v="540"/>
    <s v="C95667"/>
    <x v="5"/>
    <n v="4"/>
    <n v="115.77"/>
    <s v="586 Main St"/>
    <x v="1"/>
    <x v="4"/>
    <s v="TRK41266666"/>
    <s v="7"/>
    <x v="0"/>
    <s v="Instagram"/>
    <n v="463.08"/>
  </r>
  <r>
    <x v="796"/>
    <x v="541"/>
    <s v="C33313"/>
    <x v="1"/>
    <n v="3"/>
    <n v="579.54999999999995"/>
    <s v="882 Main St"/>
    <x v="3"/>
    <x v="2"/>
    <s v="TRK13349970"/>
    <s v="8"/>
    <x v="3"/>
    <s v="Facebook"/>
    <n v="1738.65"/>
  </r>
  <r>
    <x v="797"/>
    <x v="146"/>
    <s v="C36825"/>
    <x v="5"/>
    <n v="2"/>
    <n v="438.76"/>
    <s v="426 Main St"/>
    <x v="0"/>
    <x v="2"/>
    <s v="TRK72557318"/>
    <s v="2"/>
    <x v="2"/>
    <s v="Facebook"/>
    <n v="877.52"/>
  </r>
  <r>
    <x v="798"/>
    <x v="542"/>
    <s v="C20861"/>
    <x v="1"/>
    <n v="5"/>
    <n v="488.35"/>
    <s v="968 Main St"/>
    <x v="0"/>
    <x v="2"/>
    <s v="TRK89372013"/>
    <s v="9"/>
    <x v="1"/>
    <s v="Email"/>
    <n v="2441.75"/>
  </r>
  <r>
    <x v="799"/>
    <x v="397"/>
    <s v="C26364"/>
    <x v="5"/>
    <n v="4"/>
    <n v="328.56"/>
    <s v="803 Main St"/>
    <x v="0"/>
    <x v="2"/>
    <s v="TRK78924436"/>
    <s v="4"/>
    <x v="1"/>
    <s v="Email"/>
    <n v="1314.24"/>
  </r>
  <r>
    <x v="800"/>
    <x v="210"/>
    <s v="C34686"/>
    <x v="2"/>
    <n v="1"/>
    <n v="68.39"/>
    <s v="412 Main St"/>
    <x v="1"/>
    <x v="2"/>
    <s v="TRK99468332"/>
    <s v="3"/>
    <x v="3"/>
    <s v="Facebook"/>
    <n v="68.39"/>
  </r>
  <r>
    <x v="801"/>
    <x v="71"/>
    <s v="C97593"/>
    <x v="4"/>
    <n v="4"/>
    <n v="595.62"/>
    <s v="738 Main St"/>
    <x v="0"/>
    <x v="4"/>
    <s v="TRK58443593"/>
    <s v="8"/>
    <x v="1"/>
    <s v="Facebook"/>
    <n v="2382.48"/>
  </r>
  <r>
    <x v="802"/>
    <x v="11"/>
    <s v="C84331"/>
    <x v="3"/>
    <n v="5"/>
    <n v="644.64"/>
    <s v="205 Main St"/>
    <x v="3"/>
    <x v="1"/>
    <s v="TRK34440714"/>
    <s v="6"/>
    <x v="1"/>
    <s v="Email"/>
    <n v="3223.2"/>
  </r>
  <r>
    <x v="803"/>
    <x v="38"/>
    <s v="C88775"/>
    <x v="0"/>
    <n v="5"/>
    <n v="397.81"/>
    <s v="223 Main St"/>
    <x v="0"/>
    <x v="2"/>
    <s v="TRK45098068"/>
    <s v="5"/>
    <x v="0"/>
    <s v="Referral"/>
    <n v="1989.05"/>
  </r>
  <r>
    <x v="804"/>
    <x v="543"/>
    <s v="C76362"/>
    <x v="3"/>
    <n v="3"/>
    <n v="236.5"/>
    <s v="916 Main St"/>
    <x v="1"/>
    <x v="3"/>
    <s v="TRK11868618"/>
    <s v="8"/>
    <x v="1"/>
    <s v="Email"/>
    <n v="709.5"/>
  </r>
  <r>
    <x v="805"/>
    <x v="12"/>
    <s v="C59278"/>
    <x v="5"/>
    <n v="5"/>
    <n v="472.01"/>
    <s v="178 Main St"/>
    <x v="3"/>
    <x v="1"/>
    <s v="TRK14590037"/>
    <s v="10"/>
    <x v="0"/>
    <s v="Email"/>
    <n v="2360.0500000000002"/>
  </r>
  <r>
    <x v="806"/>
    <x v="544"/>
    <s v="C55819"/>
    <x v="3"/>
    <n v="5"/>
    <n v="253.75"/>
    <s v="740 Main St"/>
    <x v="1"/>
    <x v="4"/>
    <s v="TRK13775054"/>
    <s v="9"/>
    <x v="3"/>
    <s v="Instagram"/>
    <n v="1268.75"/>
  </r>
  <r>
    <x v="807"/>
    <x v="337"/>
    <s v="C82344"/>
    <x v="0"/>
    <n v="3"/>
    <n v="676.21"/>
    <s v="260 Main St"/>
    <x v="1"/>
    <x v="3"/>
    <s v="TRK70957219"/>
    <s v="5"/>
    <x v="0"/>
    <s v="Google"/>
    <n v="2028.63"/>
  </r>
  <r>
    <x v="808"/>
    <x v="545"/>
    <s v="C65565"/>
    <x v="6"/>
    <n v="3"/>
    <n v="134.05000000000001"/>
    <s v="192 Main St"/>
    <x v="2"/>
    <x v="0"/>
    <s v="TRK80383756"/>
    <s v="3"/>
    <x v="2"/>
    <s v="Google"/>
    <n v="402.15"/>
  </r>
  <r>
    <x v="809"/>
    <x v="398"/>
    <s v="C80416"/>
    <x v="6"/>
    <n v="5"/>
    <n v="217.43"/>
    <s v="752 Main St"/>
    <x v="0"/>
    <x v="0"/>
    <s v="TRK54385892"/>
    <s v="10"/>
    <x v="0"/>
    <s v="Instagram"/>
    <n v="1087.1500000000001"/>
  </r>
  <r>
    <x v="810"/>
    <x v="546"/>
    <s v="C23637"/>
    <x v="2"/>
    <n v="1"/>
    <n v="553.55999999999995"/>
    <s v="644 Main St"/>
    <x v="2"/>
    <x v="1"/>
    <s v="TRK16749863"/>
    <s v="5"/>
    <x v="2"/>
    <s v="Referral"/>
    <n v="553.55999999999995"/>
  </r>
  <r>
    <x v="811"/>
    <x v="212"/>
    <s v="C24769"/>
    <x v="5"/>
    <n v="2"/>
    <n v="28.55"/>
    <s v="864 Main St"/>
    <x v="3"/>
    <x v="0"/>
    <s v="TRK44538305"/>
    <s v="7"/>
    <x v="0"/>
    <s v="Email"/>
    <n v="57.1"/>
  </r>
  <r>
    <x v="812"/>
    <x v="547"/>
    <s v="C81547"/>
    <x v="1"/>
    <n v="2"/>
    <n v="255.26"/>
    <s v="803 Main St"/>
    <x v="2"/>
    <x v="1"/>
    <s v="TRK88437123"/>
    <s v="6"/>
    <x v="1"/>
    <s v="Google"/>
    <n v="510.52"/>
  </r>
  <r>
    <x v="813"/>
    <x v="175"/>
    <s v="C12813"/>
    <x v="5"/>
    <n v="5"/>
    <n v="292.54000000000002"/>
    <s v="263 Main St"/>
    <x v="0"/>
    <x v="1"/>
    <s v="TRK36131660"/>
    <s v="8"/>
    <x v="1"/>
    <s v="Email"/>
    <n v="1462.7"/>
  </r>
  <r>
    <x v="814"/>
    <x v="218"/>
    <s v="C50732"/>
    <x v="3"/>
    <n v="4"/>
    <n v="147.51"/>
    <s v="979 Main St"/>
    <x v="0"/>
    <x v="4"/>
    <s v="TRK21082461"/>
    <s v="4"/>
    <x v="3"/>
    <s v="Instagram"/>
    <n v="590.04"/>
  </r>
  <r>
    <x v="815"/>
    <x v="548"/>
    <s v="C41320"/>
    <x v="4"/>
    <n v="3"/>
    <n v="569.84"/>
    <s v="920 Main St"/>
    <x v="3"/>
    <x v="1"/>
    <s v="TRK77539180"/>
    <s v="8"/>
    <x v="3"/>
    <s v="Instagram"/>
    <n v="1709.52"/>
  </r>
  <r>
    <x v="816"/>
    <x v="444"/>
    <s v="C55286"/>
    <x v="2"/>
    <n v="5"/>
    <n v="574.79"/>
    <s v="497 Main St"/>
    <x v="2"/>
    <x v="4"/>
    <s v="TRK39058734"/>
    <s v="8"/>
    <x v="3"/>
    <s v="Referral"/>
    <n v="2873.95"/>
  </r>
  <r>
    <x v="817"/>
    <x v="469"/>
    <s v="C87994"/>
    <x v="3"/>
    <n v="4"/>
    <n v="598.19000000000005"/>
    <s v="430 Main St"/>
    <x v="2"/>
    <x v="3"/>
    <s v="TRK98883971"/>
    <s v="7"/>
    <x v="3"/>
    <s v="Email"/>
    <n v="2392.7600000000002"/>
  </r>
  <r>
    <x v="818"/>
    <x v="521"/>
    <s v="C25580"/>
    <x v="1"/>
    <n v="4"/>
    <n v="390.84"/>
    <s v="860 Main St"/>
    <x v="2"/>
    <x v="1"/>
    <s v="TRK58781638"/>
    <s v="9"/>
    <x v="3"/>
    <s v="Referral"/>
    <n v="1563.36"/>
  </r>
  <r>
    <x v="819"/>
    <x v="335"/>
    <s v="C66196"/>
    <x v="1"/>
    <n v="2"/>
    <n v="398.45"/>
    <s v="650 Main St"/>
    <x v="0"/>
    <x v="1"/>
    <s v="TRK38104650"/>
    <s v="7"/>
    <x v="0"/>
    <s v="Google"/>
    <n v="796.9"/>
  </r>
  <r>
    <x v="820"/>
    <x v="156"/>
    <s v="C35377"/>
    <x v="1"/>
    <n v="5"/>
    <n v="623.80999999999995"/>
    <s v="171 Main St"/>
    <x v="4"/>
    <x v="2"/>
    <s v="TRK17342157"/>
    <s v="6"/>
    <x v="1"/>
    <s v="Email"/>
    <n v="3119.05"/>
  </r>
  <r>
    <x v="821"/>
    <x v="549"/>
    <s v="C40771"/>
    <x v="5"/>
    <n v="4"/>
    <n v="174.49"/>
    <s v="259 Main St"/>
    <x v="2"/>
    <x v="3"/>
    <s v="TRK56310345"/>
    <s v="5"/>
    <x v="0"/>
    <s v="Facebook"/>
    <n v="697.96"/>
  </r>
  <r>
    <x v="822"/>
    <x v="175"/>
    <s v="C20624"/>
    <x v="1"/>
    <n v="1"/>
    <n v="479.56"/>
    <s v="923 Main St"/>
    <x v="3"/>
    <x v="2"/>
    <s v="TRK45123395"/>
    <s v="1"/>
    <x v="0"/>
    <s v="Google"/>
    <n v="479.56"/>
  </r>
  <r>
    <x v="823"/>
    <x v="550"/>
    <s v="C27070"/>
    <x v="5"/>
    <n v="4"/>
    <n v="653.13"/>
    <s v="973 Main St"/>
    <x v="2"/>
    <x v="0"/>
    <s v="TRK83842481"/>
    <s v="8"/>
    <x v="3"/>
    <s v="Instagram"/>
    <n v="2612.52"/>
  </r>
  <r>
    <x v="824"/>
    <x v="193"/>
    <s v="C18826"/>
    <x v="0"/>
    <n v="3"/>
    <n v="481.1"/>
    <s v="664 Main St"/>
    <x v="2"/>
    <x v="2"/>
    <s v="TRK12530495"/>
    <s v="3"/>
    <x v="1"/>
    <s v="Facebook"/>
    <n v="1443.3"/>
  </r>
  <r>
    <x v="825"/>
    <x v="18"/>
    <s v="C23899"/>
    <x v="6"/>
    <n v="5"/>
    <n v="271.69"/>
    <s v="543 Main St"/>
    <x v="1"/>
    <x v="2"/>
    <s v="TRK88914760"/>
    <s v="7"/>
    <x v="1"/>
    <s v="Instagram"/>
    <n v="1358.45"/>
  </r>
  <r>
    <x v="826"/>
    <x v="177"/>
    <s v="C43249"/>
    <x v="4"/>
    <n v="3"/>
    <n v="463.81"/>
    <s v="283 Main St"/>
    <x v="1"/>
    <x v="2"/>
    <s v="TRK32469820"/>
    <s v="8"/>
    <x v="3"/>
    <s v="Email"/>
    <n v="1391.43"/>
  </r>
  <r>
    <x v="827"/>
    <x v="551"/>
    <s v="C95856"/>
    <x v="2"/>
    <n v="2"/>
    <n v="639.88"/>
    <s v="432 Main St"/>
    <x v="4"/>
    <x v="3"/>
    <s v="TRK58829625"/>
    <s v="5"/>
    <x v="3"/>
    <s v="Instagram"/>
    <n v="1279.76"/>
  </r>
  <r>
    <x v="828"/>
    <x v="25"/>
    <s v="C86266"/>
    <x v="3"/>
    <n v="4"/>
    <n v="404.58"/>
    <s v="510 Main St"/>
    <x v="4"/>
    <x v="0"/>
    <s v="TRK64576020"/>
    <s v="5"/>
    <x v="1"/>
    <s v="Instagram"/>
    <n v="1618.32"/>
  </r>
  <r>
    <x v="829"/>
    <x v="483"/>
    <s v="C39551"/>
    <x v="0"/>
    <n v="1"/>
    <n v="76.930000000000007"/>
    <s v="685 Main St"/>
    <x v="0"/>
    <x v="3"/>
    <s v="TRK68358007"/>
    <s v="6"/>
    <x v="3"/>
    <s v="Instagram"/>
    <n v="76.930000000000007"/>
  </r>
  <r>
    <x v="830"/>
    <x v="218"/>
    <s v="C90310"/>
    <x v="2"/>
    <n v="4"/>
    <n v="190.64"/>
    <s v="853 Main St"/>
    <x v="4"/>
    <x v="3"/>
    <s v="TRK70028457"/>
    <s v="5"/>
    <x v="0"/>
    <s v="Email"/>
    <n v="762.56"/>
  </r>
  <r>
    <x v="831"/>
    <x v="552"/>
    <s v="C20124"/>
    <x v="4"/>
    <n v="2"/>
    <n v="88.73"/>
    <s v="140 Main St"/>
    <x v="1"/>
    <x v="4"/>
    <s v="TRK61346824"/>
    <s v="5"/>
    <x v="2"/>
    <s v="Google"/>
    <n v="177.46"/>
  </r>
  <r>
    <x v="832"/>
    <x v="553"/>
    <s v="C63372"/>
    <x v="3"/>
    <n v="5"/>
    <n v="485.71"/>
    <s v="903 Main St"/>
    <x v="1"/>
    <x v="4"/>
    <s v="TRK14661811"/>
    <s v="10"/>
    <x v="0"/>
    <s v="Referral"/>
    <n v="2428.5500000000002"/>
  </r>
  <r>
    <x v="833"/>
    <x v="387"/>
    <s v="C90595"/>
    <x v="1"/>
    <n v="5"/>
    <n v="78.290000000000006"/>
    <s v="508 Main St"/>
    <x v="2"/>
    <x v="0"/>
    <s v="TRK96573803"/>
    <s v="5"/>
    <x v="3"/>
    <s v="Referral"/>
    <n v="391.45"/>
  </r>
  <r>
    <x v="834"/>
    <x v="166"/>
    <s v="C98483"/>
    <x v="4"/>
    <n v="5"/>
    <n v="22.14"/>
    <s v="456 Main St"/>
    <x v="4"/>
    <x v="2"/>
    <s v="TRK22084320"/>
    <s v="10"/>
    <x v="2"/>
    <s v="Instagram"/>
    <n v="110.7"/>
  </r>
  <r>
    <x v="835"/>
    <x v="290"/>
    <s v="C16429"/>
    <x v="6"/>
    <n v="1"/>
    <n v="679.65"/>
    <s v="390 Main St"/>
    <x v="0"/>
    <x v="0"/>
    <s v="TRK73888013"/>
    <s v="6"/>
    <x v="1"/>
    <s v="Google"/>
    <n v="679.65"/>
  </r>
  <r>
    <x v="836"/>
    <x v="488"/>
    <s v="C31810"/>
    <x v="1"/>
    <n v="1"/>
    <n v="178.44"/>
    <s v="328 Main St"/>
    <x v="2"/>
    <x v="1"/>
    <s v="TRK58725886"/>
    <s v="2"/>
    <x v="1"/>
    <s v="Google"/>
    <n v="178.44"/>
  </r>
  <r>
    <x v="837"/>
    <x v="554"/>
    <s v="C88029"/>
    <x v="3"/>
    <n v="5"/>
    <n v="655.55"/>
    <s v="282 Main St"/>
    <x v="1"/>
    <x v="3"/>
    <s v="TRK59701278"/>
    <s v="5"/>
    <x v="2"/>
    <s v="Email"/>
    <n v="3277.75"/>
  </r>
  <r>
    <x v="838"/>
    <x v="166"/>
    <s v="C57798"/>
    <x v="6"/>
    <n v="4"/>
    <n v="577.08000000000004"/>
    <s v="384 Main St"/>
    <x v="1"/>
    <x v="4"/>
    <s v="TRK68797566"/>
    <s v="8"/>
    <x v="2"/>
    <s v="Facebook"/>
    <n v="2308.3200000000002"/>
  </r>
  <r>
    <x v="839"/>
    <x v="318"/>
    <s v="C82858"/>
    <x v="3"/>
    <n v="3"/>
    <n v="197.97"/>
    <s v="551 Main St"/>
    <x v="1"/>
    <x v="1"/>
    <s v="TRK90618490"/>
    <s v="5"/>
    <x v="2"/>
    <s v="Google"/>
    <n v="593.91"/>
  </r>
  <r>
    <x v="840"/>
    <x v="555"/>
    <s v="C60699"/>
    <x v="3"/>
    <n v="3"/>
    <n v="411.95"/>
    <s v="672 Main St"/>
    <x v="2"/>
    <x v="3"/>
    <s v="TRK88660574"/>
    <s v="7"/>
    <x v="1"/>
    <s v="Referral"/>
    <n v="1235.8499999999999"/>
  </r>
  <r>
    <x v="841"/>
    <x v="556"/>
    <s v="C94658"/>
    <x v="4"/>
    <n v="2"/>
    <n v="443.22"/>
    <s v="742 Main St"/>
    <x v="2"/>
    <x v="3"/>
    <s v="TRK51732528"/>
    <s v="5"/>
    <x v="2"/>
    <s v="Facebook"/>
    <n v="886.44"/>
  </r>
  <r>
    <x v="842"/>
    <x v="106"/>
    <s v="C78305"/>
    <x v="5"/>
    <n v="3"/>
    <n v="364.14"/>
    <s v="396 Main St"/>
    <x v="1"/>
    <x v="4"/>
    <s v="TRK88312618"/>
    <s v="7"/>
    <x v="3"/>
    <s v="Referral"/>
    <n v="1092.42"/>
  </r>
  <r>
    <x v="843"/>
    <x v="557"/>
    <s v="C43538"/>
    <x v="6"/>
    <n v="3"/>
    <n v="430.06"/>
    <s v="534 Main St"/>
    <x v="3"/>
    <x v="1"/>
    <s v="TRK20961563"/>
    <s v="8"/>
    <x v="1"/>
    <s v="Instagram"/>
    <n v="1290.18"/>
  </r>
  <r>
    <x v="844"/>
    <x v="558"/>
    <s v="C47486"/>
    <x v="3"/>
    <n v="1"/>
    <n v="320.92"/>
    <s v="883 Main St"/>
    <x v="1"/>
    <x v="2"/>
    <s v="TRK75984759"/>
    <s v="5"/>
    <x v="1"/>
    <s v="Facebook"/>
    <n v="320.92"/>
  </r>
  <r>
    <x v="845"/>
    <x v="345"/>
    <s v="C24212"/>
    <x v="1"/>
    <n v="3"/>
    <n v="107.36"/>
    <s v="808 Main St"/>
    <x v="3"/>
    <x v="3"/>
    <s v="TRK68894675"/>
    <s v="5"/>
    <x v="1"/>
    <s v="Google"/>
    <n v="322.08"/>
  </r>
  <r>
    <x v="846"/>
    <x v="502"/>
    <s v="C24765"/>
    <x v="6"/>
    <n v="2"/>
    <n v="359.86"/>
    <s v="646 Main St"/>
    <x v="0"/>
    <x v="1"/>
    <s v="TRK43977698"/>
    <s v="4"/>
    <x v="2"/>
    <s v="Referral"/>
    <n v="719.72"/>
  </r>
  <r>
    <x v="847"/>
    <x v="249"/>
    <s v="C48176"/>
    <x v="4"/>
    <n v="4"/>
    <n v="434.23"/>
    <s v="670 Main St"/>
    <x v="1"/>
    <x v="0"/>
    <s v="TRK90560300"/>
    <s v="8"/>
    <x v="1"/>
    <s v="Email"/>
    <n v="1736.92"/>
  </r>
  <r>
    <x v="848"/>
    <x v="107"/>
    <s v="C54675"/>
    <x v="3"/>
    <n v="2"/>
    <n v="645.85"/>
    <s v="634 Main St"/>
    <x v="1"/>
    <x v="0"/>
    <s v="TRK18049633"/>
    <s v="5"/>
    <x v="2"/>
    <s v="Referral"/>
    <n v="1291.7"/>
  </r>
  <r>
    <x v="849"/>
    <x v="559"/>
    <s v="C16675"/>
    <x v="4"/>
    <n v="4"/>
    <n v="214.35"/>
    <s v="664 Main St"/>
    <x v="0"/>
    <x v="1"/>
    <s v="TRK12756945"/>
    <s v="7"/>
    <x v="3"/>
    <s v="Referral"/>
    <n v="857.4"/>
  </r>
  <r>
    <x v="850"/>
    <x v="560"/>
    <s v="C38557"/>
    <x v="0"/>
    <n v="3"/>
    <n v="638.5"/>
    <s v="890 Main St"/>
    <x v="0"/>
    <x v="1"/>
    <s v="TRK14832238"/>
    <s v="4"/>
    <x v="1"/>
    <s v="Instagram"/>
    <n v="1915.5"/>
  </r>
  <r>
    <x v="851"/>
    <x v="427"/>
    <s v="C80183"/>
    <x v="5"/>
    <n v="1"/>
    <n v="365.57"/>
    <s v="146 Main St"/>
    <x v="1"/>
    <x v="1"/>
    <s v="TRK20814598"/>
    <s v="5"/>
    <x v="0"/>
    <s v="Email"/>
    <n v="365.57"/>
  </r>
  <r>
    <x v="852"/>
    <x v="101"/>
    <s v="C39530"/>
    <x v="6"/>
    <n v="3"/>
    <n v="568.04999999999995"/>
    <s v="618 Main St"/>
    <x v="3"/>
    <x v="4"/>
    <s v="TRK69000497"/>
    <s v="6"/>
    <x v="0"/>
    <s v="Google"/>
    <n v="1704.15"/>
  </r>
  <r>
    <x v="853"/>
    <x v="504"/>
    <s v="C10002"/>
    <x v="4"/>
    <n v="3"/>
    <n v="490.01"/>
    <s v="894 Main St"/>
    <x v="4"/>
    <x v="2"/>
    <s v="TRK94641152"/>
    <s v="4"/>
    <x v="0"/>
    <s v="Facebook"/>
    <n v="1470.03"/>
  </r>
  <r>
    <x v="854"/>
    <x v="399"/>
    <s v="C56938"/>
    <x v="5"/>
    <n v="3"/>
    <n v="372.6"/>
    <s v="356 Main St"/>
    <x v="2"/>
    <x v="3"/>
    <s v="TRK67735987"/>
    <s v="7"/>
    <x v="3"/>
    <s v="Referral"/>
    <n v="1117.8"/>
  </r>
  <r>
    <x v="855"/>
    <x v="551"/>
    <s v="C41331"/>
    <x v="0"/>
    <n v="5"/>
    <n v="240.61"/>
    <s v="785 Main St"/>
    <x v="2"/>
    <x v="0"/>
    <s v="TRK94198179"/>
    <s v="10"/>
    <x v="1"/>
    <s v="Email"/>
    <n v="1203.05"/>
  </r>
  <r>
    <x v="856"/>
    <x v="561"/>
    <s v="C94698"/>
    <x v="1"/>
    <n v="1"/>
    <n v="586.62"/>
    <s v="871 Main St"/>
    <x v="0"/>
    <x v="0"/>
    <s v="TRK95768773"/>
    <s v="5"/>
    <x v="2"/>
    <s v="Facebook"/>
    <n v="586.62"/>
  </r>
  <r>
    <x v="857"/>
    <x v="416"/>
    <s v="C56506"/>
    <x v="1"/>
    <n v="3"/>
    <n v="257.83999999999997"/>
    <s v="185 Main St"/>
    <x v="1"/>
    <x v="3"/>
    <s v="TRK86808324"/>
    <s v="4"/>
    <x v="2"/>
    <s v="Instagram"/>
    <n v="773.52"/>
  </r>
  <r>
    <x v="858"/>
    <x v="38"/>
    <s v="C22167"/>
    <x v="2"/>
    <n v="5"/>
    <n v="435.66"/>
    <s v="891 Main St"/>
    <x v="1"/>
    <x v="4"/>
    <s v="TRK70269748"/>
    <s v="9"/>
    <x v="2"/>
    <s v="Facebook"/>
    <n v="2178.3000000000002"/>
  </r>
  <r>
    <x v="859"/>
    <x v="562"/>
    <s v="C11127"/>
    <x v="3"/>
    <n v="5"/>
    <n v="261.33"/>
    <s v="154 Main St"/>
    <x v="2"/>
    <x v="2"/>
    <s v="TRK73285507"/>
    <s v="5"/>
    <x v="0"/>
    <s v="Referral"/>
    <n v="1306.6500000000001"/>
  </r>
  <r>
    <x v="860"/>
    <x v="514"/>
    <s v="C69542"/>
    <x v="4"/>
    <n v="1"/>
    <n v="422.54"/>
    <s v="876 Main St"/>
    <x v="4"/>
    <x v="3"/>
    <s v="TRK20746505"/>
    <s v="1"/>
    <x v="0"/>
    <s v="Google"/>
    <n v="422.54"/>
  </r>
  <r>
    <x v="861"/>
    <x v="111"/>
    <s v="C93276"/>
    <x v="6"/>
    <n v="5"/>
    <n v="330.45"/>
    <s v="230 Main St"/>
    <x v="3"/>
    <x v="0"/>
    <s v="TRK44165913"/>
    <s v="10"/>
    <x v="1"/>
    <s v="Google"/>
    <n v="1652.25"/>
  </r>
  <r>
    <x v="862"/>
    <x v="278"/>
    <s v="C37969"/>
    <x v="6"/>
    <n v="3"/>
    <n v="120.82"/>
    <s v="799 Main St"/>
    <x v="2"/>
    <x v="0"/>
    <s v="TRK69852386"/>
    <s v="5"/>
    <x v="0"/>
    <s v="Referral"/>
    <n v="362.46"/>
  </r>
  <r>
    <x v="863"/>
    <x v="199"/>
    <s v="C98276"/>
    <x v="1"/>
    <n v="1"/>
    <n v="14.06"/>
    <s v="471 Main St"/>
    <x v="2"/>
    <x v="4"/>
    <s v="TRK74207282"/>
    <s v="5"/>
    <x v="0"/>
    <s v="Referral"/>
    <n v="14.06"/>
  </r>
  <r>
    <x v="864"/>
    <x v="71"/>
    <s v="C14240"/>
    <x v="6"/>
    <n v="1"/>
    <n v="491.11"/>
    <s v="592 Main St"/>
    <x v="2"/>
    <x v="3"/>
    <s v="TRK58095246"/>
    <s v="4"/>
    <x v="0"/>
    <s v="Facebook"/>
    <n v="491.11"/>
  </r>
  <r>
    <x v="865"/>
    <x v="563"/>
    <s v="C72241"/>
    <x v="0"/>
    <n v="4"/>
    <n v="677.37"/>
    <s v="156 Main St"/>
    <x v="4"/>
    <x v="4"/>
    <s v="TRK76270481"/>
    <s v="8"/>
    <x v="0"/>
    <s v="Google"/>
    <n v="2709.48"/>
  </r>
  <r>
    <x v="866"/>
    <x v="503"/>
    <s v="C39664"/>
    <x v="6"/>
    <n v="5"/>
    <n v="189.25"/>
    <s v="693 Main St"/>
    <x v="0"/>
    <x v="1"/>
    <s v="TRK39917741"/>
    <s v="10"/>
    <x v="3"/>
    <s v="Email"/>
    <n v="946.25"/>
  </r>
  <r>
    <x v="867"/>
    <x v="564"/>
    <s v="C53252"/>
    <x v="4"/>
    <n v="4"/>
    <n v="142.58000000000001"/>
    <s v="351 Main St"/>
    <x v="4"/>
    <x v="3"/>
    <s v="TRK65831261"/>
    <s v="4"/>
    <x v="1"/>
    <s v="Facebook"/>
    <n v="570.32000000000005"/>
  </r>
  <r>
    <x v="868"/>
    <x v="310"/>
    <s v="C70452"/>
    <x v="0"/>
    <n v="4"/>
    <n v="316.32"/>
    <s v="309 Main St"/>
    <x v="0"/>
    <x v="3"/>
    <s v="TRK42985882"/>
    <s v="7"/>
    <x v="2"/>
    <s v="Facebook"/>
    <n v="1265.28"/>
  </r>
  <r>
    <x v="869"/>
    <x v="537"/>
    <s v="C29905"/>
    <x v="6"/>
    <n v="2"/>
    <n v="533.95000000000005"/>
    <s v="790 Main St"/>
    <x v="1"/>
    <x v="3"/>
    <s v="TRK16788127"/>
    <s v="5"/>
    <x v="3"/>
    <s v="Google"/>
    <n v="1067.9000000000001"/>
  </r>
  <r>
    <x v="870"/>
    <x v="565"/>
    <s v="C78725"/>
    <x v="1"/>
    <n v="4"/>
    <n v="470.09"/>
    <s v="541 Main St"/>
    <x v="0"/>
    <x v="3"/>
    <s v="TRK72001139"/>
    <s v="4"/>
    <x v="1"/>
    <s v="Google"/>
    <n v="1880.36"/>
  </r>
  <r>
    <x v="871"/>
    <x v="149"/>
    <s v="C93768"/>
    <x v="2"/>
    <n v="3"/>
    <n v="324.3"/>
    <s v="720 Main St"/>
    <x v="0"/>
    <x v="4"/>
    <s v="TRK22024707"/>
    <s v="8"/>
    <x v="1"/>
    <s v="Email"/>
    <n v="972.9"/>
  </r>
  <r>
    <x v="872"/>
    <x v="566"/>
    <s v="C59169"/>
    <x v="3"/>
    <n v="4"/>
    <n v="629.34"/>
    <s v="172 Main St"/>
    <x v="4"/>
    <x v="0"/>
    <s v="TRK90883858"/>
    <s v="7"/>
    <x v="2"/>
    <s v="Email"/>
    <n v="2517.36"/>
  </r>
  <r>
    <x v="873"/>
    <x v="258"/>
    <s v="C53488"/>
    <x v="6"/>
    <n v="3"/>
    <n v="136.84"/>
    <s v="448 Main St"/>
    <x v="4"/>
    <x v="3"/>
    <s v="TRK27365050"/>
    <s v="3"/>
    <x v="0"/>
    <s v="Facebook"/>
    <n v="410.52"/>
  </r>
  <r>
    <x v="874"/>
    <x v="150"/>
    <s v="C92180"/>
    <x v="3"/>
    <n v="2"/>
    <n v="488.9"/>
    <s v="632 Main St"/>
    <x v="4"/>
    <x v="3"/>
    <s v="TRK93315929"/>
    <s v="7"/>
    <x v="1"/>
    <s v="Facebook"/>
    <n v="977.8"/>
  </r>
  <r>
    <x v="875"/>
    <x v="567"/>
    <s v="C25918"/>
    <x v="5"/>
    <n v="5"/>
    <n v="133.38999999999999"/>
    <s v="203 Main St"/>
    <x v="2"/>
    <x v="3"/>
    <s v="TRK66473392"/>
    <s v="6"/>
    <x v="1"/>
    <s v="Referral"/>
    <n v="666.95"/>
  </r>
  <r>
    <x v="876"/>
    <x v="410"/>
    <s v="C90363"/>
    <x v="3"/>
    <n v="5"/>
    <n v="608.91"/>
    <s v="200 Main St"/>
    <x v="3"/>
    <x v="4"/>
    <s v="TRK21534173"/>
    <s v="6"/>
    <x v="0"/>
    <s v="Google"/>
    <n v="3044.55"/>
  </r>
  <r>
    <x v="877"/>
    <x v="568"/>
    <s v="C43867"/>
    <x v="2"/>
    <n v="1"/>
    <n v="524.05999999999995"/>
    <s v="269 Main St"/>
    <x v="0"/>
    <x v="4"/>
    <s v="TRK97319127"/>
    <s v="3"/>
    <x v="1"/>
    <s v="Email"/>
    <n v="524.05999999999995"/>
  </r>
  <r>
    <x v="878"/>
    <x v="569"/>
    <s v="C73873"/>
    <x v="6"/>
    <n v="2"/>
    <n v="330.69"/>
    <s v="393 Main St"/>
    <x v="1"/>
    <x v="1"/>
    <s v="TRK56423132"/>
    <s v="5"/>
    <x v="0"/>
    <s v="Google"/>
    <n v="661.38"/>
  </r>
  <r>
    <x v="879"/>
    <x v="428"/>
    <s v="C56622"/>
    <x v="1"/>
    <n v="2"/>
    <n v="547.66999999999996"/>
    <s v="932 Main St"/>
    <x v="3"/>
    <x v="0"/>
    <s v="TRK86373987"/>
    <s v="3"/>
    <x v="2"/>
    <s v="Instagram"/>
    <n v="1095.3399999999999"/>
  </r>
  <r>
    <x v="880"/>
    <x v="495"/>
    <s v="C85074"/>
    <x v="5"/>
    <n v="4"/>
    <n v="233.7"/>
    <s v="506 Main St"/>
    <x v="1"/>
    <x v="0"/>
    <s v="TRK63133878"/>
    <s v="8"/>
    <x v="0"/>
    <s v="Facebook"/>
    <n v="934.8"/>
  </r>
  <r>
    <x v="881"/>
    <x v="570"/>
    <s v="C59579"/>
    <x v="2"/>
    <n v="2"/>
    <n v="448.85"/>
    <s v="386 Main St"/>
    <x v="2"/>
    <x v="4"/>
    <s v="TRK48000034"/>
    <s v="6"/>
    <x v="2"/>
    <s v="Instagram"/>
    <n v="897.7"/>
  </r>
  <r>
    <x v="882"/>
    <x v="164"/>
    <s v="C43335"/>
    <x v="1"/>
    <n v="2"/>
    <n v="274.12"/>
    <s v="533 Main St"/>
    <x v="4"/>
    <x v="3"/>
    <s v="TRK91848650"/>
    <s v="6"/>
    <x v="1"/>
    <s v="Referral"/>
    <n v="548.24"/>
  </r>
  <r>
    <x v="883"/>
    <x v="557"/>
    <s v="C43595"/>
    <x v="4"/>
    <n v="5"/>
    <n v="561.48"/>
    <s v="451 Main St"/>
    <x v="1"/>
    <x v="3"/>
    <s v="TRK25317348"/>
    <s v="9"/>
    <x v="1"/>
    <s v="Facebook"/>
    <n v="2807.4"/>
  </r>
  <r>
    <x v="884"/>
    <x v="571"/>
    <s v="C71471"/>
    <x v="3"/>
    <n v="1"/>
    <n v="595.54"/>
    <s v="817 Main St"/>
    <x v="3"/>
    <x v="0"/>
    <s v="TRK52137079"/>
    <s v="4"/>
    <x v="2"/>
    <s v="Instagram"/>
    <n v="595.54"/>
  </r>
  <r>
    <x v="885"/>
    <x v="158"/>
    <s v="C61090"/>
    <x v="5"/>
    <n v="4"/>
    <n v="515.59"/>
    <s v="387 Main St"/>
    <x v="2"/>
    <x v="0"/>
    <s v="TRK36388962"/>
    <s v="7"/>
    <x v="1"/>
    <s v="Google"/>
    <n v="2062.36"/>
  </r>
  <r>
    <x v="886"/>
    <x v="385"/>
    <s v="C29620"/>
    <x v="1"/>
    <n v="1"/>
    <n v="460.13"/>
    <s v="792 Main St"/>
    <x v="2"/>
    <x v="2"/>
    <s v="TRK22046456"/>
    <s v="1"/>
    <x v="2"/>
    <s v="Google"/>
    <n v="460.13"/>
  </r>
  <r>
    <x v="887"/>
    <x v="36"/>
    <s v="C67932"/>
    <x v="3"/>
    <n v="3"/>
    <n v="171.66"/>
    <s v="857 Main St"/>
    <x v="0"/>
    <x v="3"/>
    <s v="TRK88547534"/>
    <s v="7"/>
    <x v="2"/>
    <s v="Google"/>
    <n v="514.98"/>
  </r>
  <r>
    <x v="888"/>
    <x v="572"/>
    <s v="C14427"/>
    <x v="5"/>
    <n v="2"/>
    <n v="266.95"/>
    <s v="833 Main St"/>
    <x v="2"/>
    <x v="4"/>
    <s v="TRK58024529"/>
    <s v="3"/>
    <x v="2"/>
    <s v="Instagram"/>
    <n v="533.9"/>
  </r>
  <r>
    <x v="889"/>
    <x v="245"/>
    <s v="C36725"/>
    <x v="0"/>
    <n v="5"/>
    <n v="650.72"/>
    <s v="350 Main St"/>
    <x v="2"/>
    <x v="1"/>
    <s v="TRK16808790"/>
    <s v="8"/>
    <x v="3"/>
    <s v="Email"/>
    <n v="3253.6"/>
  </r>
  <r>
    <x v="890"/>
    <x v="178"/>
    <s v="C51921"/>
    <x v="5"/>
    <n v="3"/>
    <n v="439.53"/>
    <s v="943 Main St"/>
    <x v="0"/>
    <x v="4"/>
    <s v="TRK85741716"/>
    <s v="5"/>
    <x v="2"/>
    <s v="Google"/>
    <n v="1318.59"/>
  </r>
  <r>
    <x v="891"/>
    <x v="433"/>
    <s v="C36534"/>
    <x v="0"/>
    <n v="3"/>
    <n v="654.54"/>
    <s v="918 Main St"/>
    <x v="4"/>
    <x v="2"/>
    <s v="TRK38952138"/>
    <s v="7"/>
    <x v="0"/>
    <s v="Referral"/>
    <n v="1963.62"/>
  </r>
  <r>
    <x v="892"/>
    <x v="573"/>
    <s v="C72043"/>
    <x v="6"/>
    <n v="1"/>
    <n v="394.53"/>
    <s v="480 Main St"/>
    <x v="4"/>
    <x v="0"/>
    <s v="TRK40896408"/>
    <s v="2"/>
    <x v="1"/>
    <s v="Referral"/>
    <n v="394.53"/>
  </r>
  <r>
    <x v="893"/>
    <x v="574"/>
    <s v="C99533"/>
    <x v="0"/>
    <n v="1"/>
    <n v="678.01"/>
    <s v="696 Main St"/>
    <x v="4"/>
    <x v="4"/>
    <s v="TRK55701253"/>
    <s v="4"/>
    <x v="1"/>
    <s v="Referral"/>
    <n v="678.01"/>
  </r>
  <r>
    <x v="894"/>
    <x v="575"/>
    <s v="C90852"/>
    <x v="2"/>
    <n v="3"/>
    <n v="575.01"/>
    <s v="852 Main St"/>
    <x v="1"/>
    <x v="1"/>
    <s v="TRK37551831"/>
    <s v="8"/>
    <x v="3"/>
    <s v="Instagram"/>
    <n v="1725.03"/>
  </r>
  <r>
    <x v="895"/>
    <x v="576"/>
    <s v="C81882"/>
    <x v="3"/>
    <n v="3"/>
    <n v="154.63999999999999"/>
    <s v="832 Main St"/>
    <x v="0"/>
    <x v="4"/>
    <s v="TRK62371264"/>
    <s v="6"/>
    <x v="3"/>
    <s v="Facebook"/>
    <n v="463.92"/>
  </r>
  <r>
    <x v="896"/>
    <x v="266"/>
    <s v="C85466"/>
    <x v="6"/>
    <n v="3"/>
    <n v="147.29"/>
    <s v="102 Main St"/>
    <x v="3"/>
    <x v="0"/>
    <s v="TRK66764177"/>
    <s v="3"/>
    <x v="1"/>
    <s v="Google"/>
    <n v="441.87"/>
  </r>
  <r>
    <x v="897"/>
    <x v="459"/>
    <s v="C87995"/>
    <x v="5"/>
    <n v="4"/>
    <n v="481.48"/>
    <s v="358 Main St"/>
    <x v="3"/>
    <x v="3"/>
    <s v="TRK38730545"/>
    <s v="5"/>
    <x v="0"/>
    <s v="Instagram"/>
    <n v="1925.92"/>
  </r>
  <r>
    <x v="898"/>
    <x v="376"/>
    <s v="C44619"/>
    <x v="0"/>
    <n v="3"/>
    <n v="158.37"/>
    <s v="742 Main St"/>
    <x v="4"/>
    <x v="0"/>
    <s v="TRK66662528"/>
    <s v="6"/>
    <x v="2"/>
    <s v="Referral"/>
    <n v="475.11"/>
  </r>
  <r>
    <x v="899"/>
    <x v="577"/>
    <s v="C99904"/>
    <x v="4"/>
    <n v="2"/>
    <n v="323.37"/>
    <s v="552 Main St"/>
    <x v="1"/>
    <x v="4"/>
    <s v="TRK83843411"/>
    <s v="3"/>
    <x v="0"/>
    <s v="Instagram"/>
    <n v="646.74"/>
  </r>
  <r>
    <x v="900"/>
    <x v="492"/>
    <s v="C52342"/>
    <x v="5"/>
    <n v="5"/>
    <n v="73.83"/>
    <s v="991 Main St"/>
    <x v="0"/>
    <x v="4"/>
    <s v="TRK67342586"/>
    <s v="9"/>
    <x v="2"/>
    <s v="Instagram"/>
    <n v="369.15"/>
  </r>
  <r>
    <x v="901"/>
    <x v="578"/>
    <s v="C44277"/>
    <x v="2"/>
    <n v="1"/>
    <n v="458.63"/>
    <s v="839 Main St"/>
    <x v="0"/>
    <x v="2"/>
    <s v="TRK79321479"/>
    <s v="4"/>
    <x v="3"/>
    <s v="Referral"/>
    <n v="458.63"/>
  </r>
  <r>
    <x v="902"/>
    <x v="579"/>
    <s v="C61162"/>
    <x v="0"/>
    <n v="4"/>
    <n v="180.25"/>
    <s v="813 Main St"/>
    <x v="0"/>
    <x v="1"/>
    <s v="TRK76712124"/>
    <s v="7"/>
    <x v="2"/>
    <s v="Facebook"/>
    <n v="721"/>
  </r>
  <r>
    <x v="903"/>
    <x v="209"/>
    <s v="C80868"/>
    <x v="0"/>
    <n v="3"/>
    <n v="473.49"/>
    <s v="205 Main St"/>
    <x v="2"/>
    <x v="4"/>
    <s v="TRK56186636"/>
    <s v="7"/>
    <x v="2"/>
    <s v="Email"/>
    <n v="1420.47"/>
  </r>
  <r>
    <x v="904"/>
    <x v="580"/>
    <s v="C16693"/>
    <x v="0"/>
    <n v="4"/>
    <n v="237.43"/>
    <s v="262 Main St"/>
    <x v="4"/>
    <x v="1"/>
    <s v="TRK41146508"/>
    <s v="8"/>
    <x v="3"/>
    <s v="Referral"/>
    <n v="949.72"/>
  </r>
  <r>
    <x v="905"/>
    <x v="581"/>
    <s v="C67818"/>
    <x v="5"/>
    <n v="1"/>
    <n v="442.39"/>
    <s v="101 Main St"/>
    <x v="3"/>
    <x v="4"/>
    <s v="TRK81978113"/>
    <s v="6"/>
    <x v="1"/>
    <s v="Facebook"/>
    <n v="442.39"/>
  </r>
  <r>
    <x v="906"/>
    <x v="459"/>
    <s v="C49938"/>
    <x v="0"/>
    <n v="1"/>
    <n v="62.12"/>
    <s v="141 Main St"/>
    <x v="4"/>
    <x v="2"/>
    <s v="TRK80175572"/>
    <s v="2"/>
    <x v="2"/>
    <s v="Email"/>
    <n v="62.12"/>
  </r>
  <r>
    <x v="907"/>
    <x v="548"/>
    <s v="C90898"/>
    <x v="6"/>
    <n v="5"/>
    <n v="298.39"/>
    <s v="583 Main St"/>
    <x v="3"/>
    <x v="1"/>
    <s v="TRK52935170"/>
    <s v="7"/>
    <x v="3"/>
    <s v="Referral"/>
    <n v="1491.95"/>
  </r>
  <r>
    <x v="908"/>
    <x v="138"/>
    <s v="C35117"/>
    <x v="6"/>
    <n v="2"/>
    <n v="697.93"/>
    <s v="332 Main St"/>
    <x v="2"/>
    <x v="1"/>
    <s v="TRK27155709"/>
    <s v="2"/>
    <x v="0"/>
    <s v="Google"/>
    <n v="1395.86"/>
  </r>
  <r>
    <x v="909"/>
    <x v="582"/>
    <s v="C60203"/>
    <x v="2"/>
    <n v="2"/>
    <n v="291.85000000000002"/>
    <s v="569 Main St"/>
    <x v="4"/>
    <x v="0"/>
    <s v="TRK76525279"/>
    <s v="5"/>
    <x v="1"/>
    <s v="Instagram"/>
    <n v="583.70000000000005"/>
  </r>
  <r>
    <x v="910"/>
    <x v="583"/>
    <s v="C36174"/>
    <x v="4"/>
    <n v="3"/>
    <n v="308.98"/>
    <s v="348 Main St"/>
    <x v="4"/>
    <x v="3"/>
    <s v="TRK26397548"/>
    <s v="3"/>
    <x v="0"/>
    <s v="Instagram"/>
    <n v="926.94"/>
  </r>
  <r>
    <x v="911"/>
    <x v="584"/>
    <s v="C80872"/>
    <x v="6"/>
    <n v="5"/>
    <n v="396.86"/>
    <s v="593 Main St"/>
    <x v="4"/>
    <x v="1"/>
    <s v="TRK43967487"/>
    <s v="9"/>
    <x v="0"/>
    <s v="Instagram"/>
    <n v="1984.3"/>
  </r>
  <r>
    <x v="912"/>
    <x v="585"/>
    <s v="C67604"/>
    <x v="6"/>
    <n v="2"/>
    <n v="139.69"/>
    <s v="318 Main St"/>
    <x v="1"/>
    <x v="2"/>
    <s v="TRK85545920"/>
    <s v="7"/>
    <x v="1"/>
    <s v="Email"/>
    <n v="279.38"/>
  </r>
  <r>
    <x v="913"/>
    <x v="223"/>
    <s v="C45599"/>
    <x v="4"/>
    <n v="5"/>
    <n v="475.95"/>
    <s v="505 Main St"/>
    <x v="2"/>
    <x v="2"/>
    <s v="TRK62277685"/>
    <s v="8"/>
    <x v="3"/>
    <s v="Facebook"/>
    <n v="2379.75"/>
  </r>
  <r>
    <x v="914"/>
    <x v="441"/>
    <s v="C70352"/>
    <x v="6"/>
    <n v="1"/>
    <n v="626.6"/>
    <s v="955 Main St"/>
    <x v="3"/>
    <x v="2"/>
    <s v="TRK51589589"/>
    <s v="4"/>
    <x v="3"/>
    <s v="Facebook"/>
    <n v="626.6"/>
  </r>
  <r>
    <x v="915"/>
    <x v="586"/>
    <s v="C20643"/>
    <x v="5"/>
    <n v="4"/>
    <n v="502.99"/>
    <s v="939 Main St"/>
    <x v="0"/>
    <x v="0"/>
    <s v="TRK30736692"/>
    <s v="4"/>
    <x v="3"/>
    <s v="Referral"/>
    <n v="2011.96"/>
  </r>
  <r>
    <x v="916"/>
    <x v="587"/>
    <s v="C35669"/>
    <x v="4"/>
    <n v="5"/>
    <n v="578.83000000000004"/>
    <s v="165 Main St"/>
    <x v="4"/>
    <x v="2"/>
    <s v="TRK13928455"/>
    <s v="6"/>
    <x v="2"/>
    <s v="Referral"/>
    <n v="2894.15"/>
  </r>
  <r>
    <x v="917"/>
    <x v="588"/>
    <s v="C65524"/>
    <x v="5"/>
    <n v="5"/>
    <n v="383.82"/>
    <s v="836 Main St"/>
    <x v="2"/>
    <x v="2"/>
    <s v="TRK19315310"/>
    <s v="7"/>
    <x v="1"/>
    <s v="Google"/>
    <n v="1919.1"/>
  </r>
  <r>
    <x v="918"/>
    <x v="53"/>
    <s v="C74359"/>
    <x v="5"/>
    <n v="5"/>
    <n v="368.25"/>
    <s v="706 Main St"/>
    <x v="1"/>
    <x v="3"/>
    <s v="TRK18250450"/>
    <s v="5"/>
    <x v="2"/>
    <s v="Instagram"/>
    <n v="1841.25"/>
  </r>
  <r>
    <x v="919"/>
    <x v="492"/>
    <s v="C92086"/>
    <x v="4"/>
    <n v="2"/>
    <n v="374.6"/>
    <s v="187 Main St"/>
    <x v="1"/>
    <x v="0"/>
    <s v="TRK23357668"/>
    <s v="3"/>
    <x v="1"/>
    <s v="Referral"/>
    <n v="749.2"/>
  </r>
  <r>
    <x v="920"/>
    <x v="495"/>
    <s v="C26137"/>
    <x v="2"/>
    <n v="2"/>
    <n v="428.09"/>
    <s v="978 Main St"/>
    <x v="2"/>
    <x v="2"/>
    <s v="TRK98110407"/>
    <s v="6"/>
    <x v="2"/>
    <s v="Instagram"/>
    <n v="856.18"/>
  </r>
  <r>
    <x v="921"/>
    <x v="528"/>
    <s v="C90573"/>
    <x v="2"/>
    <n v="1"/>
    <n v="438.93"/>
    <s v="144 Main St"/>
    <x v="3"/>
    <x v="1"/>
    <s v="TRK90075720"/>
    <s v="3"/>
    <x v="0"/>
    <s v="Referral"/>
    <n v="438.93"/>
  </r>
  <r>
    <x v="922"/>
    <x v="589"/>
    <s v="C81857"/>
    <x v="6"/>
    <n v="2"/>
    <n v="563.82000000000005"/>
    <s v="487 Main St"/>
    <x v="2"/>
    <x v="4"/>
    <s v="TRK79737732"/>
    <s v="3"/>
    <x v="2"/>
    <s v="Instagram"/>
    <n v="1127.6400000000001"/>
  </r>
  <r>
    <x v="923"/>
    <x v="91"/>
    <s v="C91582"/>
    <x v="4"/>
    <n v="3"/>
    <n v="649.92999999999995"/>
    <s v="836 Main St"/>
    <x v="2"/>
    <x v="4"/>
    <s v="TRK99938245"/>
    <s v="7"/>
    <x v="3"/>
    <s v="Facebook"/>
    <n v="1949.79"/>
  </r>
  <r>
    <x v="924"/>
    <x v="29"/>
    <s v="C81319"/>
    <x v="4"/>
    <n v="5"/>
    <n v="268.43"/>
    <s v="991 Main St"/>
    <x v="4"/>
    <x v="2"/>
    <s v="TRK55330558"/>
    <s v="5"/>
    <x v="0"/>
    <s v="Email"/>
    <n v="1342.15"/>
  </r>
  <r>
    <x v="925"/>
    <x v="590"/>
    <s v="C78500"/>
    <x v="0"/>
    <n v="5"/>
    <n v="502.47"/>
    <s v="304 Main St"/>
    <x v="1"/>
    <x v="0"/>
    <s v="TRK97460884"/>
    <s v="10"/>
    <x v="3"/>
    <s v="Email"/>
    <n v="2512.35"/>
  </r>
  <r>
    <x v="926"/>
    <x v="591"/>
    <s v="C67533"/>
    <x v="6"/>
    <n v="1"/>
    <n v="26.95"/>
    <s v="672 Main St"/>
    <x v="4"/>
    <x v="3"/>
    <s v="TRK14566395"/>
    <s v="1"/>
    <x v="3"/>
    <s v="Email"/>
    <n v="26.95"/>
  </r>
  <r>
    <x v="927"/>
    <x v="592"/>
    <s v="C35566"/>
    <x v="5"/>
    <n v="4"/>
    <n v="64.69"/>
    <s v="638 Main St"/>
    <x v="0"/>
    <x v="0"/>
    <s v="TRK10003020"/>
    <s v="7"/>
    <x v="3"/>
    <s v="Google"/>
    <n v="258.76"/>
  </r>
  <r>
    <x v="928"/>
    <x v="593"/>
    <s v="C77166"/>
    <x v="5"/>
    <n v="3"/>
    <n v="247.11"/>
    <s v="821 Main St"/>
    <x v="0"/>
    <x v="2"/>
    <s v="TRK18896595"/>
    <s v="3"/>
    <x v="3"/>
    <s v="Referral"/>
    <n v="741.33"/>
  </r>
  <r>
    <x v="929"/>
    <x v="594"/>
    <s v="C67936"/>
    <x v="2"/>
    <n v="2"/>
    <n v="536.25"/>
    <s v="553 Main St"/>
    <x v="0"/>
    <x v="4"/>
    <s v="TRK71803414"/>
    <s v="3"/>
    <x v="2"/>
    <s v="Email"/>
    <n v="1072.5"/>
  </r>
  <r>
    <x v="930"/>
    <x v="393"/>
    <s v="C59554"/>
    <x v="1"/>
    <n v="2"/>
    <n v="456.04"/>
    <s v="382 Main St"/>
    <x v="0"/>
    <x v="2"/>
    <s v="TRK28182447"/>
    <s v="4"/>
    <x v="1"/>
    <s v="Email"/>
    <n v="912.08"/>
  </r>
  <r>
    <x v="931"/>
    <x v="543"/>
    <s v="C14005"/>
    <x v="4"/>
    <n v="2"/>
    <n v="40.229999999999997"/>
    <s v="623 Main St"/>
    <x v="2"/>
    <x v="1"/>
    <s v="TRK87567926"/>
    <s v="4"/>
    <x v="0"/>
    <s v="Google"/>
    <n v="80.459999999999994"/>
  </r>
  <r>
    <x v="932"/>
    <x v="465"/>
    <s v="C26118"/>
    <x v="5"/>
    <n v="2"/>
    <n v="72.39"/>
    <s v="168 Main St"/>
    <x v="1"/>
    <x v="3"/>
    <s v="TRK15334251"/>
    <s v="7"/>
    <x v="3"/>
    <s v="Instagram"/>
    <n v="144.78"/>
  </r>
  <r>
    <x v="933"/>
    <x v="595"/>
    <s v="C59685"/>
    <x v="0"/>
    <n v="2"/>
    <n v="394.16"/>
    <s v="255 Main St"/>
    <x v="1"/>
    <x v="0"/>
    <s v="TRK43718093"/>
    <s v="2"/>
    <x v="2"/>
    <s v="Referral"/>
    <n v="788.32"/>
  </r>
  <r>
    <x v="934"/>
    <x v="565"/>
    <s v="C40304"/>
    <x v="5"/>
    <n v="4"/>
    <n v="119.84"/>
    <s v="692 Main St"/>
    <x v="3"/>
    <x v="0"/>
    <s v="TRK85790948"/>
    <s v="8"/>
    <x v="1"/>
    <s v="Referral"/>
    <n v="479.36"/>
  </r>
  <r>
    <x v="935"/>
    <x v="254"/>
    <s v="C39593"/>
    <x v="1"/>
    <n v="3"/>
    <n v="692.71"/>
    <s v="398 Main St"/>
    <x v="2"/>
    <x v="3"/>
    <s v="TRK62405253"/>
    <s v="3"/>
    <x v="1"/>
    <s v="Instagram"/>
    <n v="2078.13"/>
  </r>
  <r>
    <x v="936"/>
    <x v="596"/>
    <s v="C50612"/>
    <x v="3"/>
    <n v="4"/>
    <n v="56.66"/>
    <s v="737 Main St"/>
    <x v="1"/>
    <x v="3"/>
    <s v="TRK44140968"/>
    <s v="4"/>
    <x v="0"/>
    <s v="Instagram"/>
    <n v="226.64"/>
  </r>
  <r>
    <x v="937"/>
    <x v="462"/>
    <s v="C39791"/>
    <x v="3"/>
    <n v="2"/>
    <n v="298.52999999999997"/>
    <s v="536 Main St"/>
    <x v="0"/>
    <x v="1"/>
    <s v="TRK46221436"/>
    <s v="5"/>
    <x v="3"/>
    <s v="Email"/>
    <n v="597.05999999999995"/>
  </r>
  <r>
    <x v="938"/>
    <x v="219"/>
    <s v="C39017"/>
    <x v="3"/>
    <n v="3"/>
    <n v="331.46"/>
    <s v="696 Main St"/>
    <x v="2"/>
    <x v="1"/>
    <s v="TRK91155214"/>
    <s v="6"/>
    <x v="3"/>
    <s v="Referral"/>
    <n v="994.38"/>
  </r>
  <r>
    <x v="939"/>
    <x v="597"/>
    <s v="C48510"/>
    <x v="5"/>
    <n v="2"/>
    <n v="521.4"/>
    <s v="212 Main St"/>
    <x v="4"/>
    <x v="3"/>
    <s v="TRK53152886"/>
    <s v="7"/>
    <x v="0"/>
    <s v="Instagram"/>
    <n v="1042.8"/>
  </r>
  <r>
    <x v="940"/>
    <x v="14"/>
    <s v="C74003"/>
    <x v="4"/>
    <n v="4"/>
    <n v="305.32"/>
    <s v="679 Main St"/>
    <x v="1"/>
    <x v="1"/>
    <s v="TRK91525779"/>
    <s v="4"/>
    <x v="0"/>
    <s v="Google"/>
    <n v="1221.28"/>
  </r>
  <r>
    <x v="941"/>
    <x v="15"/>
    <s v="C91155"/>
    <x v="4"/>
    <n v="5"/>
    <n v="111.7"/>
    <s v="599 Main St"/>
    <x v="2"/>
    <x v="1"/>
    <s v="TRK82162952"/>
    <s v="9"/>
    <x v="1"/>
    <s v="Email"/>
    <n v="558.5"/>
  </r>
  <r>
    <x v="942"/>
    <x v="372"/>
    <s v="C17591"/>
    <x v="2"/>
    <n v="1"/>
    <n v="479.76"/>
    <s v="882 Main St"/>
    <x v="2"/>
    <x v="4"/>
    <s v="TRK56070470"/>
    <s v="1"/>
    <x v="2"/>
    <s v="Email"/>
    <n v="479.76"/>
  </r>
  <r>
    <x v="943"/>
    <x v="140"/>
    <s v="C43330"/>
    <x v="0"/>
    <n v="3"/>
    <n v="193.49"/>
    <s v="355 Main St"/>
    <x v="3"/>
    <x v="2"/>
    <s v="TRK71594838"/>
    <s v="6"/>
    <x v="1"/>
    <s v="Facebook"/>
    <n v="580.47"/>
  </r>
  <r>
    <x v="944"/>
    <x v="393"/>
    <s v="C32687"/>
    <x v="5"/>
    <n v="2"/>
    <n v="426.22"/>
    <s v="448 Main St"/>
    <x v="1"/>
    <x v="3"/>
    <s v="TRK98284560"/>
    <s v="7"/>
    <x v="3"/>
    <s v="Google"/>
    <n v="852.44"/>
  </r>
  <r>
    <x v="945"/>
    <x v="38"/>
    <s v="C79722"/>
    <x v="2"/>
    <n v="5"/>
    <n v="276.44"/>
    <s v="619 Main St"/>
    <x v="3"/>
    <x v="0"/>
    <s v="TRK29976438"/>
    <s v="10"/>
    <x v="1"/>
    <s v="Referral"/>
    <n v="1382.2"/>
  </r>
  <r>
    <x v="946"/>
    <x v="598"/>
    <s v="C65021"/>
    <x v="1"/>
    <n v="2"/>
    <n v="404.96"/>
    <s v="546 Main St"/>
    <x v="4"/>
    <x v="0"/>
    <s v="TRK20626179"/>
    <s v="4"/>
    <x v="0"/>
    <s v="Email"/>
    <n v="809.92"/>
  </r>
  <r>
    <x v="947"/>
    <x v="599"/>
    <s v="C85520"/>
    <x v="1"/>
    <n v="4"/>
    <n v="465.66"/>
    <s v="119 Main St"/>
    <x v="1"/>
    <x v="2"/>
    <s v="TRK65994177"/>
    <s v="9"/>
    <x v="1"/>
    <s v="Email"/>
    <n v="1862.64"/>
  </r>
  <r>
    <x v="948"/>
    <x v="587"/>
    <s v="C94569"/>
    <x v="1"/>
    <n v="2"/>
    <n v="594.07000000000005"/>
    <s v="739 Main St"/>
    <x v="3"/>
    <x v="1"/>
    <s v="TRK79269291"/>
    <s v="2"/>
    <x v="2"/>
    <s v="Google"/>
    <n v="1188.1400000000001"/>
  </r>
  <r>
    <x v="949"/>
    <x v="576"/>
    <s v="C55778"/>
    <x v="6"/>
    <n v="5"/>
    <n v="110.38"/>
    <s v="319 Main St"/>
    <x v="4"/>
    <x v="4"/>
    <s v="TRK93797108"/>
    <s v="10"/>
    <x v="2"/>
    <s v="Referral"/>
    <n v="551.9"/>
  </r>
  <r>
    <x v="950"/>
    <x v="583"/>
    <s v="C19722"/>
    <x v="5"/>
    <n v="1"/>
    <n v="596.24"/>
    <s v="891 Main St"/>
    <x v="2"/>
    <x v="2"/>
    <s v="TRK78094361"/>
    <s v="4"/>
    <x v="1"/>
    <s v="Instagram"/>
    <n v="596.24"/>
  </r>
  <r>
    <x v="951"/>
    <x v="319"/>
    <s v="C74928"/>
    <x v="4"/>
    <n v="2"/>
    <n v="306.24"/>
    <s v="589 Main St"/>
    <x v="1"/>
    <x v="2"/>
    <s v="TRK39845914"/>
    <s v="4"/>
    <x v="1"/>
    <s v="Email"/>
    <n v="612.48"/>
  </r>
  <r>
    <x v="952"/>
    <x v="37"/>
    <s v="C49111"/>
    <x v="0"/>
    <n v="3"/>
    <n v="503.39"/>
    <s v="225 Main St"/>
    <x v="1"/>
    <x v="4"/>
    <s v="TRK45303393"/>
    <s v="5"/>
    <x v="2"/>
    <s v="Facebook"/>
    <n v="1510.17"/>
  </r>
  <r>
    <x v="953"/>
    <x v="600"/>
    <s v="C43721"/>
    <x v="1"/>
    <n v="1"/>
    <n v="131.61000000000001"/>
    <s v="971 Main St"/>
    <x v="4"/>
    <x v="0"/>
    <s v="TRK89392104"/>
    <s v="2"/>
    <x v="1"/>
    <s v="Facebook"/>
    <n v="131.61000000000001"/>
  </r>
  <r>
    <x v="954"/>
    <x v="601"/>
    <s v="C68609"/>
    <x v="3"/>
    <n v="3"/>
    <n v="443.44"/>
    <s v="240 Main St"/>
    <x v="3"/>
    <x v="0"/>
    <s v="TRK58273778"/>
    <s v="3"/>
    <x v="1"/>
    <s v="Google"/>
    <n v="1330.32"/>
  </r>
  <r>
    <x v="955"/>
    <x v="19"/>
    <s v="C82068"/>
    <x v="3"/>
    <n v="1"/>
    <n v="408.13"/>
    <s v="164 Main St"/>
    <x v="3"/>
    <x v="0"/>
    <s v="TRK25779180"/>
    <s v="3"/>
    <x v="3"/>
    <s v="Instagram"/>
    <n v="408.13"/>
  </r>
  <r>
    <x v="956"/>
    <x v="166"/>
    <s v="C21191"/>
    <x v="1"/>
    <n v="2"/>
    <n v="160.97999999999999"/>
    <s v="381 Main St"/>
    <x v="0"/>
    <x v="3"/>
    <s v="TRK86246309"/>
    <s v="3"/>
    <x v="0"/>
    <s v="Referral"/>
    <n v="321.95999999999998"/>
  </r>
  <r>
    <x v="957"/>
    <x v="602"/>
    <s v="C73575"/>
    <x v="0"/>
    <n v="5"/>
    <n v="643.89"/>
    <s v="851 Main St"/>
    <x v="4"/>
    <x v="2"/>
    <s v="TRK23387612"/>
    <s v="8"/>
    <x v="3"/>
    <s v="Facebook"/>
    <n v="3219.45"/>
  </r>
  <r>
    <x v="958"/>
    <x v="603"/>
    <s v="C82685"/>
    <x v="6"/>
    <n v="3"/>
    <n v="158.66"/>
    <s v="537 Main St"/>
    <x v="3"/>
    <x v="3"/>
    <s v="TRK70184320"/>
    <s v="7"/>
    <x v="3"/>
    <s v="Email"/>
    <n v="475.98"/>
  </r>
  <r>
    <x v="959"/>
    <x v="604"/>
    <s v="C73996"/>
    <x v="2"/>
    <n v="2"/>
    <n v="143.82"/>
    <s v="856 Main St"/>
    <x v="2"/>
    <x v="2"/>
    <s v="TRK74579570"/>
    <s v="6"/>
    <x v="0"/>
    <s v="Instagram"/>
    <n v="287.64"/>
  </r>
  <r>
    <x v="960"/>
    <x v="66"/>
    <s v="C87687"/>
    <x v="5"/>
    <n v="3"/>
    <n v="379.07"/>
    <s v="312 Main St"/>
    <x v="3"/>
    <x v="4"/>
    <s v="TRK60383805"/>
    <s v="3"/>
    <x v="3"/>
    <s v="Google"/>
    <n v="1137.21"/>
  </r>
  <r>
    <x v="961"/>
    <x v="435"/>
    <s v="C55464"/>
    <x v="1"/>
    <n v="1"/>
    <n v="601.36"/>
    <s v="532 Main St"/>
    <x v="1"/>
    <x v="0"/>
    <s v="TRK81178598"/>
    <s v="1"/>
    <x v="2"/>
    <s v="Facebook"/>
    <n v="601.36"/>
  </r>
  <r>
    <x v="962"/>
    <x v="605"/>
    <s v="C12459"/>
    <x v="1"/>
    <n v="2"/>
    <n v="142.08000000000001"/>
    <s v="838 Main St"/>
    <x v="3"/>
    <x v="3"/>
    <s v="TRK30674085"/>
    <s v="4"/>
    <x v="0"/>
    <s v="Referral"/>
    <n v="284.16000000000003"/>
  </r>
  <r>
    <x v="963"/>
    <x v="606"/>
    <s v="C88075"/>
    <x v="3"/>
    <n v="5"/>
    <n v="530.34"/>
    <s v="970 Main St"/>
    <x v="1"/>
    <x v="0"/>
    <s v="TRK42832976"/>
    <s v="9"/>
    <x v="1"/>
    <s v="Google"/>
    <n v="2651.7"/>
  </r>
  <r>
    <x v="964"/>
    <x v="38"/>
    <s v="C18583"/>
    <x v="1"/>
    <n v="5"/>
    <n v="364.42"/>
    <s v="778 Main St"/>
    <x v="2"/>
    <x v="1"/>
    <s v="TRK43084595"/>
    <s v="10"/>
    <x v="0"/>
    <s v="Referral"/>
    <n v="1822.1"/>
  </r>
  <r>
    <x v="965"/>
    <x v="607"/>
    <s v="C70412"/>
    <x v="5"/>
    <n v="4"/>
    <n v="578.28"/>
    <s v="791 Main St"/>
    <x v="3"/>
    <x v="1"/>
    <s v="TRK22192783"/>
    <s v="5"/>
    <x v="1"/>
    <s v="Email"/>
    <n v="2313.12"/>
  </r>
  <r>
    <x v="966"/>
    <x v="608"/>
    <s v="C58503"/>
    <x v="0"/>
    <n v="5"/>
    <n v="280.52"/>
    <s v="290 Main St"/>
    <x v="2"/>
    <x v="1"/>
    <s v="TRK12981657"/>
    <s v="7"/>
    <x v="3"/>
    <s v="Facebook"/>
    <n v="1402.6"/>
  </r>
  <r>
    <x v="967"/>
    <x v="138"/>
    <s v="C52879"/>
    <x v="2"/>
    <n v="5"/>
    <n v="638.91999999999996"/>
    <s v="502 Main St"/>
    <x v="2"/>
    <x v="2"/>
    <s v="TRK67403284"/>
    <s v="5"/>
    <x v="1"/>
    <s v="Google"/>
    <n v="3194.6"/>
  </r>
  <r>
    <x v="968"/>
    <x v="458"/>
    <s v="C67870"/>
    <x v="0"/>
    <n v="4"/>
    <n v="412.2"/>
    <s v="664 Main St"/>
    <x v="2"/>
    <x v="0"/>
    <s v="TRK72602178"/>
    <s v="6"/>
    <x v="3"/>
    <s v="Referral"/>
    <n v="1648.8"/>
  </r>
  <r>
    <x v="969"/>
    <x v="85"/>
    <s v="C19439"/>
    <x v="6"/>
    <n v="1"/>
    <n v="440.34"/>
    <s v="675 Main St"/>
    <x v="3"/>
    <x v="0"/>
    <s v="TRK25383993"/>
    <s v="2"/>
    <x v="3"/>
    <s v="Facebook"/>
    <n v="440.34"/>
  </r>
  <r>
    <x v="970"/>
    <x v="609"/>
    <s v="C72664"/>
    <x v="6"/>
    <n v="1"/>
    <n v="627.15"/>
    <s v="241 Main St"/>
    <x v="4"/>
    <x v="3"/>
    <s v="TRK86694331"/>
    <s v="5"/>
    <x v="0"/>
    <s v="Instagram"/>
    <n v="627.15"/>
  </r>
  <r>
    <x v="971"/>
    <x v="582"/>
    <s v="C32650"/>
    <x v="0"/>
    <n v="2"/>
    <n v="605.26"/>
    <s v="934 Main St"/>
    <x v="4"/>
    <x v="1"/>
    <s v="TRK66648743"/>
    <s v="4"/>
    <x v="3"/>
    <s v="Referral"/>
    <n v="1210.52"/>
  </r>
  <r>
    <x v="972"/>
    <x v="410"/>
    <s v="C66438"/>
    <x v="5"/>
    <n v="1"/>
    <n v="90.27"/>
    <s v="816 Main St"/>
    <x v="4"/>
    <x v="3"/>
    <s v="TRK32035271"/>
    <s v="5"/>
    <x v="0"/>
    <s v="Facebook"/>
    <n v="90.27"/>
  </r>
  <r>
    <x v="973"/>
    <x v="559"/>
    <s v="C70010"/>
    <x v="6"/>
    <n v="5"/>
    <n v="230.77"/>
    <s v="141 Main St"/>
    <x v="1"/>
    <x v="4"/>
    <s v="TRK50594008"/>
    <s v="10"/>
    <x v="3"/>
    <s v="Referral"/>
    <n v="1153.8499999999999"/>
  </r>
  <r>
    <x v="974"/>
    <x v="610"/>
    <s v="C30722"/>
    <x v="6"/>
    <n v="5"/>
    <n v="266.77999999999997"/>
    <s v="274 Main St"/>
    <x v="3"/>
    <x v="1"/>
    <s v="TRK52088168"/>
    <s v="5"/>
    <x v="2"/>
    <s v="Email"/>
    <n v="1333.9"/>
  </r>
  <r>
    <x v="975"/>
    <x v="419"/>
    <s v="C70529"/>
    <x v="6"/>
    <n v="1"/>
    <n v="105.92"/>
    <s v="974 Main St"/>
    <x v="3"/>
    <x v="2"/>
    <s v="TRK82165408"/>
    <s v="6"/>
    <x v="0"/>
    <s v="Email"/>
    <n v="105.92"/>
  </r>
  <r>
    <x v="976"/>
    <x v="172"/>
    <s v="C18984"/>
    <x v="2"/>
    <n v="3"/>
    <n v="589.29999999999995"/>
    <s v="650 Main St"/>
    <x v="2"/>
    <x v="2"/>
    <s v="TRK49298239"/>
    <s v="6"/>
    <x v="3"/>
    <s v="Referral"/>
    <n v="1767.9"/>
  </r>
  <r>
    <x v="977"/>
    <x v="423"/>
    <s v="C85841"/>
    <x v="3"/>
    <n v="4"/>
    <n v="649.47"/>
    <s v="608 Main St"/>
    <x v="4"/>
    <x v="4"/>
    <s v="TRK99820544"/>
    <s v="8"/>
    <x v="0"/>
    <s v="Google"/>
    <n v="2597.88"/>
  </r>
  <r>
    <x v="978"/>
    <x v="611"/>
    <s v="C41508"/>
    <x v="4"/>
    <n v="4"/>
    <n v="107.49"/>
    <s v="993 Main St"/>
    <x v="4"/>
    <x v="3"/>
    <s v="TRK61047536"/>
    <s v="5"/>
    <x v="2"/>
    <s v="Google"/>
    <n v="429.96"/>
  </r>
  <r>
    <x v="979"/>
    <x v="546"/>
    <s v="C75018"/>
    <x v="0"/>
    <n v="3"/>
    <n v="669.06"/>
    <s v="299 Main St"/>
    <x v="4"/>
    <x v="3"/>
    <s v="TRK51794806"/>
    <s v="7"/>
    <x v="0"/>
    <s v="Facebook"/>
    <n v="2007.18"/>
  </r>
  <r>
    <x v="980"/>
    <x v="612"/>
    <s v="C84320"/>
    <x v="3"/>
    <n v="3"/>
    <n v="69.650000000000006"/>
    <s v="107 Main St"/>
    <x v="4"/>
    <x v="3"/>
    <s v="TRK81093218"/>
    <s v="7"/>
    <x v="3"/>
    <s v="Instagram"/>
    <n v="208.95"/>
  </r>
  <r>
    <x v="981"/>
    <x v="371"/>
    <s v="C12609"/>
    <x v="1"/>
    <n v="4"/>
    <n v="136.83000000000001"/>
    <s v="490 Main St"/>
    <x v="0"/>
    <x v="4"/>
    <s v="TRK56379337"/>
    <s v="8"/>
    <x v="0"/>
    <s v="Email"/>
    <n v="547.32000000000005"/>
  </r>
  <r>
    <x v="982"/>
    <x v="605"/>
    <s v="C64935"/>
    <x v="0"/>
    <n v="1"/>
    <n v="304.11"/>
    <s v="707 Main St"/>
    <x v="3"/>
    <x v="0"/>
    <s v="TRK42969065"/>
    <s v="2"/>
    <x v="0"/>
    <s v="Referral"/>
    <n v="304.11"/>
  </r>
  <r>
    <x v="983"/>
    <x v="167"/>
    <s v="C67528"/>
    <x v="0"/>
    <n v="4"/>
    <n v="296.27999999999997"/>
    <s v="110 Main St"/>
    <x v="3"/>
    <x v="0"/>
    <s v="TRK60865210"/>
    <s v="5"/>
    <x v="0"/>
    <s v="Email"/>
    <n v="1185.1199999999999"/>
  </r>
  <r>
    <x v="984"/>
    <x v="252"/>
    <s v="C44176"/>
    <x v="6"/>
    <n v="1"/>
    <n v="77.64"/>
    <s v="706 Main St"/>
    <x v="2"/>
    <x v="0"/>
    <s v="TRK68704764"/>
    <s v="1"/>
    <x v="1"/>
    <s v="Facebook"/>
    <n v="77.64"/>
  </r>
  <r>
    <x v="985"/>
    <x v="351"/>
    <s v="C92788"/>
    <x v="6"/>
    <n v="1"/>
    <n v="243.71"/>
    <s v="948 Main St"/>
    <x v="3"/>
    <x v="3"/>
    <s v="TRK83835361"/>
    <s v="6"/>
    <x v="0"/>
    <s v="Google"/>
    <n v="243.71"/>
  </r>
  <r>
    <x v="986"/>
    <x v="609"/>
    <s v="C69213"/>
    <x v="5"/>
    <n v="4"/>
    <n v="644.96"/>
    <s v="533 Main St"/>
    <x v="2"/>
    <x v="4"/>
    <s v="TRK67837331"/>
    <s v="7"/>
    <x v="1"/>
    <s v="Email"/>
    <n v="2579.84"/>
  </r>
  <r>
    <x v="987"/>
    <x v="85"/>
    <s v="C67387"/>
    <x v="1"/>
    <n v="5"/>
    <n v="283.73"/>
    <s v="436 Main St"/>
    <x v="3"/>
    <x v="4"/>
    <s v="TRK54120003"/>
    <s v="8"/>
    <x v="1"/>
    <s v="Instagram"/>
    <n v="1418.65"/>
  </r>
  <r>
    <x v="988"/>
    <x v="496"/>
    <s v="C90318"/>
    <x v="6"/>
    <n v="2"/>
    <n v="629.55999999999995"/>
    <s v="818 Main St"/>
    <x v="3"/>
    <x v="1"/>
    <s v="TRK52765043"/>
    <s v="5"/>
    <x v="3"/>
    <s v="Instagram"/>
    <n v="1259.1199999999999"/>
  </r>
  <r>
    <x v="989"/>
    <x v="613"/>
    <s v="C49995"/>
    <x v="5"/>
    <n v="4"/>
    <n v="246.11"/>
    <s v="559 Main St"/>
    <x v="2"/>
    <x v="4"/>
    <s v="TRK33212013"/>
    <s v="4"/>
    <x v="0"/>
    <s v="Instagram"/>
    <n v="984.44"/>
  </r>
  <r>
    <x v="990"/>
    <x v="614"/>
    <s v="C52313"/>
    <x v="1"/>
    <n v="2"/>
    <n v="418.26"/>
    <s v="913 Main St"/>
    <x v="0"/>
    <x v="4"/>
    <s v="TRK67368559"/>
    <s v="2"/>
    <x v="0"/>
    <s v="Google"/>
    <n v="836.52"/>
  </r>
  <r>
    <x v="991"/>
    <x v="593"/>
    <s v="C10211"/>
    <x v="6"/>
    <n v="5"/>
    <n v="127.18"/>
    <s v="598 Main St"/>
    <x v="0"/>
    <x v="1"/>
    <s v="TRK68938335"/>
    <s v="10"/>
    <x v="1"/>
    <s v="Google"/>
    <n v="635.9"/>
  </r>
  <r>
    <x v="992"/>
    <x v="615"/>
    <s v="C97907"/>
    <x v="4"/>
    <n v="3"/>
    <n v="586.21"/>
    <s v="933 Main St"/>
    <x v="3"/>
    <x v="4"/>
    <s v="TRK89637569"/>
    <s v="4"/>
    <x v="3"/>
    <s v="Referral"/>
    <n v="1758.63"/>
  </r>
  <r>
    <x v="993"/>
    <x v="616"/>
    <s v="C61384"/>
    <x v="0"/>
    <n v="3"/>
    <n v="267.45"/>
    <s v="576 Main St"/>
    <x v="3"/>
    <x v="3"/>
    <s v="TRK33323210"/>
    <s v="5"/>
    <x v="3"/>
    <s v="Instagram"/>
    <n v="802.35"/>
  </r>
  <r>
    <x v="994"/>
    <x v="326"/>
    <s v="C27613"/>
    <x v="2"/>
    <n v="4"/>
    <n v="615.65"/>
    <s v="971 Main St"/>
    <x v="0"/>
    <x v="3"/>
    <s v="TRK63701318"/>
    <s v="9"/>
    <x v="3"/>
    <s v="Google"/>
    <n v="2462.6"/>
  </r>
  <r>
    <x v="995"/>
    <x v="134"/>
    <s v="C99271"/>
    <x v="0"/>
    <n v="2"/>
    <n v="113.29"/>
    <s v="959 Main St"/>
    <x v="4"/>
    <x v="4"/>
    <s v="TRK87832736"/>
    <s v="5"/>
    <x v="0"/>
    <s v="Facebook"/>
    <n v="226.58"/>
  </r>
  <r>
    <x v="996"/>
    <x v="578"/>
    <s v="C28648"/>
    <x v="0"/>
    <n v="4"/>
    <n v="473.86"/>
    <s v="101 Main St"/>
    <x v="0"/>
    <x v="3"/>
    <s v="TRK92240846"/>
    <s v="7"/>
    <x v="0"/>
    <s v="Facebook"/>
    <n v="1895.44"/>
  </r>
  <r>
    <x v="997"/>
    <x v="110"/>
    <s v="C26210"/>
    <x v="5"/>
    <n v="3"/>
    <n v="444.75"/>
    <s v="805 Main St"/>
    <x v="4"/>
    <x v="3"/>
    <s v="TRK40616861"/>
    <s v="6"/>
    <x v="0"/>
    <s v="Facebook"/>
    <n v="1334.25"/>
  </r>
  <r>
    <x v="998"/>
    <x v="213"/>
    <s v="C90350"/>
    <x v="1"/>
    <n v="2"/>
    <n v="183.67"/>
    <s v="783 Main St"/>
    <x v="0"/>
    <x v="1"/>
    <s v="TRK22824230"/>
    <s v="6"/>
    <x v="0"/>
    <s v="Google"/>
    <n v="367.34"/>
  </r>
  <r>
    <x v="999"/>
    <x v="478"/>
    <s v="C61957"/>
    <x v="4"/>
    <n v="1"/>
    <n v="483.38"/>
    <s v="652 Main St"/>
    <x v="4"/>
    <x v="4"/>
    <s v="TRK43983841"/>
    <s v="6"/>
    <x v="1"/>
    <s v="Google"/>
    <n v="483.38"/>
  </r>
  <r>
    <x v="1000"/>
    <x v="617"/>
    <s v="C90132"/>
    <x v="4"/>
    <n v="5"/>
    <n v="260.93"/>
    <s v="582 Main St"/>
    <x v="1"/>
    <x v="3"/>
    <s v="TRK52664903"/>
    <s v="9"/>
    <x v="0"/>
    <s v="Email"/>
    <n v="1304.6500000000001"/>
  </r>
  <r>
    <x v="1001"/>
    <x v="618"/>
    <s v="C31371"/>
    <x v="4"/>
    <n v="2"/>
    <n v="253.68"/>
    <s v="122 Main St"/>
    <x v="3"/>
    <x v="0"/>
    <s v="TRK19554327"/>
    <s v="6"/>
    <x v="2"/>
    <s v="Referral"/>
    <n v="507.36"/>
  </r>
  <r>
    <x v="1002"/>
    <x v="619"/>
    <s v="C83911"/>
    <x v="2"/>
    <n v="4"/>
    <n v="699.88"/>
    <s v="944 Main St"/>
    <x v="4"/>
    <x v="4"/>
    <s v="TRK33188106"/>
    <s v="5"/>
    <x v="3"/>
    <s v="Referral"/>
    <n v="2799.52"/>
  </r>
  <r>
    <x v="1003"/>
    <x v="348"/>
    <s v="C84700"/>
    <x v="4"/>
    <n v="5"/>
    <n v="319.97000000000003"/>
    <s v="582 Main St"/>
    <x v="4"/>
    <x v="0"/>
    <s v="TRK14706969"/>
    <s v="7"/>
    <x v="0"/>
    <s v="Google"/>
    <n v="1599.85"/>
  </r>
  <r>
    <x v="1004"/>
    <x v="559"/>
    <s v="C87529"/>
    <x v="3"/>
    <n v="4"/>
    <n v="246.91"/>
    <s v="296 Main St"/>
    <x v="1"/>
    <x v="4"/>
    <s v="TRK15739505"/>
    <s v="8"/>
    <x v="0"/>
    <s v="Referral"/>
    <n v="987.64"/>
  </r>
  <r>
    <x v="1005"/>
    <x v="521"/>
    <s v="C38065"/>
    <x v="4"/>
    <n v="3"/>
    <n v="392.85"/>
    <s v="426 Main St"/>
    <x v="2"/>
    <x v="2"/>
    <s v="TRK11448295"/>
    <s v="6"/>
    <x v="2"/>
    <s v="Google"/>
    <n v="1178.55"/>
  </r>
  <r>
    <x v="1006"/>
    <x v="582"/>
    <s v="C27435"/>
    <x v="2"/>
    <n v="5"/>
    <n v="420.98"/>
    <s v="860 Main St"/>
    <x v="4"/>
    <x v="3"/>
    <s v="TRK91458233"/>
    <s v="7"/>
    <x v="0"/>
    <s v="Facebook"/>
    <n v="2104.9"/>
  </r>
  <r>
    <x v="1007"/>
    <x v="591"/>
    <s v="C46651"/>
    <x v="0"/>
    <n v="2"/>
    <n v="73.260000000000005"/>
    <s v="839 Main St"/>
    <x v="4"/>
    <x v="4"/>
    <s v="TRK60444502"/>
    <s v="4"/>
    <x v="3"/>
    <s v="Facebook"/>
    <n v="146.52000000000001"/>
  </r>
  <r>
    <x v="1008"/>
    <x v="620"/>
    <s v="C62557"/>
    <x v="0"/>
    <n v="3"/>
    <n v="410.88"/>
    <s v="257 Main St"/>
    <x v="4"/>
    <x v="3"/>
    <s v="TRK12742366"/>
    <s v="8"/>
    <x v="1"/>
    <s v="Instagram"/>
    <n v="1232.6400000000001"/>
  </r>
  <r>
    <x v="1009"/>
    <x v="621"/>
    <s v="C54494"/>
    <x v="2"/>
    <n v="2"/>
    <n v="176.46"/>
    <s v="696 Main St"/>
    <x v="2"/>
    <x v="3"/>
    <s v="TRK95958645"/>
    <s v="2"/>
    <x v="1"/>
    <s v="Email"/>
    <n v="352.92"/>
  </r>
  <r>
    <x v="1010"/>
    <x v="622"/>
    <s v="C33729"/>
    <x v="0"/>
    <n v="3"/>
    <n v="659.57"/>
    <s v="533 Main St"/>
    <x v="2"/>
    <x v="1"/>
    <s v="TRK35649833"/>
    <s v="6"/>
    <x v="0"/>
    <s v="Email"/>
    <n v="1978.71"/>
  </r>
  <r>
    <x v="1011"/>
    <x v="623"/>
    <s v="C47823"/>
    <x v="1"/>
    <n v="2"/>
    <n v="478.36"/>
    <s v="654 Main St"/>
    <x v="1"/>
    <x v="0"/>
    <s v="TRK22271097"/>
    <s v="3"/>
    <x v="2"/>
    <s v="Google"/>
    <n v="956.72"/>
  </r>
  <r>
    <x v="1012"/>
    <x v="623"/>
    <s v="C84570"/>
    <x v="4"/>
    <n v="4"/>
    <n v="30.05"/>
    <s v="301 Main St"/>
    <x v="1"/>
    <x v="2"/>
    <s v="TRK12551882"/>
    <s v="6"/>
    <x v="2"/>
    <s v="Facebook"/>
    <n v="120.2"/>
  </r>
  <r>
    <x v="1013"/>
    <x v="624"/>
    <s v="C91123"/>
    <x v="5"/>
    <n v="4"/>
    <n v="300.56"/>
    <s v="842 Main St"/>
    <x v="4"/>
    <x v="1"/>
    <s v="TRK49568409"/>
    <s v="9"/>
    <x v="1"/>
    <s v="Facebook"/>
    <n v="1202.24"/>
  </r>
  <r>
    <x v="1014"/>
    <x v="389"/>
    <s v="C92548"/>
    <x v="2"/>
    <n v="5"/>
    <n v="226.45"/>
    <s v="160 Main St"/>
    <x v="0"/>
    <x v="2"/>
    <s v="TRK21682892"/>
    <s v="6"/>
    <x v="1"/>
    <s v="Email"/>
    <n v="1132.25"/>
  </r>
  <r>
    <x v="1015"/>
    <x v="547"/>
    <s v="C97454"/>
    <x v="4"/>
    <n v="2"/>
    <n v="349.4"/>
    <s v="892 Main St"/>
    <x v="1"/>
    <x v="0"/>
    <s v="TRK73249329"/>
    <s v="2"/>
    <x v="0"/>
    <s v="Instagram"/>
    <n v="698.8"/>
  </r>
  <r>
    <x v="1016"/>
    <x v="10"/>
    <s v="C20257"/>
    <x v="2"/>
    <n v="5"/>
    <n v="268.77999999999997"/>
    <s v="669 Main St"/>
    <x v="0"/>
    <x v="3"/>
    <s v="TRK62135578"/>
    <s v="7"/>
    <x v="3"/>
    <s v="Email"/>
    <n v="1343.9"/>
  </r>
  <r>
    <x v="1017"/>
    <x v="625"/>
    <s v="C51694"/>
    <x v="3"/>
    <n v="2"/>
    <n v="680.85"/>
    <s v="953 Main St"/>
    <x v="3"/>
    <x v="3"/>
    <s v="TRK83122112"/>
    <s v="6"/>
    <x v="1"/>
    <s v="Referral"/>
    <n v="1361.7"/>
  </r>
  <r>
    <x v="1018"/>
    <x v="307"/>
    <s v="C77499"/>
    <x v="5"/>
    <n v="3"/>
    <n v="182.48"/>
    <s v="209 Main St"/>
    <x v="4"/>
    <x v="3"/>
    <s v="TRK20703086"/>
    <s v="3"/>
    <x v="2"/>
    <s v="Instagram"/>
    <n v="547.44000000000005"/>
  </r>
  <r>
    <x v="1019"/>
    <x v="616"/>
    <s v="C28386"/>
    <x v="6"/>
    <n v="1"/>
    <n v="277.08999999999997"/>
    <s v="293 Main St"/>
    <x v="4"/>
    <x v="2"/>
    <s v="TRK32954229"/>
    <s v="2"/>
    <x v="0"/>
    <s v="Referral"/>
    <n v="277.08999999999997"/>
  </r>
  <r>
    <x v="1020"/>
    <x v="181"/>
    <s v="C50211"/>
    <x v="2"/>
    <n v="2"/>
    <n v="26.5"/>
    <s v="312 Main St"/>
    <x v="1"/>
    <x v="3"/>
    <s v="TRK47787981"/>
    <s v="3"/>
    <x v="0"/>
    <s v="Instagram"/>
    <n v="53"/>
  </r>
  <r>
    <x v="1021"/>
    <x v="5"/>
    <s v="C74519"/>
    <x v="1"/>
    <n v="3"/>
    <n v="315.27"/>
    <s v="309 Main St"/>
    <x v="2"/>
    <x v="1"/>
    <s v="TRK97351945"/>
    <s v="4"/>
    <x v="0"/>
    <s v="Email"/>
    <n v="945.81"/>
  </r>
  <r>
    <x v="1022"/>
    <x v="522"/>
    <s v="C19071"/>
    <x v="2"/>
    <n v="3"/>
    <n v="450.98"/>
    <s v="396 Main St"/>
    <x v="2"/>
    <x v="0"/>
    <s v="TRK66537096"/>
    <s v="8"/>
    <x v="0"/>
    <s v="Referral"/>
    <n v="1352.94"/>
  </r>
  <r>
    <x v="1023"/>
    <x v="296"/>
    <s v="C65251"/>
    <x v="5"/>
    <n v="5"/>
    <n v="233.67"/>
    <s v="291 Main St"/>
    <x v="4"/>
    <x v="0"/>
    <s v="TRK32059025"/>
    <s v="10"/>
    <x v="2"/>
    <s v="Referral"/>
    <n v="1168.3499999999999"/>
  </r>
  <r>
    <x v="1024"/>
    <x v="412"/>
    <s v="C90612"/>
    <x v="3"/>
    <n v="3"/>
    <n v="367.75"/>
    <s v="731 Main St"/>
    <x v="4"/>
    <x v="4"/>
    <s v="TRK93022878"/>
    <s v="7"/>
    <x v="1"/>
    <s v="Facebook"/>
    <n v="1103.25"/>
  </r>
  <r>
    <x v="1025"/>
    <x v="271"/>
    <s v="C28406"/>
    <x v="3"/>
    <n v="1"/>
    <n v="23.53"/>
    <s v="174 Main St"/>
    <x v="3"/>
    <x v="3"/>
    <s v="TRK98841457"/>
    <s v="2"/>
    <x v="1"/>
    <s v="Instagram"/>
    <n v="23.53"/>
  </r>
  <r>
    <x v="1026"/>
    <x v="31"/>
    <s v="C55454"/>
    <x v="0"/>
    <n v="1"/>
    <n v="677.48"/>
    <s v="807 Main St"/>
    <x v="1"/>
    <x v="3"/>
    <s v="TRK13281370"/>
    <s v="1"/>
    <x v="3"/>
    <s v="Facebook"/>
    <n v="677.48"/>
  </r>
  <r>
    <x v="1027"/>
    <x v="626"/>
    <s v="C93467"/>
    <x v="5"/>
    <n v="4"/>
    <n v="554.83000000000004"/>
    <s v="983 Main St"/>
    <x v="4"/>
    <x v="2"/>
    <s v="TRK77377373"/>
    <s v="6"/>
    <x v="2"/>
    <s v="Google"/>
    <n v="2219.3200000000002"/>
  </r>
  <r>
    <x v="1028"/>
    <x v="96"/>
    <s v="C60042"/>
    <x v="6"/>
    <n v="4"/>
    <n v="440.31"/>
    <s v="610 Main St"/>
    <x v="4"/>
    <x v="1"/>
    <s v="TRK84651559"/>
    <s v="6"/>
    <x v="2"/>
    <s v="Instagram"/>
    <n v="1761.24"/>
  </r>
  <r>
    <x v="1029"/>
    <x v="627"/>
    <s v="C44733"/>
    <x v="6"/>
    <n v="1"/>
    <n v="87.06"/>
    <s v="851 Main St"/>
    <x v="2"/>
    <x v="0"/>
    <s v="TRK41500198"/>
    <s v="4"/>
    <x v="1"/>
    <s v="Email"/>
    <n v="87.06"/>
  </r>
  <r>
    <x v="1030"/>
    <x v="276"/>
    <s v="C61773"/>
    <x v="1"/>
    <n v="4"/>
    <n v="245.28"/>
    <s v="176 Main St"/>
    <x v="2"/>
    <x v="3"/>
    <s v="TRK12936357"/>
    <s v="6"/>
    <x v="3"/>
    <s v="Email"/>
    <n v="981.12"/>
  </r>
  <r>
    <x v="1031"/>
    <x v="285"/>
    <s v="C59183"/>
    <x v="1"/>
    <n v="5"/>
    <n v="664.51"/>
    <s v="136 Main St"/>
    <x v="0"/>
    <x v="4"/>
    <s v="TRK18129706"/>
    <s v="8"/>
    <x v="0"/>
    <s v="Email"/>
    <n v="3322.55"/>
  </r>
  <r>
    <x v="1032"/>
    <x v="197"/>
    <s v="C26188"/>
    <x v="3"/>
    <n v="1"/>
    <n v="618.67999999999995"/>
    <s v="990 Main St"/>
    <x v="1"/>
    <x v="3"/>
    <s v="TRK61634201"/>
    <s v="6"/>
    <x v="3"/>
    <s v="Referral"/>
    <n v="618.67999999999995"/>
  </r>
  <r>
    <x v="1033"/>
    <x v="628"/>
    <s v="C20338"/>
    <x v="0"/>
    <n v="1"/>
    <n v="370.85"/>
    <s v="331 Main St"/>
    <x v="3"/>
    <x v="3"/>
    <s v="TRK30654048"/>
    <s v="2"/>
    <x v="1"/>
    <s v="Referral"/>
    <n v="370.85"/>
  </r>
  <r>
    <x v="1034"/>
    <x v="452"/>
    <s v="C84524"/>
    <x v="4"/>
    <n v="4"/>
    <n v="517.98"/>
    <s v="766 Main St"/>
    <x v="4"/>
    <x v="1"/>
    <s v="TRK76751888"/>
    <s v="8"/>
    <x v="1"/>
    <s v="Facebook"/>
    <n v="2071.92"/>
  </r>
  <r>
    <x v="1035"/>
    <x v="629"/>
    <s v="C70315"/>
    <x v="5"/>
    <n v="4"/>
    <n v="506.11"/>
    <s v="911 Main St"/>
    <x v="4"/>
    <x v="1"/>
    <s v="TRK97732085"/>
    <s v="5"/>
    <x v="2"/>
    <s v="Referral"/>
    <n v="2024.44"/>
  </r>
  <r>
    <x v="1036"/>
    <x v="583"/>
    <s v="C98278"/>
    <x v="1"/>
    <n v="3"/>
    <n v="413.83"/>
    <s v="552 Main St"/>
    <x v="3"/>
    <x v="0"/>
    <s v="TRK49684737"/>
    <s v="8"/>
    <x v="0"/>
    <s v="Facebook"/>
    <n v="1241.49"/>
  </r>
  <r>
    <x v="1037"/>
    <x v="141"/>
    <s v="C32347"/>
    <x v="4"/>
    <n v="1"/>
    <n v="249.81"/>
    <s v="408 Main St"/>
    <x v="4"/>
    <x v="4"/>
    <s v="TRK54073964"/>
    <s v="1"/>
    <x v="0"/>
    <s v="Google"/>
    <n v="249.81"/>
  </r>
  <r>
    <x v="1038"/>
    <x v="175"/>
    <s v="C77961"/>
    <x v="2"/>
    <n v="3"/>
    <n v="362.53"/>
    <s v="422 Main St"/>
    <x v="0"/>
    <x v="2"/>
    <s v="TRK28969024"/>
    <s v="5"/>
    <x v="2"/>
    <s v="Facebook"/>
    <n v="1087.5899999999999"/>
  </r>
  <r>
    <x v="1039"/>
    <x v="164"/>
    <s v="C49137"/>
    <x v="6"/>
    <n v="2"/>
    <n v="299.23"/>
    <s v="177 Main St"/>
    <x v="2"/>
    <x v="1"/>
    <s v="TRK79362428"/>
    <s v="2"/>
    <x v="3"/>
    <s v="Instagram"/>
    <n v="598.46"/>
  </r>
  <r>
    <x v="1040"/>
    <x v="375"/>
    <s v="C13169"/>
    <x v="2"/>
    <n v="1"/>
    <n v="536.07000000000005"/>
    <s v="932 Main St"/>
    <x v="0"/>
    <x v="3"/>
    <s v="TRK66288666"/>
    <s v="5"/>
    <x v="1"/>
    <s v="Google"/>
    <n v="536.07000000000005"/>
  </r>
  <r>
    <x v="1041"/>
    <x v="91"/>
    <s v="C21167"/>
    <x v="0"/>
    <n v="4"/>
    <n v="558.9"/>
    <s v="948 Main St"/>
    <x v="3"/>
    <x v="0"/>
    <s v="TRK97737564"/>
    <s v="9"/>
    <x v="3"/>
    <s v="Google"/>
    <n v="2235.6"/>
  </r>
  <r>
    <x v="1042"/>
    <x v="65"/>
    <s v="C59724"/>
    <x v="2"/>
    <n v="2"/>
    <n v="409.75"/>
    <s v="414 Main St"/>
    <x v="0"/>
    <x v="0"/>
    <s v="TRK67878272"/>
    <s v="2"/>
    <x v="3"/>
    <s v="Facebook"/>
    <n v="819.5"/>
  </r>
  <r>
    <x v="1043"/>
    <x v="630"/>
    <s v="C43965"/>
    <x v="2"/>
    <n v="2"/>
    <n v="179.96"/>
    <s v="675 Main St"/>
    <x v="3"/>
    <x v="0"/>
    <s v="TRK94346739"/>
    <s v="5"/>
    <x v="2"/>
    <s v="Instagram"/>
    <n v="359.92"/>
  </r>
  <r>
    <x v="1044"/>
    <x v="450"/>
    <s v="C63018"/>
    <x v="4"/>
    <n v="1"/>
    <n v="38.49"/>
    <s v="215 Main St"/>
    <x v="2"/>
    <x v="3"/>
    <s v="TRK52335337"/>
    <s v="4"/>
    <x v="1"/>
    <s v="Referral"/>
    <n v="38.49"/>
  </r>
  <r>
    <x v="1045"/>
    <x v="28"/>
    <s v="C11893"/>
    <x v="5"/>
    <n v="5"/>
    <n v="316.39999999999998"/>
    <s v="671 Main St"/>
    <x v="3"/>
    <x v="2"/>
    <s v="TRK72012758"/>
    <s v="7"/>
    <x v="2"/>
    <s v="Email"/>
    <n v="1582"/>
  </r>
  <r>
    <x v="1046"/>
    <x v="550"/>
    <s v="C85421"/>
    <x v="2"/>
    <n v="3"/>
    <n v="547.15"/>
    <s v="466 Main St"/>
    <x v="1"/>
    <x v="0"/>
    <s v="TRK16524006"/>
    <s v="4"/>
    <x v="3"/>
    <s v="Instagram"/>
    <n v="1641.45"/>
  </r>
  <r>
    <x v="1047"/>
    <x v="467"/>
    <s v="C81726"/>
    <x v="3"/>
    <n v="4"/>
    <n v="540.34"/>
    <s v="394 Main St"/>
    <x v="3"/>
    <x v="0"/>
    <s v="TRK69872994"/>
    <s v="6"/>
    <x v="3"/>
    <s v="Referral"/>
    <n v="2161.36"/>
  </r>
  <r>
    <x v="1048"/>
    <x v="82"/>
    <s v="C57601"/>
    <x v="0"/>
    <n v="4"/>
    <n v="73.650000000000006"/>
    <s v="889 Main St"/>
    <x v="0"/>
    <x v="0"/>
    <s v="TRK21153699"/>
    <s v="9"/>
    <x v="2"/>
    <s v="Google"/>
    <n v="294.60000000000002"/>
  </r>
  <r>
    <x v="1049"/>
    <x v="408"/>
    <s v="C60575"/>
    <x v="6"/>
    <n v="5"/>
    <n v="391.86"/>
    <s v="587 Main St"/>
    <x v="2"/>
    <x v="0"/>
    <s v="TRK44468232"/>
    <s v="6"/>
    <x v="2"/>
    <s v="Instagram"/>
    <n v="1959.3"/>
  </r>
  <r>
    <x v="1050"/>
    <x v="38"/>
    <s v="C70659"/>
    <x v="5"/>
    <n v="5"/>
    <n v="69.7"/>
    <s v="722 Main St"/>
    <x v="1"/>
    <x v="2"/>
    <s v="TRK49663597"/>
    <s v="9"/>
    <x v="2"/>
    <s v="Instagram"/>
    <n v="348.5"/>
  </r>
  <r>
    <x v="1051"/>
    <x v="376"/>
    <s v="C35043"/>
    <x v="0"/>
    <n v="5"/>
    <n v="26.43"/>
    <s v="820 Main St"/>
    <x v="3"/>
    <x v="0"/>
    <s v="TRK65097450"/>
    <s v="5"/>
    <x v="1"/>
    <s v="Facebook"/>
    <n v="132.15"/>
  </r>
  <r>
    <x v="1052"/>
    <x v="631"/>
    <s v="C12301"/>
    <x v="2"/>
    <n v="1"/>
    <n v="531.74"/>
    <s v="493 Main St"/>
    <x v="1"/>
    <x v="0"/>
    <s v="TRK25145796"/>
    <s v="1"/>
    <x v="3"/>
    <s v="Google"/>
    <n v="531.74"/>
  </r>
  <r>
    <x v="1053"/>
    <x v="632"/>
    <s v="C32798"/>
    <x v="1"/>
    <n v="2"/>
    <n v="496.62"/>
    <s v="679 Main St"/>
    <x v="1"/>
    <x v="4"/>
    <s v="TRK37375451"/>
    <s v="2"/>
    <x v="0"/>
    <s v="Instagram"/>
    <n v="993.24"/>
  </r>
  <r>
    <x v="1054"/>
    <x v="633"/>
    <s v="C42949"/>
    <x v="4"/>
    <n v="1"/>
    <n v="660.66"/>
    <s v="447 Main St"/>
    <x v="0"/>
    <x v="3"/>
    <s v="TRK46415143"/>
    <s v="3"/>
    <x v="3"/>
    <s v="Instagram"/>
    <n v="660.66"/>
  </r>
  <r>
    <x v="1055"/>
    <x v="5"/>
    <s v="C10787"/>
    <x v="0"/>
    <n v="4"/>
    <n v="274.82"/>
    <s v="932 Main St"/>
    <x v="0"/>
    <x v="3"/>
    <s v="TRK91512567"/>
    <s v="9"/>
    <x v="3"/>
    <s v="Email"/>
    <n v="1099.28"/>
  </r>
  <r>
    <x v="1056"/>
    <x v="280"/>
    <s v="C26152"/>
    <x v="1"/>
    <n v="2"/>
    <n v="486.35"/>
    <s v="790 Main St"/>
    <x v="1"/>
    <x v="4"/>
    <s v="TRK49382455"/>
    <s v="6"/>
    <x v="0"/>
    <s v="Referral"/>
    <n v="972.7"/>
  </r>
  <r>
    <x v="1057"/>
    <x v="634"/>
    <s v="C46210"/>
    <x v="5"/>
    <n v="3"/>
    <n v="428.88"/>
    <s v="535 Main St"/>
    <x v="0"/>
    <x v="0"/>
    <s v="TRK81611937"/>
    <s v="3"/>
    <x v="3"/>
    <s v="Facebook"/>
    <n v="1286.6400000000001"/>
  </r>
  <r>
    <x v="1058"/>
    <x v="102"/>
    <s v="C32943"/>
    <x v="6"/>
    <n v="2"/>
    <n v="412.14"/>
    <s v="127 Main St"/>
    <x v="2"/>
    <x v="2"/>
    <s v="TRK26949106"/>
    <s v="2"/>
    <x v="1"/>
    <s v="Instagram"/>
    <n v="824.28"/>
  </r>
  <r>
    <x v="1059"/>
    <x v="491"/>
    <s v="C73629"/>
    <x v="6"/>
    <n v="1"/>
    <n v="265.64"/>
    <s v="601 Main St"/>
    <x v="2"/>
    <x v="2"/>
    <s v="TRK11492924"/>
    <s v="3"/>
    <x v="3"/>
    <s v="Instagram"/>
    <n v="265.64"/>
  </r>
  <r>
    <x v="1060"/>
    <x v="635"/>
    <s v="C38024"/>
    <x v="2"/>
    <n v="2"/>
    <n v="273.43"/>
    <s v="824 Main St"/>
    <x v="4"/>
    <x v="0"/>
    <s v="TRK93370912"/>
    <s v="7"/>
    <x v="3"/>
    <s v="Referral"/>
    <n v="546.86"/>
  </r>
  <r>
    <x v="1061"/>
    <x v="636"/>
    <s v="C25445"/>
    <x v="5"/>
    <n v="5"/>
    <n v="131.69999999999999"/>
    <s v="830 Main St"/>
    <x v="4"/>
    <x v="0"/>
    <s v="TRK12402431"/>
    <s v="8"/>
    <x v="1"/>
    <s v="Google"/>
    <n v="658.5"/>
  </r>
  <r>
    <x v="1062"/>
    <x v="421"/>
    <s v="C13501"/>
    <x v="3"/>
    <n v="5"/>
    <n v="85.52"/>
    <s v="301 Main St"/>
    <x v="3"/>
    <x v="1"/>
    <s v="TRK65149372"/>
    <s v="5"/>
    <x v="2"/>
    <s v="Facebook"/>
    <n v="427.6"/>
  </r>
  <r>
    <x v="1063"/>
    <x v="83"/>
    <s v="C42108"/>
    <x v="6"/>
    <n v="2"/>
    <n v="320.68"/>
    <s v="336 Main St"/>
    <x v="2"/>
    <x v="0"/>
    <s v="TRK58407918"/>
    <s v="5"/>
    <x v="1"/>
    <s v="Referral"/>
    <n v="641.36"/>
  </r>
  <r>
    <x v="1064"/>
    <x v="637"/>
    <s v="C32121"/>
    <x v="5"/>
    <n v="4"/>
    <n v="198.81"/>
    <s v="654 Main St"/>
    <x v="4"/>
    <x v="2"/>
    <s v="TRK96074264"/>
    <s v="9"/>
    <x v="1"/>
    <s v="Referral"/>
    <n v="795.24"/>
  </r>
  <r>
    <x v="1065"/>
    <x v="638"/>
    <s v="C47778"/>
    <x v="4"/>
    <n v="5"/>
    <n v="666.8"/>
    <s v="488 Main St"/>
    <x v="0"/>
    <x v="3"/>
    <s v="TRK79504329"/>
    <s v="7"/>
    <x v="0"/>
    <s v="Referral"/>
    <n v="3334"/>
  </r>
  <r>
    <x v="1066"/>
    <x v="639"/>
    <s v="C10791"/>
    <x v="6"/>
    <n v="1"/>
    <n v="355.09"/>
    <s v="674 Main St"/>
    <x v="0"/>
    <x v="1"/>
    <s v="TRK20321248"/>
    <s v="5"/>
    <x v="0"/>
    <s v="Instagram"/>
    <n v="355.09"/>
  </r>
  <r>
    <x v="1067"/>
    <x v="640"/>
    <s v="C78959"/>
    <x v="1"/>
    <n v="2"/>
    <n v="316.2"/>
    <s v="384 Main St"/>
    <x v="1"/>
    <x v="2"/>
    <s v="TRK37426359"/>
    <s v="2"/>
    <x v="2"/>
    <s v="Instagram"/>
    <n v="632.4"/>
  </r>
  <r>
    <x v="1068"/>
    <x v="240"/>
    <s v="C29914"/>
    <x v="5"/>
    <n v="1"/>
    <n v="133.38999999999999"/>
    <s v="469 Main St"/>
    <x v="0"/>
    <x v="0"/>
    <s v="TRK22073506"/>
    <s v="2"/>
    <x v="0"/>
    <s v="Referral"/>
    <n v="133.38999999999999"/>
  </r>
  <r>
    <x v="1069"/>
    <x v="641"/>
    <s v="C70506"/>
    <x v="0"/>
    <n v="1"/>
    <n v="454.23"/>
    <s v="255 Main St"/>
    <x v="3"/>
    <x v="2"/>
    <s v="TRK12518384"/>
    <s v="3"/>
    <x v="2"/>
    <s v="Facebook"/>
    <n v="454.23"/>
  </r>
  <r>
    <x v="1070"/>
    <x v="605"/>
    <s v="C46873"/>
    <x v="6"/>
    <n v="4"/>
    <n v="491.29"/>
    <s v="496 Main St"/>
    <x v="0"/>
    <x v="4"/>
    <s v="TRK10926575"/>
    <s v="6"/>
    <x v="2"/>
    <s v="Email"/>
    <n v="1965.16"/>
  </r>
  <r>
    <x v="1071"/>
    <x v="53"/>
    <s v="C94037"/>
    <x v="1"/>
    <n v="2"/>
    <n v="255.14"/>
    <s v="216 Main St"/>
    <x v="4"/>
    <x v="0"/>
    <s v="TRK47536985"/>
    <s v="2"/>
    <x v="2"/>
    <s v="Google"/>
    <n v="510.28"/>
  </r>
  <r>
    <x v="1072"/>
    <x v="297"/>
    <s v="C88644"/>
    <x v="0"/>
    <n v="1"/>
    <n v="392.61"/>
    <s v="977 Main St"/>
    <x v="3"/>
    <x v="1"/>
    <s v="TRK14900878"/>
    <s v="4"/>
    <x v="0"/>
    <s v="Referral"/>
    <n v="392.61"/>
  </r>
  <r>
    <x v="1073"/>
    <x v="642"/>
    <s v="C69471"/>
    <x v="2"/>
    <n v="4"/>
    <n v="362.06"/>
    <s v="294 Main St"/>
    <x v="0"/>
    <x v="2"/>
    <s v="TRK11107152"/>
    <s v="4"/>
    <x v="2"/>
    <s v="Facebook"/>
    <n v="1448.24"/>
  </r>
  <r>
    <x v="1074"/>
    <x v="451"/>
    <s v="C21437"/>
    <x v="1"/>
    <n v="1"/>
    <n v="222.73"/>
    <s v="120 Main St"/>
    <x v="1"/>
    <x v="2"/>
    <s v="TRK81624772"/>
    <s v="4"/>
    <x v="2"/>
    <s v="Google"/>
    <n v="222.73"/>
  </r>
  <r>
    <x v="1075"/>
    <x v="169"/>
    <s v="C40949"/>
    <x v="0"/>
    <n v="2"/>
    <n v="552.63"/>
    <s v="609 Main St"/>
    <x v="0"/>
    <x v="3"/>
    <s v="TRK43066749"/>
    <s v="7"/>
    <x v="3"/>
    <s v="Instagram"/>
    <n v="1105.26"/>
  </r>
  <r>
    <x v="1076"/>
    <x v="20"/>
    <s v="C99116"/>
    <x v="5"/>
    <n v="4"/>
    <n v="686.61"/>
    <s v="176 Main St"/>
    <x v="4"/>
    <x v="0"/>
    <s v="TRK52711973"/>
    <s v="6"/>
    <x v="2"/>
    <s v="Referral"/>
    <n v="2746.44"/>
  </r>
  <r>
    <x v="1077"/>
    <x v="456"/>
    <s v="C57861"/>
    <x v="4"/>
    <n v="3"/>
    <n v="305.16000000000003"/>
    <s v="115 Main St"/>
    <x v="2"/>
    <x v="1"/>
    <s v="TRK47775217"/>
    <s v="8"/>
    <x v="0"/>
    <s v="Referral"/>
    <n v="915.48"/>
  </r>
  <r>
    <x v="1078"/>
    <x v="168"/>
    <s v="C62627"/>
    <x v="6"/>
    <n v="1"/>
    <n v="41.09"/>
    <s v="881 Main St"/>
    <x v="1"/>
    <x v="2"/>
    <s v="TRK90060232"/>
    <s v="4"/>
    <x v="3"/>
    <s v="Email"/>
    <n v="41.09"/>
  </r>
  <r>
    <x v="1079"/>
    <x v="643"/>
    <s v="C89979"/>
    <x v="1"/>
    <n v="5"/>
    <n v="634"/>
    <s v="144 Main St"/>
    <x v="3"/>
    <x v="3"/>
    <s v="TRK99055909"/>
    <s v="8"/>
    <x v="2"/>
    <s v="Email"/>
    <n v="3170"/>
  </r>
  <r>
    <x v="1080"/>
    <x v="325"/>
    <s v="C70613"/>
    <x v="5"/>
    <n v="5"/>
    <n v="464.74"/>
    <s v="438 Main St"/>
    <x v="3"/>
    <x v="3"/>
    <s v="TRK33140293"/>
    <s v="7"/>
    <x v="2"/>
    <s v="Referral"/>
    <n v="2323.6999999999998"/>
  </r>
  <r>
    <x v="1081"/>
    <x v="453"/>
    <s v="C55636"/>
    <x v="0"/>
    <n v="4"/>
    <n v="425.6"/>
    <s v="494 Main St"/>
    <x v="2"/>
    <x v="4"/>
    <s v="TRK85897054"/>
    <s v="5"/>
    <x v="1"/>
    <s v="Google"/>
    <n v="1702.4"/>
  </r>
  <r>
    <x v="1082"/>
    <x v="426"/>
    <s v="C96595"/>
    <x v="3"/>
    <n v="3"/>
    <n v="573.22"/>
    <s v="177 Main St"/>
    <x v="0"/>
    <x v="4"/>
    <s v="TRK59779174"/>
    <s v="5"/>
    <x v="0"/>
    <s v="Email"/>
    <n v="1719.66"/>
  </r>
  <r>
    <x v="1083"/>
    <x v="644"/>
    <s v="C68508"/>
    <x v="3"/>
    <n v="1"/>
    <n v="123.28"/>
    <s v="895 Main St"/>
    <x v="2"/>
    <x v="3"/>
    <s v="TRK98960285"/>
    <s v="3"/>
    <x v="0"/>
    <s v="Email"/>
    <n v="123.28"/>
  </r>
  <r>
    <x v="1084"/>
    <x v="124"/>
    <s v="C45175"/>
    <x v="1"/>
    <n v="1"/>
    <n v="70.819999999999993"/>
    <s v="128 Main St"/>
    <x v="3"/>
    <x v="4"/>
    <s v="TRK41792296"/>
    <s v="1"/>
    <x v="3"/>
    <s v="Instagram"/>
    <n v="70.819999999999993"/>
  </r>
  <r>
    <x v="1085"/>
    <x v="54"/>
    <s v="C28049"/>
    <x v="4"/>
    <n v="2"/>
    <n v="646.69000000000005"/>
    <s v="404 Main St"/>
    <x v="0"/>
    <x v="0"/>
    <s v="TRK91426444"/>
    <s v="7"/>
    <x v="3"/>
    <s v="Instagram"/>
    <n v="1293.3800000000001"/>
  </r>
  <r>
    <x v="1086"/>
    <x v="475"/>
    <s v="C46967"/>
    <x v="2"/>
    <n v="2"/>
    <n v="513.41999999999996"/>
    <s v="401 Main St"/>
    <x v="1"/>
    <x v="4"/>
    <s v="TRK91439791"/>
    <s v="5"/>
    <x v="3"/>
    <s v="Instagram"/>
    <n v="1026.8399999999999"/>
  </r>
  <r>
    <x v="1087"/>
    <x v="411"/>
    <s v="C84134"/>
    <x v="5"/>
    <n v="4"/>
    <n v="693.07"/>
    <s v="530 Main St"/>
    <x v="1"/>
    <x v="0"/>
    <s v="TRK48659380"/>
    <s v="8"/>
    <x v="0"/>
    <s v="Instagram"/>
    <n v="2772.28"/>
  </r>
  <r>
    <x v="1088"/>
    <x v="115"/>
    <s v="C49831"/>
    <x v="6"/>
    <n v="3"/>
    <n v="491.43"/>
    <s v="213 Main St"/>
    <x v="3"/>
    <x v="0"/>
    <s v="TRK21232601"/>
    <s v="6"/>
    <x v="3"/>
    <s v="Instagram"/>
    <n v="1474.29"/>
  </r>
  <r>
    <x v="1089"/>
    <x v="175"/>
    <s v="C13324"/>
    <x v="2"/>
    <n v="2"/>
    <n v="599.74"/>
    <s v="440 Main St"/>
    <x v="3"/>
    <x v="0"/>
    <s v="TRK66967997"/>
    <s v="2"/>
    <x v="2"/>
    <s v="Instagram"/>
    <n v="1199.48"/>
  </r>
  <r>
    <x v="1090"/>
    <x v="641"/>
    <s v="C61225"/>
    <x v="0"/>
    <n v="2"/>
    <n v="650.25"/>
    <s v="996 Main St"/>
    <x v="3"/>
    <x v="2"/>
    <s v="TRK37022954"/>
    <s v="6"/>
    <x v="2"/>
    <s v="Instagram"/>
    <n v="1300.5"/>
  </r>
  <r>
    <x v="1091"/>
    <x v="192"/>
    <s v="C16400"/>
    <x v="5"/>
    <n v="3"/>
    <n v="209.48"/>
    <s v="123 Main St"/>
    <x v="0"/>
    <x v="4"/>
    <s v="TRK57771859"/>
    <s v="4"/>
    <x v="2"/>
    <s v="Email"/>
    <n v="628.44000000000005"/>
  </r>
  <r>
    <x v="1092"/>
    <x v="531"/>
    <s v="C38642"/>
    <x v="5"/>
    <n v="5"/>
    <n v="209.2"/>
    <s v="930 Main St"/>
    <x v="0"/>
    <x v="3"/>
    <s v="TRK47744396"/>
    <s v="6"/>
    <x v="3"/>
    <s v="Email"/>
    <n v="1046"/>
  </r>
  <r>
    <x v="1093"/>
    <x v="308"/>
    <s v="C86773"/>
    <x v="1"/>
    <n v="4"/>
    <n v="197.36"/>
    <s v="557 Main St"/>
    <x v="3"/>
    <x v="2"/>
    <s v="TRK22612240"/>
    <s v="9"/>
    <x v="1"/>
    <s v="Instagram"/>
    <n v="789.44"/>
  </r>
  <r>
    <x v="1094"/>
    <x v="342"/>
    <s v="C66093"/>
    <x v="4"/>
    <n v="4"/>
    <n v="648.91"/>
    <s v="615 Main St"/>
    <x v="2"/>
    <x v="0"/>
    <s v="TRK54950785"/>
    <s v="6"/>
    <x v="0"/>
    <s v="Instagram"/>
    <n v="2595.64"/>
  </r>
  <r>
    <x v="1095"/>
    <x v="234"/>
    <s v="C33051"/>
    <x v="1"/>
    <n v="2"/>
    <n v="441.54"/>
    <s v="397 Main St"/>
    <x v="1"/>
    <x v="3"/>
    <s v="TRK92929755"/>
    <s v="2"/>
    <x v="0"/>
    <s v="Email"/>
    <n v="883.08"/>
  </r>
  <r>
    <x v="1096"/>
    <x v="120"/>
    <s v="C18169"/>
    <x v="2"/>
    <n v="2"/>
    <n v="464.92"/>
    <s v="782 Main St"/>
    <x v="0"/>
    <x v="2"/>
    <s v="TRK49482923"/>
    <s v="2"/>
    <x v="2"/>
    <s v="Facebook"/>
    <n v="929.84"/>
  </r>
  <r>
    <x v="1097"/>
    <x v="645"/>
    <s v="C81370"/>
    <x v="0"/>
    <n v="5"/>
    <n v="506.45"/>
    <s v="344 Main St"/>
    <x v="3"/>
    <x v="0"/>
    <s v="TRK99682998"/>
    <s v="7"/>
    <x v="3"/>
    <s v="Google"/>
    <n v="2532.25"/>
  </r>
  <r>
    <x v="1098"/>
    <x v="646"/>
    <s v="C91103"/>
    <x v="0"/>
    <n v="4"/>
    <n v="255.86"/>
    <s v="155 Main St"/>
    <x v="2"/>
    <x v="3"/>
    <s v="TRK91653000"/>
    <s v="7"/>
    <x v="2"/>
    <s v="Email"/>
    <n v="1023.44"/>
  </r>
  <r>
    <x v="1099"/>
    <x v="556"/>
    <s v="C21953"/>
    <x v="5"/>
    <n v="2"/>
    <n v="125.23"/>
    <s v="272 Main St"/>
    <x v="4"/>
    <x v="1"/>
    <s v="TRK60774796"/>
    <s v="3"/>
    <x v="1"/>
    <s v="Email"/>
    <n v="250.46"/>
  </r>
  <r>
    <x v="1100"/>
    <x v="538"/>
    <s v="C15146"/>
    <x v="5"/>
    <n v="5"/>
    <n v="38.11"/>
    <s v="428 Main St"/>
    <x v="0"/>
    <x v="1"/>
    <s v="TRK79790530"/>
    <s v="6"/>
    <x v="3"/>
    <s v="Instagram"/>
    <n v="190.55"/>
  </r>
  <r>
    <x v="1101"/>
    <x v="647"/>
    <s v="C43546"/>
    <x v="0"/>
    <n v="3"/>
    <n v="161.97"/>
    <s v="904 Main St"/>
    <x v="4"/>
    <x v="4"/>
    <s v="TRK85871121"/>
    <s v="4"/>
    <x v="0"/>
    <s v="Email"/>
    <n v="485.91"/>
  </r>
  <r>
    <x v="1102"/>
    <x v="561"/>
    <s v="C98474"/>
    <x v="3"/>
    <n v="4"/>
    <n v="347.17"/>
    <s v="997 Main St"/>
    <x v="0"/>
    <x v="0"/>
    <s v="TRK86192984"/>
    <s v="8"/>
    <x v="2"/>
    <s v="Instagram"/>
    <n v="1388.68"/>
  </r>
  <r>
    <x v="1103"/>
    <x v="648"/>
    <s v="C90292"/>
    <x v="5"/>
    <n v="4"/>
    <n v="276.32"/>
    <s v="129 Main St"/>
    <x v="1"/>
    <x v="3"/>
    <s v="TRK26270357"/>
    <s v="5"/>
    <x v="2"/>
    <s v="Google"/>
    <n v="1105.28"/>
  </r>
  <r>
    <x v="1104"/>
    <x v="568"/>
    <s v="C17075"/>
    <x v="2"/>
    <n v="4"/>
    <n v="314.76"/>
    <s v="850 Main St"/>
    <x v="1"/>
    <x v="0"/>
    <s v="TRK63547510"/>
    <s v="8"/>
    <x v="2"/>
    <s v="Instagram"/>
    <n v="1259.04"/>
  </r>
  <r>
    <x v="1105"/>
    <x v="649"/>
    <s v="C12487"/>
    <x v="2"/>
    <n v="3"/>
    <n v="475.69"/>
    <s v="884 Main St"/>
    <x v="3"/>
    <x v="1"/>
    <s v="TRK23324770"/>
    <s v="3"/>
    <x v="1"/>
    <s v="Google"/>
    <n v="1427.07"/>
  </r>
  <r>
    <x v="1106"/>
    <x v="255"/>
    <s v="C34555"/>
    <x v="3"/>
    <n v="1"/>
    <n v="372.8"/>
    <s v="903 Main St"/>
    <x v="4"/>
    <x v="1"/>
    <s v="TRK72859458"/>
    <s v="6"/>
    <x v="0"/>
    <s v="Facebook"/>
    <n v="372.8"/>
  </r>
  <r>
    <x v="1107"/>
    <x v="233"/>
    <s v="C25110"/>
    <x v="2"/>
    <n v="2"/>
    <n v="63.21"/>
    <s v="282 Main St"/>
    <x v="1"/>
    <x v="1"/>
    <s v="TRK80963328"/>
    <s v="4"/>
    <x v="0"/>
    <s v="Google"/>
    <n v="126.42"/>
  </r>
  <r>
    <x v="1108"/>
    <x v="650"/>
    <s v="C35136"/>
    <x v="5"/>
    <n v="1"/>
    <n v="634.94000000000005"/>
    <s v="462 Main St"/>
    <x v="1"/>
    <x v="1"/>
    <s v="TRK49753703"/>
    <s v="5"/>
    <x v="3"/>
    <s v="Instagram"/>
    <n v="634.94000000000005"/>
  </r>
  <r>
    <x v="1109"/>
    <x v="651"/>
    <s v="C62277"/>
    <x v="4"/>
    <n v="4"/>
    <n v="77.47"/>
    <s v="474 Main St"/>
    <x v="3"/>
    <x v="2"/>
    <s v="TRK32026174"/>
    <s v="7"/>
    <x v="0"/>
    <s v="Instagram"/>
    <n v="309.88"/>
  </r>
  <r>
    <x v="1110"/>
    <x v="402"/>
    <s v="C12472"/>
    <x v="3"/>
    <n v="3"/>
    <n v="84.31"/>
    <s v="912 Main St"/>
    <x v="2"/>
    <x v="0"/>
    <s v="TRK36103184"/>
    <s v="3"/>
    <x v="0"/>
    <s v="Email"/>
    <n v="252.93"/>
  </r>
  <r>
    <x v="1111"/>
    <x v="306"/>
    <s v="C24047"/>
    <x v="0"/>
    <n v="4"/>
    <n v="234.45"/>
    <s v="362 Main St"/>
    <x v="1"/>
    <x v="1"/>
    <s v="TRK91338580"/>
    <s v="9"/>
    <x v="1"/>
    <s v="Instagram"/>
    <n v="937.8"/>
  </r>
  <r>
    <x v="1112"/>
    <x v="652"/>
    <s v="C76929"/>
    <x v="6"/>
    <n v="1"/>
    <n v="356.81"/>
    <s v="563 Main St"/>
    <x v="1"/>
    <x v="3"/>
    <s v="TRK80694400"/>
    <s v="1"/>
    <x v="3"/>
    <s v="Instagram"/>
    <n v="356.81"/>
  </r>
  <r>
    <x v="1113"/>
    <x v="111"/>
    <s v="C52914"/>
    <x v="6"/>
    <n v="4"/>
    <n v="209.99"/>
    <s v="168 Main St"/>
    <x v="4"/>
    <x v="3"/>
    <s v="TRK80819053"/>
    <s v="8"/>
    <x v="2"/>
    <s v="Google"/>
    <n v="839.96"/>
  </r>
  <r>
    <x v="1114"/>
    <x v="653"/>
    <s v="C55164"/>
    <x v="2"/>
    <n v="3"/>
    <n v="659.88"/>
    <s v="609 Main St"/>
    <x v="3"/>
    <x v="1"/>
    <s v="TRK79610967"/>
    <s v="3"/>
    <x v="2"/>
    <s v="Google"/>
    <n v="1979.64"/>
  </r>
  <r>
    <x v="1115"/>
    <x v="126"/>
    <s v="C70426"/>
    <x v="5"/>
    <n v="2"/>
    <n v="336.32"/>
    <s v="562 Main St"/>
    <x v="1"/>
    <x v="2"/>
    <s v="TRK89687816"/>
    <s v="3"/>
    <x v="2"/>
    <s v="Google"/>
    <n v="672.64"/>
  </r>
  <r>
    <x v="1116"/>
    <x v="612"/>
    <s v="C69149"/>
    <x v="4"/>
    <n v="2"/>
    <n v="531.49"/>
    <s v="562 Main St"/>
    <x v="2"/>
    <x v="3"/>
    <s v="TRK61265132"/>
    <s v="7"/>
    <x v="3"/>
    <s v="Facebook"/>
    <n v="1062.98"/>
  </r>
  <r>
    <x v="1117"/>
    <x v="199"/>
    <s v="C78684"/>
    <x v="3"/>
    <n v="3"/>
    <n v="588.44000000000005"/>
    <s v="858 Main St"/>
    <x v="3"/>
    <x v="0"/>
    <s v="TRK95779073"/>
    <s v="8"/>
    <x v="3"/>
    <s v="Google"/>
    <n v="1765.32"/>
  </r>
  <r>
    <x v="1118"/>
    <x v="75"/>
    <s v="C58168"/>
    <x v="1"/>
    <n v="3"/>
    <n v="251.48"/>
    <s v="359 Main St"/>
    <x v="2"/>
    <x v="2"/>
    <s v="TRK99102265"/>
    <s v="4"/>
    <x v="2"/>
    <s v="Email"/>
    <n v="754.44"/>
  </r>
  <r>
    <x v="1119"/>
    <x v="167"/>
    <s v="C99024"/>
    <x v="5"/>
    <n v="1"/>
    <n v="684.65"/>
    <s v="250 Main St"/>
    <x v="2"/>
    <x v="3"/>
    <s v="TRK24675988"/>
    <s v="1"/>
    <x v="1"/>
    <s v="Email"/>
    <n v="684.65"/>
  </r>
  <r>
    <x v="1120"/>
    <x v="400"/>
    <s v="C22919"/>
    <x v="2"/>
    <n v="1"/>
    <n v="195.86"/>
    <s v="267 Main St"/>
    <x v="1"/>
    <x v="4"/>
    <s v="TRK82416295"/>
    <s v="3"/>
    <x v="2"/>
    <s v="Facebook"/>
    <n v="195.86"/>
  </r>
  <r>
    <x v="1121"/>
    <x v="654"/>
    <s v="C98354"/>
    <x v="1"/>
    <n v="3"/>
    <n v="50.34"/>
    <s v="393 Main St"/>
    <x v="3"/>
    <x v="2"/>
    <s v="TRK43070888"/>
    <s v="3"/>
    <x v="1"/>
    <s v="Instagram"/>
    <n v="151.02000000000001"/>
  </r>
  <r>
    <x v="1122"/>
    <x v="323"/>
    <s v="C38840"/>
    <x v="0"/>
    <n v="5"/>
    <n v="678.19"/>
    <s v="766 Main St"/>
    <x v="1"/>
    <x v="2"/>
    <s v="TRK32496970"/>
    <s v="8"/>
    <x v="2"/>
    <s v="Facebook"/>
    <n v="3390.95"/>
  </r>
  <r>
    <x v="1123"/>
    <x v="655"/>
    <s v="C68936"/>
    <x v="2"/>
    <n v="3"/>
    <n v="554.25"/>
    <s v="843 Main St"/>
    <x v="0"/>
    <x v="0"/>
    <s v="TRK73163634"/>
    <s v="6"/>
    <x v="3"/>
    <s v="Referral"/>
    <n v="1662.75"/>
  </r>
  <r>
    <x v="1124"/>
    <x v="221"/>
    <s v="C33744"/>
    <x v="3"/>
    <n v="4"/>
    <n v="576.87"/>
    <s v="888 Main St"/>
    <x v="3"/>
    <x v="2"/>
    <s v="TRK40245983"/>
    <s v="5"/>
    <x v="2"/>
    <s v="Instagram"/>
    <n v="2307.48"/>
  </r>
  <r>
    <x v="1125"/>
    <x v="504"/>
    <s v="C23555"/>
    <x v="6"/>
    <n v="4"/>
    <n v="408.36"/>
    <s v="156 Main St"/>
    <x v="3"/>
    <x v="1"/>
    <s v="TRK67210247"/>
    <s v="4"/>
    <x v="1"/>
    <s v="Referral"/>
    <n v="1633.44"/>
  </r>
  <r>
    <x v="1126"/>
    <x v="319"/>
    <s v="C34337"/>
    <x v="1"/>
    <n v="5"/>
    <n v="190.11"/>
    <s v="325 Main St"/>
    <x v="4"/>
    <x v="3"/>
    <s v="TRK36195559"/>
    <s v="7"/>
    <x v="0"/>
    <s v="Google"/>
    <n v="950.55"/>
  </r>
  <r>
    <x v="1127"/>
    <x v="175"/>
    <s v="C69396"/>
    <x v="4"/>
    <n v="3"/>
    <n v="602.75"/>
    <s v="920 Main St"/>
    <x v="2"/>
    <x v="0"/>
    <s v="TRK33155049"/>
    <s v="6"/>
    <x v="0"/>
    <s v="Email"/>
    <n v="1808.25"/>
  </r>
  <r>
    <x v="1128"/>
    <x v="538"/>
    <s v="C49198"/>
    <x v="0"/>
    <n v="3"/>
    <n v="646.79"/>
    <s v="447 Main St"/>
    <x v="4"/>
    <x v="1"/>
    <s v="TRK10883354"/>
    <s v="5"/>
    <x v="3"/>
    <s v="Google"/>
    <n v="1940.37"/>
  </r>
  <r>
    <x v="1129"/>
    <x v="236"/>
    <s v="C43911"/>
    <x v="3"/>
    <n v="4"/>
    <n v="418.71"/>
    <s v="239 Main St"/>
    <x v="4"/>
    <x v="4"/>
    <s v="TRK37495481"/>
    <s v="8"/>
    <x v="1"/>
    <s v="Instagram"/>
    <n v="1674.84"/>
  </r>
  <r>
    <x v="1130"/>
    <x v="656"/>
    <s v="C24347"/>
    <x v="5"/>
    <n v="2"/>
    <n v="323.45"/>
    <s v="533 Main St"/>
    <x v="2"/>
    <x v="2"/>
    <s v="TRK27233265"/>
    <s v="5"/>
    <x v="1"/>
    <s v="Instagram"/>
    <n v="646.9"/>
  </r>
  <r>
    <x v="1131"/>
    <x v="408"/>
    <s v="C21043"/>
    <x v="1"/>
    <n v="1"/>
    <n v="694.5"/>
    <s v="195 Main St"/>
    <x v="2"/>
    <x v="4"/>
    <s v="TRK41691086"/>
    <s v="3"/>
    <x v="3"/>
    <s v="Facebook"/>
    <n v="694.5"/>
  </r>
  <r>
    <x v="1132"/>
    <x v="657"/>
    <s v="C58858"/>
    <x v="3"/>
    <n v="2"/>
    <n v="337.32"/>
    <s v="948 Main St"/>
    <x v="2"/>
    <x v="1"/>
    <s v="TRK30406357"/>
    <s v="4"/>
    <x v="0"/>
    <s v="Email"/>
    <n v="674.64"/>
  </r>
  <r>
    <x v="1133"/>
    <x v="398"/>
    <s v="C20670"/>
    <x v="4"/>
    <n v="2"/>
    <n v="467.91"/>
    <s v="432 Main St"/>
    <x v="3"/>
    <x v="2"/>
    <s v="TRK76731303"/>
    <s v="5"/>
    <x v="3"/>
    <s v="Facebook"/>
    <n v="935.82"/>
  </r>
  <r>
    <x v="1134"/>
    <x v="180"/>
    <s v="C90993"/>
    <x v="6"/>
    <n v="4"/>
    <n v="38.28"/>
    <s v="950 Main St"/>
    <x v="0"/>
    <x v="1"/>
    <s v="TRK53964711"/>
    <s v="4"/>
    <x v="3"/>
    <s v="Facebook"/>
    <n v="153.12"/>
  </r>
  <r>
    <x v="1135"/>
    <x v="153"/>
    <s v="C11473"/>
    <x v="4"/>
    <n v="2"/>
    <n v="73.41"/>
    <s v="562 Main St"/>
    <x v="1"/>
    <x v="0"/>
    <s v="TRK97793275"/>
    <s v="2"/>
    <x v="0"/>
    <s v="Google"/>
    <n v="146.82"/>
  </r>
  <r>
    <x v="1136"/>
    <x v="463"/>
    <s v="C71899"/>
    <x v="2"/>
    <n v="3"/>
    <n v="668.33"/>
    <s v="799 Main St"/>
    <x v="3"/>
    <x v="4"/>
    <s v="TRK34856025"/>
    <s v="4"/>
    <x v="3"/>
    <s v="Facebook"/>
    <n v="2004.99"/>
  </r>
  <r>
    <x v="1137"/>
    <x v="511"/>
    <s v="C48577"/>
    <x v="4"/>
    <n v="4"/>
    <n v="410.21"/>
    <s v="841 Main St"/>
    <x v="4"/>
    <x v="4"/>
    <s v="TRK59911645"/>
    <s v="5"/>
    <x v="3"/>
    <s v="Instagram"/>
    <n v="1640.84"/>
  </r>
  <r>
    <x v="1138"/>
    <x v="552"/>
    <s v="C13100"/>
    <x v="6"/>
    <n v="4"/>
    <n v="294.41000000000003"/>
    <s v="188 Main St"/>
    <x v="0"/>
    <x v="4"/>
    <s v="TRK55565668"/>
    <s v="4"/>
    <x v="2"/>
    <s v="Instagram"/>
    <n v="1177.6400000000001"/>
  </r>
  <r>
    <x v="1139"/>
    <x v="627"/>
    <s v="C70659"/>
    <x v="3"/>
    <n v="3"/>
    <n v="501.82"/>
    <s v="568 Main St"/>
    <x v="3"/>
    <x v="1"/>
    <s v="TRK28290825"/>
    <s v="4"/>
    <x v="1"/>
    <s v="Email"/>
    <n v="1505.46"/>
  </r>
  <r>
    <x v="1140"/>
    <x v="658"/>
    <s v="C49838"/>
    <x v="4"/>
    <n v="2"/>
    <n v="552.83000000000004"/>
    <s v="904 Main St"/>
    <x v="2"/>
    <x v="1"/>
    <s v="TRK38297718"/>
    <s v="3"/>
    <x v="2"/>
    <s v="Referral"/>
    <n v="1105.6600000000001"/>
  </r>
  <r>
    <x v="1141"/>
    <x v="656"/>
    <s v="C11998"/>
    <x v="3"/>
    <n v="3"/>
    <n v="498.66"/>
    <s v="382 Main St"/>
    <x v="4"/>
    <x v="1"/>
    <s v="TRK26707221"/>
    <s v="6"/>
    <x v="2"/>
    <s v="Email"/>
    <n v="1495.98"/>
  </r>
  <r>
    <x v="1142"/>
    <x v="1"/>
    <s v="C23405"/>
    <x v="1"/>
    <n v="4"/>
    <n v="695.1"/>
    <s v="484 Main St"/>
    <x v="0"/>
    <x v="2"/>
    <s v="TRK83678708"/>
    <s v="8"/>
    <x v="2"/>
    <s v="Email"/>
    <n v="2780.4"/>
  </r>
  <r>
    <x v="1143"/>
    <x v="659"/>
    <s v="C41132"/>
    <x v="3"/>
    <n v="1"/>
    <n v="381.61"/>
    <s v="114 Main St"/>
    <x v="0"/>
    <x v="4"/>
    <s v="TRK51040137"/>
    <s v="5"/>
    <x v="2"/>
    <s v="Email"/>
    <n v="381.61"/>
  </r>
  <r>
    <x v="1144"/>
    <x v="223"/>
    <s v="C88463"/>
    <x v="6"/>
    <n v="5"/>
    <n v="507.94"/>
    <s v="292 Main St"/>
    <x v="1"/>
    <x v="1"/>
    <s v="TRK88749996"/>
    <s v="9"/>
    <x v="2"/>
    <s v="Facebook"/>
    <n v="2539.6999999999998"/>
  </r>
  <r>
    <x v="1145"/>
    <x v="275"/>
    <s v="C28152"/>
    <x v="6"/>
    <n v="3"/>
    <n v="571.53"/>
    <s v="821 Main St"/>
    <x v="0"/>
    <x v="3"/>
    <s v="TRK59642814"/>
    <s v="6"/>
    <x v="1"/>
    <s v="Facebook"/>
    <n v="1714.59"/>
  </r>
  <r>
    <x v="1146"/>
    <x v="525"/>
    <s v="C36383"/>
    <x v="0"/>
    <n v="5"/>
    <n v="421.44"/>
    <s v="286 Main St"/>
    <x v="4"/>
    <x v="4"/>
    <s v="TRK93336357"/>
    <s v="5"/>
    <x v="0"/>
    <s v="Instagram"/>
    <n v="2107.1999999999998"/>
  </r>
  <r>
    <x v="1147"/>
    <x v="143"/>
    <s v="C19759"/>
    <x v="3"/>
    <n v="2"/>
    <n v="588.29999999999995"/>
    <s v="234 Main St"/>
    <x v="1"/>
    <x v="4"/>
    <s v="TRK22515454"/>
    <s v="2"/>
    <x v="1"/>
    <s v="Email"/>
    <n v="1176.5999999999999"/>
  </r>
  <r>
    <x v="1148"/>
    <x v="611"/>
    <s v="C54886"/>
    <x v="1"/>
    <n v="1"/>
    <n v="355.15"/>
    <s v="442 Main St"/>
    <x v="4"/>
    <x v="2"/>
    <s v="TRK66241930"/>
    <s v="2"/>
    <x v="0"/>
    <s v="Email"/>
    <n v="355.15"/>
  </r>
  <r>
    <x v="1149"/>
    <x v="568"/>
    <s v="C27305"/>
    <x v="3"/>
    <n v="2"/>
    <n v="695.29"/>
    <s v="957 Main St"/>
    <x v="2"/>
    <x v="4"/>
    <s v="TRK28789916"/>
    <s v="6"/>
    <x v="1"/>
    <s v="Instagram"/>
    <n v="1390.58"/>
  </r>
  <r>
    <x v="1150"/>
    <x v="215"/>
    <s v="C17921"/>
    <x v="6"/>
    <n v="4"/>
    <n v="302.64999999999998"/>
    <s v="119 Main St"/>
    <x v="2"/>
    <x v="1"/>
    <s v="TRK79291524"/>
    <s v="8"/>
    <x v="0"/>
    <s v="Referral"/>
    <n v="1210.5999999999999"/>
  </r>
  <r>
    <x v="1151"/>
    <x v="22"/>
    <s v="C94381"/>
    <x v="3"/>
    <n v="2"/>
    <n v="608.04"/>
    <s v="962 Main St"/>
    <x v="4"/>
    <x v="1"/>
    <s v="TRK69804304"/>
    <s v="4"/>
    <x v="2"/>
    <s v="Google"/>
    <n v="1216.08"/>
  </r>
  <r>
    <x v="1152"/>
    <x v="576"/>
    <s v="C25162"/>
    <x v="2"/>
    <n v="2"/>
    <n v="344.18"/>
    <s v="533 Main St"/>
    <x v="2"/>
    <x v="0"/>
    <s v="TRK42183078"/>
    <s v="7"/>
    <x v="2"/>
    <s v="Referral"/>
    <n v="688.36"/>
  </r>
  <r>
    <x v="1153"/>
    <x v="393"/>
    <s v="C98317"/>
    <x v="0"/>
    <n v="4"/>
    <n v="696.71"/>
    <s v="276 Main St"/>
    <x v="0"/>
    <x v="0"/>
    <s v="TRK37172138"/>
    <s v="4"/>
    <x v="2"/>
    <s v="Instagram"/>
    <n v="2786.84"/>
  </r>
  <r>
    <x v="1154"/>
    <x v="113"/>
    <s v="C53631"/>
    <x v="0"/>
    <n v="3"/>
    <n v="198.63"/>
    <s v="593 Main St"/>
    <x v="4"/>
    <x v="4"/>
    <s v="TRK67589167"/>
    <s v="8"/>
    <x v="0"/>
    <s v="Instagram"/>
    <n v="595.89"/>
  </r>
  <r>
    <x v="1155"/>
    <x v="340"/>
    <s v="C41478"/>
    <x v="4"/>
    <n v="4"/>
    <n v="534.57000000000005"/>
    <s v="667 Main St"/>
    <x v="2"/>
    <x v="3"/>
    <s v="TRK62068126"/>
    <s v="6"/>
    <x v="1"/>
    <s v="Facebook"/>
    <n v="2138.2800000000002"/>
  </r>
  <r>
    <x v="1156"/>
    <x v="45"/>
    <s v="C20512"/>
    <x v="5"/>
    <n v="4"/>
    <n v="690.78"/>
    <s v="980 Main St"/>
    <x v="2"/>
    <x v="0"/>
    <s v="TRK98234737"/>
    <s v="9"/>
    <x v="2"/>
    <s v="Referral"/>
    <n v="2763.12"/>
  </r>
  <r>
    <x v="1157"/>
    <x v="382"/>
    <s v="C25841"/>
    <x v="0"/>
    <n v="3"/>
    <n v="301.55"/>
    <s v="242 Main St"/>
    <x v="0"/>
    <x v="3"/>
    <s v="TRK21451375"/>
    <s v="5"/>
    <x v="1"/>
    <s v="Google"/>
    <n v="904.65"/>
  </r>
  <r>
    <x v="1158"/>
    <x v="197"/>
    <s v="C82781"/>
    <x v="0"/>
    <n v="4"/>
    <n v="27.42"/>
    <s v="661 Main St"/>
    <x v="0"/>
    <x v="4"/>
    <s v="TRK20605418"/>
    <s v="4"/>
    <x v="0"/>
    <s v="Referral"/>
    <n v="109.68"/>
  </r>
  <r>
    <x v="1159"/>
    <x v="203"/>
    <s v="C66112"/>
    <x v="6"/>
    <n v="4"/>
    <n v="466.7"/>
    <s v="874 Main St"/>
    <x v="0"/>
    <x v="2"/>
    <s v="TRK60955607"/>
    <s v="8"/>
    <x v="2"/>
    <s v="Instagram"/>
    <n v="1866.8"/>
  </r>
  <r>
    <x v="1160"/>
    <x v="333"/>
    <s v="C40466"/>
    <x v="6"/>
    <n v="1"/>
    <n v="541.64"/>
    <s v="449 Main St"/>
    <x v="0"/>
    <x v="0"/>
    <s v="TRK70255168"/>
    <s v="5"/>
    <x v="0"/>
    <s v="Email"/>
    <n v="541.64"/>
  </r>
  <r>
    <x v="1161"/>
    <x v="504"/>
    <s v="C32570"/>
    <x v="1"/>
    <n v="1"/>
    <n v="11.39"/>
    <s v="826 Main St"/>
    <x v="4"/>
    <x v="1"/>
    <s v="TRK35969968"/>
    <s v="6"/>
    <x v="3"/>
    <s v="Email"/>
    <n v="11.39"/>
  </r>
  <r>
    <x v="1162"/>
    <x v="660"/>
    <s v="C29405"/>
    <x v="1"/>
    <n v="2"/>
    <n v="224.37"/>
    <s v="251 Main St"/>
    <x v="0"/>
    <x v="3"/>
    <s v="TRK33125798"/>
    <s v="3"/>
    <x v="3"/>
    <s v="Referral"/>
    <n v="448.74"/>
  </r>
  <r>
    <x v="1163"/>
    <x v="184"/>
    <s v="C30643"/>
    <x v="5"/>
    <n v="3"/>
    <n v="306.29000000000002"/>
    <s v="966 Main St"/>
    <x v="2"/>
    <x v="2"/>
    <s v="TRK19477485"/>
    <s v="7"/>
    <x v="3"/>
    <s v="Instagram"/>
    <n v="918.87"/>
  </r>
  <r>
    <x v="1164"/>
    <x v="649"/>
    <s v="C65890"/>
    <x v="2"/>
    <n v="5"/>
    <n v="315.57"/>
    <s v="340 Main St"/>
    <x v="0"/>
    <x v="3"/>
    <s v="TRK64530489"/>
    <s v="6"/>
    <x v="3"/>
    <s v="Email"/>
    <n v="1577.85"/>
  </r>
  <r>
    <x v="1165"/>
    <x v="328"/>
    <s v="C36992"/>
    <x v="3"/>
    <n v="3"/>
    <n v="223.79"/>
    <s v="617 Main St"/>
    <x v="0"/>
    <x v="4"/>
    <s v="TRK63460217"/>
    <s v="3"/>
    <x v="2"/>
    <s v="Google"/>
    <n v="671.37"/>
  </r>
  <r>
    <x v="1166"/>
    <x v="48"/>
    <s v="C95568"/>
    <x v="3"/>
    <n v="3"/>
    <n v="324.47000000000003"/>
    <s v="971 Main St"/>
    <x v="4"/>
    <x v="3"/>
    <s v="TRK37075292"/>
    <s v="4"/>
    <x v="3"/>
    <s v="Email"/>
    <n v="973.41"/>
  </r>
  <r>
    <x v="1167"/>
    <x v="661"/>
    <s v="C17966"/>
    <x v="4"/>
    <n v="2"/>
    <n v="92.87"/>
    <s v="360 Main St"/>
    <x v="2"/>
    <x v="4"/>
    <s v="TRK31169396"/>
    <s v="5"/>
    <x v="1"/>
    <s v="Facebook"/>
    <n v="185.74"/>
  </r>
  <r>
    <x v="1168"/>
    <x v="505"/>
    <s v="C89559"/>
    <x v="5"/>
    <n v="2"/>
    <n v="331.42"/>
    <s v="297 Main St"/>
    <x v="2"/>
    <x v="3"/>
    <s v="TRK82838108"/>
    <s v="6"/>
    <x v="3"/>
    <s v="Google"/>
    <n v="662.84"/>
  </r>
  <r>
    <x v="1169"/>
    <x v="662"/>
    <s v="C15849"/>
    <x v="3"/>
    <n v="1"/>
    <n v="525.42999999999995"/>
    <s v="643 Main St"/>
    <x v="4"/>
    <x v="1"/>
    <s v="TRK26794546"/>
    <s v="2"/>
    <x v="0"/>
    <s v="Instagram"/>
    <n v="525.42999999999995"/>
  </r>
  <r>
    <x v="1170"/>
    <x v="567"/>
    <s v="C94257"/>
    <x v="4"/>
    <n v="2"/>
    <n v="697.19"/>
    <s v="762 Main St"/>
    <x v="4"/>
    <x v="2"/>
    <s v="TRK40220743"/>
    <s v="7"/>
    <x v="1"/>
    <s v="Email"/>
    <n v="1394.38"/>
  </r>
  <r>
    <x v="1171"/>
    <x v="81"/>
    <s v="C39911"/>
    <x v="1"/>
    <n v="4"/>
    <n v="518.4"/>
    <s v="699 Main St"/>
    <x v="2"/>
    <x v="3"/>
    <s v="TRK80431998"/>
    <s v="7"/>
    <x v="0"/>
    <s v="Facebook"/>
    <n v="2073.6"/>
  </r>
  <r>
    <x v="1172"/>
    <x v="496"/>
    <s v="C28828"/>
    <x v="6"/>
    <n v="3"/>
    <n v="131.96"/>
    <s v="745 Main St"/>
    <x v="2"/>
    <x v="4"/>
    <s v="TRK32550359"/>
    <s v="8"/>
    <x v="2"/>
    <s v="Instagram"/>
    <n v="395.88"/>
  </r>
  <r>
    <x v="1173"/>
    <x v="449"/>
    <s v="C82921"/>
    <x v="0"/>
    <n v="1"/>
    <n v="208.36"/>
    <s v="703 Main St"/>
    <x v="1"/>
    <x v="0"/>
    <s v="TRK31079911"/>
    <s v="4"/>
    <x v="1"/>
    <s v="Email"/>
    <n v="208.36"/>
  </r>
  <r>
    <x v="1174"/>
    <x v="110"/>
    <s v="C50159"/>
    <x v="4"/>
    <n v="3"/>
    <n v="222.34"/>
    <s v="105 Main St"/>
    <x v="2"/>
    <x v="2"/>
    <s v="TRK53737452"/>
    <s v="5"/>
    <x v="3"/>
    <s v="Email"/>
    <n v="667.02"/>
  </r>
  <r>
    <x v="1175"/>
    <x v="663"/>
    <s v="C62512"/>
    <x v="4"/>
    <n v="3"/>
    <n v="91.74"/>
    <s v="368 Main St"/>
    <x v="0"/>
    <x v="2"/>
    <s v="TRK24139954"/>
    <s v="8"/>
    <x v="1"/>
    <s v="Referral"/>
    <n v="275.22000000000003"/>
  </r>
  <r>
    <x v="1176"/>
    <x v="340"/>
    <s v="C39260"/>
    <x v="2"/>
    <n v="2"/>
    <n v="213.83"/>
    <s v="374 Main St"/>
    <x v="0"/>
    <x v="1"/>
    <s v="TRK55587314"/>
    <s v="2"/>
    <x v="3"/>
    <s v="Email"/>
    <n v="427.66"/>
  </r>
  <r>
    <x v="1177"/>
    <x v="664"/>
    <s v="C23917"/>
    <x v="4"/>
    <n v="1"/>
    <n v="127.55"/>
    <s v="433 Main St"/>
    <x v="4"/>
    <x v="0"/>
    <s v="TRK44434536"/>
    <s v="3"/>
    <x v="0"/>
    <s v="Referral"/>
    <n v="127.55"/>
  </r>
  <r>
    <x v="1178"/>
    <x v="50"/>
    <s v="C65107"/>
    <x v="0"/>
    <n v="1"/>
    <n v="70.239999999999995"/>
    <s v="456 Main St"/>
    <x v="2"/>
    <x v="1"/>
    <s v="TRK10261578"/>
    <s v="4"/>
    <x v="1"/>
    <s v="Google"/>
    <n v="70.239999999999995"/>
  </r>
  <r>
    <x v="1179"/>
    <x v="124"/>
    <s v="C84630"/>
    <x v="5"/>
    <n v="5"/>
    <n v="518.54999999999995"/>
    <s v="907 Main St"/>
    <x v="2"/>
    <x v="1"/>
    <s v="TRK48054997"/>
    <s v="6"/>
    <x v="3"/>
    <s v="Instagram"/>
    <n v="2592.75"/>
  </r>
  <r>
    <x v="1180"/>
    <x v="150"/>
    <s v="C42235"/>
    <x v="3"/>
    <n v="4"/>
    <n v="298.36"/>
    <s v="722 Main St"/>
    <x v="0"/>
    <x v="4"/>
    <s v="TRK49379882"/>
    <s v="8"/>
    <x v="1"/>
    <s v="Google"/>
    <n v="1193.44"/>
  </r>
  <r>
    <x v="1181"/>
    <x v="152"/>
    <s v="C70246"/>
    <x v="6"/>
    <n v="3"/>
    <n v="158.74"/>
    <s v="293 Main St"/>
    <x v="1"/>
    <x v="4"/>
    <s v="TRK45708320"/>
    <s v="7"/>
    <x v="1"/>
    <s v="Instagram"/>
    <n v="476.22"/>
  </r>
  <r>
    <x v="1182"/>
    <x v="554"/>
    <s v="C18473"/>
    <x v="3"/>
    <n v="2"/>
    <n v="420.29"/>
    <s v="700 Main St"/>
    <x v="3"/>
    <x v="2"/>
    <s v="TRK97834202"/>
    <s v="3"/>
    <x v="0"/>
    <s v="Google"/>
    <n v="840.58"/>
  </r>
  <r>
    <x v="1183"/>
    <x v="228"/>
    <s v="C12607"/>
    <x v="6"/>
    <n v="1"/>
    <n v="281.52"/>
    <s v="460 Main St"/>
    <x v="3"/>
    <x v="0"/>
    <s v="TRK83653396"/>
    <s v="6"/>
    <x v="3"/>
    <s v="Referral"/>
    <n v="281.52"/>
  </r>
  <r>
    <x v="1184"/>
    <x v="610"/>
    <s v="C10222"/>
    <x v="5"/>
    <n v="1"/>
    <n v="204.08"/>
    <s v="979 Main St"/>
    <x v="3"/>
    <x v="2"/>
    <s v="TRK86297895"/>
    <s v="4"/>
    <x v="2"/>
    <s v="Google"/>
    <n v="204.08"/>
  </r>
  <r>
    <x v="1185"/>
    <x v="665"/>
    <s v="C77344"/>
    <x v="3"/>
    <n v="1"/>
    <n v="343.31"/>
    <s v="777 Main St"/>
    <x v="3"/>
    <x v="2"/>
    <s v="TRK20605055"/>
    <s v="6"/>
    <x v="0"/>
    <s v="Google"/>
    <n v="343.31"/>
  </r>
  <r>
    <x v="1186"/>
    <x v="134"/>
    <s v="C65497"/>
    <x v="0"/>
    <n v="1"/>
    <n v="163.32"/>
    <s v="676 Main St"/>
    <x v="4"/>
    <x v="0"/>
    <s v="TRK83702761"/>
    <s v="6"/>
    <x v="3"/>
    <s v="Facebook"/>
    <n v="163.32"/>
  </r>
  <r>
    <x v="1187"/>
    <x v="206"/>
    <s v="C26340"/>
    <x v="6"/>
    <n v="2"/>
    <n v="184.6"/>
    <s v="562 Main St"/>
    <x v="3"/>
    <x v="3"/>
    <s v="TRK59962703"/>
    <s v="7"/>
    <x v="3"/>
    <s v="Email"/>
    <n v="369.2"/>
  </r>
  <r>
    <x v="1188"/>
    <x v="47"/>
    <s v="C75619"/>
    <x v="4"/>
    <n v="2"/>
    <n v="371.29"/>
    <s v="924 Main St"/>
    <x v="3"/>
    <x v="0"/>
    <s v="TRK23086941"/>
    <s v="5"/>
    <x v="3"/>
    <s v="Facebook"/>
    <n v="742.58"/>
  </r>
  <r>
    <x v="1189"/>
    <x v="666"/>
    <s v="C96136"/>
    <x v="2"/>
    <n v="5"/>
    <n v="389.22"/>
    <s v="149 Main St"/>
    <x v="4"/>
    <x v="1"/>
    <s v="TRK60856682"/>
    <s v="7"/>
    <x v="2"/>
    <s v="Referral"/>
    <n v="1946.1"/>
  </r>
  <r>
    <x v="1190"/>
    <x v="647"/>
    <s v="C46886"/>
    <x v="6"/>
    <n v="3"/>
    <n v="616.39"/>
    <s v="754 Main St"/>
    <x v="2"/>
    <x v="0"/>
    <s v="TRK82791646"/>
    <s v="6"/>
    <x v="1"/>
    <s v="Instagram"/>
    <n v="1849.17"/>
  </r>
  <r>
    <x v="1191"/>
    <x v="441"/>
    <s v="C44148"/>
    <x v="6"/>
    <n v="4"/>
    <n v="376.43"/>
    <s v="809 Main St"/>
    <x v="3"/>
    <x v="4"/>
    <s v="TRK67872709"/>
    <s v="5"/>
    <x v="3"/>
    <s v="Instagram"/>
    <n v="1505.72"/>
  </r>
  <r>
    <x v="1192"/>
    <x v="329"/>
    <s v="C72007"/>
    <x v="3"/>
    <n v="3"/>
    <n v="432.85"/>
    <s v="999 Main St"/>
    <x v="1"/>
    <x v="4"/>
    <s v="TRK16240916"/>
    <s v="4"/>
    <x v="2"/>
    <s v="Instagram"/>
    <n v="1298.55"/>
  </r>
  <r>
    <x v="1193"/>
    <x v="667"/>
    <s v="C45104"/>
    <x v="2"/>
    <n v="1"/>
    <n v="687.89"/>
    <s v="348 Main St"/>
    <x v="4"/>
    <x v="2"/>
    <s v="TRK38559816"/>
    <s v="1"/>
    <x v="1"/>
    <s v="Email"/>
    <n v="687.89"/>
  </r>
  <r>
    <x v="1194"/>
    <x v="614"/>
    <s v="C29885"/>
    <x v="4"/>
    <n v="3"/>
    <n v="189.44"/>
    <s v="725 Main St"/>
    <x v="4"/>
    <x v="4"/>
    <s v="TRK62067865"/>
    <s v="4"/>
    <x v="1"/>
    <s v="Email"/>
    <n v="568.32000000000005"/>
  </r>
  <r>
    <x v="1195"/>
    <x v="643"/>
    <s v="C21126"/>
    <x v="6"/>
    <n v="1"/>
    <n v="107.04"/>
    <s v="392 Main St"/>
    <x v="2"/>
    <x v="1"/>
    <s v="TRK38009181"/>
    <s v="6"/>
    <x v="1"/>
    <s v="Google"/>
    <n v="107.04"/>
  </r>
  <r>
    <x v="1196"/>
    <x v="668"/>
    <s v="C20095"/>
    <x v="0"/>
    <n v="2"/>
    <n v="662.53"/>
    <s v="778 Main St"/>
    <x v="1"/>
    <x v="1"/>
    <s v="TRK69207593"/>
    <s v="5"/>
    <x v="2"/>
    <s v="Facebook"/>
    <n v="1325.06"/>
  </r>
  <r>
    <x v="1197"/>
    <x v="669"/>
    <s v="C79674"/>
    <x v="2"/>
    <n v="2"/>
    <n v="436.84"/>
    <s v="275 Main St"/>
    <x v="1"/>
    <x v="3"/>
    <s v="TRK88039356"/>
    <s v="2"/>
    <x v="1"/>
    <s v="Instagram"/>
    <n v="873.68"/>
  </r>
  <r>
    <x v="1198"/>
    <x v="670"/>
    <s v="C64753"/>
    <x v="3"/>
    <n v="4"/>
    <n v="262.52"/>
    <s v="509 Main St"/>
    <x v="0"/>
    <x v="1"/>
    <s v="TRK71683331"/>
    <s v="4"/>
    <x v="3"/>
    <s v="Instagram"/>
    <n v="1050.08"/>
  </r>
  <r>
    <x v="1199"/>
    <x v="236"/>
    <s v="C57502"/>
    <x v="2"/>
    <n v="4"/>
    <n v="560.58000000000004"/>
    <s v="201 Main St"/>
    <x v="3"/>
    <x v="2"/>
    <s v="TRK51116746"/>
    <s v="6"/>
    <x v="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66020-25B2-4372-82C2-9CC9EC08DDD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D21:D22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Average of TotalPrice" fld="13" subtotal="average" baseField="0" baseItem="2" numFmtId="2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D1DB2-54B7-4EBE-A807-5456175F087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B21:B22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1" showAll="0"/>
    <pivotField numFmtId="165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 Quantity" fld="4" baseField="0" baseItem="8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9C982-0C45-457B-8818-20682824088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A21:A22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Revenue" fld="13" baseField="0" baseItem="80" numFmtId="173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635AA-0E74-4E1C-B7A8-6815B652965D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ayment Method">
  <location ref="A13:B19" firstHeaderRow="1" firstDataRow="1" firstDataCol="1"/>
  <pivotFields count="16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5" showAll="0"/>
    <pivotField showAll="0"/>
    <pivotField axis="axisRow" showAll="0" sortType="a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3"/>
    </i>
    <i>
      <x v="2"/>
    </i>
    <i>
      <x v="1"/>
    </i>
    <i>
      <x/>
    </i>
    <i>
      <x v="4"/>
    </i>
    <i t="grand">
      <x/>
    </i>
  </rowItems>
  <colItems count="1">
    <i/>
  </colItems>
  <dataFields count="1">
    <dataField name="Total Orders" fld="0" subtotal="count" baseField="3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121E0-61CA-49D8-A5B5-DAEE3AC9BB2F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OrderStatus">
  <location ref="G2:H8" firstHeaderRow="1" firstDataRow="1" firstDataCol="1"/>
  <pivotFields count="16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/>
    <pivotField axis="axisRow" showAll="0" sortType="a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Total Orders" fld="0" subtotal="count" baseField="8" baseItem="0" numFmtId="1"/>
  </dataFields>
  <formats count="1">
    <format dxfId="2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7D04A-31C6-44AC-A1BC-C715CA60376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CouponCode">
  <location ref="D13:E18" firstHeaderRow="1" firstDataRow="1" firstDataCol="1"/>
  <pivotFields count="16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5"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Total Orders" fld="0" subtotal="count" baseField="3" baseItem="0"/>
  </dataFields>
  <chartFormats count="1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465C4-21C8-4F6C-ACB3-1D380819A56A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uponCode">
  <location ref="G13:I17" firstHeaderRow="0" firstDataRow="1" firstDataCol="1"/>
  <pivotFields count="16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1" showAll="0"/>
    <pivotField numFmtId="165"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dataField="1" numFmtId="165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15"/>
    <field x="14"/>
    <field x="1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/>
    <dataField name="Sum of TotalPrice" fld="13" baseField="0" baseItem="0"/>
  </dataFields>
  <chartFormats count="8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1"/>
          </reference>
          <reference field="15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1"/>
          </reference>
          <reference field="15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CC273-0878-46B8-8376-5C6EA50E2156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">
  <location ref="D2:E10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 numFmtId="165"/>
  </dataFields>
  <formats count="3">
    <format dxfId="8">
      <pivotArea dataOnly="0" fieldPosition="0">
        <references count="1">
          <reference field="3" count="1">
            <x v="5"/>
          </reference>
        </references>
      </pivotArea>
    </format>
    <format dxfId="7">
      <pivotArea outline="0" collapsedLevelsAreSubtotals="1" fieldPosition="0"/>
    </format>
    <format dxfId="1">
      <pivotArea collapsedLevelsAreSubtotals="1" fieldPosition="0">
        <references count="1">
          <reference field="3" count="0"/>
        </references>
      </pivotArea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A8704-2FF3-4894-B977-24E31FF6BF3A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roduct">
  <location ref="A2:B10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a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4"/>
    </i>
    <i>
      <x v="3"/>
    </i>
    <i>
      <x v="6"/>
    </i>
    <i>
      <x v="1"/>
    </i>
    <i>
      <x v="2"/>
    </i>
    <i>
      <x v="5"/>
    </i>
    <i>
      <x/>
    </i>
    <i t="grand">
      <x/>
    </i>
  </rowItems>
  <colItems count="1">
    <i/>
  </colItems>
  <dataFields count="1">
    <dataField name="Sum of Quantity" fld="4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0479C-77DC-49F4-A762-D37A7E1671A5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ouponCode">
  <location ref="J13:K18" firstHeaderRow="1" firstDataRow="1" firstDataCol="1"/>
  <pivotFields count="16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5"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Total Orders" fld="0" subtotal="count" showDataAs="percentOfTotal" baseField="3" baseItem="0" numFmtId="167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FB65D-0564-4F8C-A43E-77219FFA8502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J2:K10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Quantity" fld="4" subtotal="average" baseField="3" baseItem="3" numFmtId="166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0F675-B9CF-4DC6-866A-8E582D38071A}" name="PivotTable2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ID">
  <location ref="G3:H1204" firstHeaderRow="1" firstDataRow="1" firstDataCol="1"/>
  <pivotFields count="16">
    <pivotField axis="axisRow" showAll="0" sortType="descending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1" showAll="0"/>
    <pivotField numFmtId="165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1201">
    <i>
      <x v="1051"/>
    </i>
    <i>
      <x v="1006"/>
    </i>
    <i>
      <x v="1100"/>
    </i>
    <i>
      <x v="907"/>
    </i>
    <i>
      <x v="1031"/>
    </i>
    <i>
      <x v="911"/>
    </i>
    <i>
      <x v="1079"/>
    </i>
    <i>
      <x v="913"/>
    </i>
    <i>
      <x v="1146"/>
    </i>
    <i>
      <x v="916"/>
    </i>
    <i>
      <x v="1016"/>
    </i>
    <i>
      <x v="917"/>
    </i>
    <i>
      <x v="900"/>
    </i>
    <i>
      <x v="918"/>
    </i>
    <i>
      <x v="1062"/>
    </i>
    <i>
      <x v="924"/>
    </i>
    <i>
      <x v="1092"/>
    </i>
    <i>
      <x v="925"/>
    </i>
    <i>
      <x v="1126"/>
    </i>
    <i>
      <x v="941"/>
    </i>
    <i>
      <x v="1179"/>
    </i>
    <i>
      <x v="945"/>
    </i>
    <i>
      <x v="1014"/>
    </i>
    <i>
      <x v="949"/>
    </i>
    <i>
      <x v="1023"/>
    </i>
    <i>
      <x v="957"/>
    </i>
    <i>
      <x v="1045"/>
    </i>
    <i>
      <x v="963"/>
    </i>
    <i>
      <x v="1050"/>
    </i>
    <i>
      <x v="964"/>
    </i>
    <i>
      <x v="1061"/>
    </i>
    <i>
      <x v="966"/>
    </i>
    <i>
      <x v="1065"/>
    </i>
    <i>
      <x v="967"/>
    </i>
    <i>
      <x v="1080"/>
    </i>
    <i>
      <x v="973"/>
    </i>
    <i>
      <x v="1097"/>
    </i>
    <i>
      <x v="974"/>
    </i>
    <i>
      <x v="1122"/>
    </i>
    <i>
      <x v="987"/>
    </i>
    <i>
      <x v="1144"/>
    </i>
    <i>
      <x v="991"/>
    </i>
    <i>
      <x v="1164"/>
    </i>
    <i>
      <x v="1000"/>
    </i>
    <i>
      <x v="1189"/>
    </i>
    <i>
      <x v="1003"/>
    </i>
    <i>
      <x v="1049"/>
    </i>
    <i>
      <x v="789"/>
    </i>
    <i>
      <x v="855"/>
    </i>
    <i>
      <x v="813"/>
    </i>
    <i>
      <x v="601"/>
    </i>
    <i>
      <x v="768"/>
    </i>
    <i>
      <x v="608"/>
    </i>
    <i>
      <x v="803"/>
    </i>
    <i>
      <x v="610"/>
    </i>
    <i>
      <x v="832"/>
    </i>
    <i>
      <x v="615"/>
    </i>
    <i>
      <x v="866"/>
    </i>
    <i>
      <x v="621"/>
    </i>
    <i>
      <x v="781"/>
    </i>
    <i>
      <x v="622"/>
    </i>
    <i>
      <x v="798"/>
    </i>
    <i>
      <x v="624"/>
    </i>
    <i>
      <x v="806"/>
    </i>
    <i>
      <x v="628"/>
    </i>
    <i>
      <x v="820"/>
    </i>
    <i>
      <x v="630"/>
    </i>
    <i>
      <x v="834"/>
    </i>
    <i>
      <x v="632"/>
    </i>
    <i>
      <x v="859"/>
    </i>
    <i>
      <x v="633"/>
    </i>
    <i>
      <x v="876"/>
    </i>
    <i>
      <x v="642"/>
    </i>
    <i>
      <x v="777"/>
    </i>
    <i>
      <x v="652"/>
    </i>
    <i>
      <x v="786"/>
    </i>
    <i>
      <x v="671"/>
    </i>
    <i>
      <x v="793"/>
    </i>
    <i>
      <x v="677"/>
    </i>
    <i>
      <x v="802"/>
    </i>
    <i>
      <x v="692"/>
    </i>
    <i>
      <x v="805"/>
    </i>
    <i>
      <x v="695"/>
    </i>
    <i>
      <x v="809"/>
    </i>
    <i>
      <x v="697"/>
    </i>
    <i>
      <x v="816"/>
    </i>
    <i>
      <x v="706"/>
    </i>
    <i>
      <x v="825"/>
    </i>
    <i>
      <x v="710"/>
    </i>
    <i>
      <x v="833"/>
    </i>
    <i>
      <x v="720"/>
    </i>
    <i>
      <x v="837"/>
    </i>
    <i>
      <x v="727"/>
    </i>
    <i>
      <x v="858"/>
    </i>
    <i>
      <x v="731"/>
    </i>
    <i>
      <x v="861"/>
    </i>
    <i>
      <x v="736"/>
    </i>
    <i>
      <x v="875"/>
    </i>
    <i>
      <x v="741"/>
    </i>
    <i>
      <x v="883"/>
    </i>
    <i>
      <x v="764"/>
    </i>
    <i>
      <x v="889"/>
    </i>
    <i>
      <x v="575"/>
    </i>
    <i>
      <x v="491"/>
    </i>
    <i>
      <x v="450"/>
    </i>
    <i>
      <x v="304"/>
    </i>
    <i>
      <x v="543"/>
    </i>
    <i>
      <x v="311"/>
    </i>
    <i>
      <x v="424"/>
    </i>
    <i>
      <x v="312"/>
    </i>
    <i>
      <x v="469"/>
    </i>
    <i>
      <x v="315"/>
    </i>
    <i>
      <x v="527"/>
    </i>
    <i>
      <x v="322"/>
    </i>
    <i>
      <x v="567"/>
    </i>
    <i>
      <x v="326"/>
    </i>
    <i>
      <x v="594"/>
    </i>
    <i>
      <x v="328"/>
    </i>
    <i>
      <x v="434"/>
    </i>
    <i>
      <x v="330"/>
    </i>
    <i>
      <x v="463"/>
    </i>
    <i>
      <x v="332"/>
    </i>
    <i>
      <x v="483"/>
    </i>
    <i>
      <x v="338"/>
    </i>
    <i>
      <x v="500"/>
    </i>
    <i>
      <x v="340"/>
    </i>
    <i>
      <x v="540"/>
    </i>
    <i>
      <x v="342"/>
    </i>
    <i>
      <x v="564"/>
    </i>
    <i>
      <x v="345"/>
    </i>
    <i>
      <x v="573"/>
    </i>
    <i>
      <x v="352"/>
    </i>
    <i>
      <x v="578"/>
    </i>
    <i>
      <x v="356"/>
    </i>
    <i>
      <x v="417"/>
    </i>
    <i>
      <x v="357"/>
    </i>
    <i>
      <x v="426"/>
    </i>
    <i>
      <x v="361"/>
    </i>
    <i>
      <x v="446"/>
    </i>
    <i>
      <x v="363"/>
    </i>
    <i>
      <x v="456"/>
    </i>
    <i>
      <x v="364"/>
    </i>
    <i>
      <x v="465"/>
    </i>
    <i>
      <x v="367"/>
    </i>
    <i>
      <x v="471"/>
    </i>
    <i>
      <x v="369"/>
    </i>
    <i>
      <x v="490"/>
    </i>
    <i>
      <x v="371"/>
    </i>
    <i>
      <x v="492"/>
    </i>
    <i>
      <x v="376"/>
    </i>
    <i>
      <x v="511"/>
    </i>
    <i>
      <x v="378"/>
    </i>
    <i>
      <x v="531"/>
    </i>
    <i>
      <x v="385"/>
    </i>
    <i>
      <x v="541"/>
    </i>
    <i>
      <x v="390"/>
    </i>
    <i>
      <x v="544"/>
    </i>
    <i>
      <x v="394"/>
    </i>
    <i>
      <x v="565"/>
    </i>
    <i>
      <x v="396"/>
    </i>
    <i>
      <x v="569"/>
    </i>
    <i>
      <x v="398"/>
    </i>
    <i>
      <x v="574"/>
    </i>
    <i>
      <x v="399"/>
    </i>
    <i>
      <x v="576"/>
    </i>
    <i>
      <x v="402"/>
    </i>
    <i>
      <x v="587"/>
    </i>
    <i>
      <x v="409"/>
    </i>
    <i>
      <x v="598"/>
    </i>
    <i>
      <x v="412"/>
    </i>
    <i>
      <x v="442"/>
    </i>
    <i>
      <x v="189"/>
    </i>
    <i>
      <x v="144"/>
    </i>
    <i>
      <x v="261"/>
    </i>
    <i>
      <x v="2"/>
    </i>
    <i>
      <x v="177"/>
    </i>
    <i>
      <x v="7"/>
    </i>
    <i>
      <x v="219"/>
    </i>
    <i>
      <x v="10"/>
    </i>
    <i>
      <x v="284"/>
    </i>
    <i>
      <x v="19"/>
    </i>
    <i>
      <x v="164"/>
    </i>
    <i>
      <x v="20"/>
    </i>
    <i>
      <x v="181"/>
    </i>
    <i>
      <x v="26"/>
    </i>
    <i>
      <x v="200"/>
    </i>
    <i>
      <x v="32"/>
    </i>
    <i>
      <x v="241"/>
    </i>
    <i>
      <x v="57"/>
    </i>
    <i>
      <x v="277"/>
    </i>
    <i>
      <x v="65"/>
    </i>
    <i>
      <x v="296"/>
    </i>
    <i>
      <x v="66"/>
    </i>
    <i>
      <x v="151"/>
    </i>
    <i>
      <x v="74"/>
    </i>
    <i>
      <x v="175"/>
    </i>
    <i>
      <x v="86"/>
    </i>
    <i>
      <x v="180"/>
    </i>
    <i>
      <x v="89"/>
    </i>
    <i>
      <x v="183"/>
    </i>
    <i>
      <x v="91"/>
    </i>
    <i>
      <x v="197"/>
    </i>
    <i>
      <x v="97"/>
    </i>
    <i>
      <x v="209"/>
    </i>
    <i>
      <x v="107"/>
    </i>
    <i>
      <x v="221"/>
    </i>
    <i>
      <x v="108"/>
    </i>
    <i>
      <x v="256"/>
    </i>
    <i>
      <x v="113"/>
    </i>
    <i>
      <x v="267"/>
    </i>
    <i>
      <x v="114"/>
    </i>
    <i>
      <x v="278"/>
    </i>
    <i>
      <x v="115"/>
    </i>
    <i>
      <x v="295"/>
    </i>
    <i>
      <x v="118"/>
    </i>
    <i>
      <x v="142"/>
    </i>
    <i>
      <x/>
    </i>
    <i>
      <x v="1199"/>
    </i>
    <i>
      <x v="1125"/>
    </i>
    <i>
      <x v="1102"/>
    </i>
    <i>
      <x v="902"/>
    </i>
    <i>
      <x v="1155"/>
    </i>
    <i>
      <x v="965"/>
    </i>
    <i>
      <x v="1087"/>
    </i>
    <i>
      <x v="915"/>
    </i>
    <i>
      <x v="1111"/>
    </i>
    <i>
      <x v="904"/>
    </i>
    <i>
      <x v="1138"/>
    </i>
    <i>
      <x v="968"/>
    </i>
    <i>
      <x v="1171"/>
    </i>
    <i>
      <x v="977"/>
    </i>
    <i>
      <x v="936"/>
    </i>
    <i>
      <x v="978"/>
    </i>
    <i>
      <x v="1094"/>
    </i>
    <i>
      <x v="981"/>
    </i>
    <i>
      <x v="1104"/>
    </i>
    <i>
      <x v="983"/>
    </i>
    <i>
      <x v="940"/>
    </i>
    <i>
      <x v="986"/>
    </i>
    <i>
      <x v="1134"/>
    </i>
    <i>
      <x v="989"/>
    </i>
    <i>
      <x v="1150"/>
    </i>
    <i>
      <x v="994"/>
    </i>
    <i>
      <x v="1158"/>
    </i>
    <i>
      <x v="996"/>
    </i>
    <i>
      <x v="1191"/>
    </i>
    <i>
      <x v="1002"/>
    </i>
    <i>
      <x v="1076"/>
    </i>
    <i>
      <x v="1004"/>
    </i>
    <i>
      <x v="1081"/>
    </i>
    <i>
      <x v="1012"/>
    </i>
    <i>
      <x v="1093"/>
    </i>
    <i>
      <x v="1013"/>
    </i>
    <i>
      <x v="1098"/>
    </i>
    <i>
      <x v="1027"/>
    </i>
    <i>
      <x v="1103"/>
    </i>
    <i>
      <x v="1028"/>
    </i>
    <i>
      <x v="1109"/>
    </i>
    <i>
      <x v="1030"/>
    </i>
    <i>
      <x v="1113"/>
    </i>
    <i>
      <x v="927"/>
    </i>
    <i>
      <x v="1124"/>
    </i>
    <i>
      <x v="1034"/>
    </i>
    <i>
      <x v="1129"/>
    </i>
    <i>
      <x v="1035"/>
    </i>
    <i>
      <x v="1137"/>
    </i>
    <i>
      <x v="1041"/>
    </i>
    <i>
      <x v="1142"/>
    </i>
    <i>
      <x v="1047"/>
    </i>
    <i>
      <x v="1153"/>
    </i>
    <i>
      <x v="1048"/>
    </i>
    <i>
      <x v="1156"/>
    </i>
    <i>
      <x v="1055"/>
    </i>
    <i>
      <x v="1159"/>
    </i>
    <i>
      <x v="1064"/>
    </i>
    <i>
      <x v="1180"/>
    </i>
    <i>
      <x v="934"/>
    </i>
    <i>
      <x v="1198"/>
    </i>
    <i>
      <x v="1070"/>
    </i>
    <i>
      <x v="947"/>
    </i>
    <i>
      <x v="1073"/>
    </i>
    <i>
      <x v="817"/>
    </i>
    <i>
      <x v="665"/>
    </i>
    <i>
      <x v="657"/>
    </i>
    <i>
      <x v="745"/>
    </i>
    <i>
      <x v="872"/>
    </i>
    <i>
      <x v="885"/>
    </i>
    <i>
      <x v="823"/>
    </i>
    <i>
      <x v="752"/>
    </i>
    <i>
      <x v="838"/>
    </i>
    <i>
      <x v="761"/>
    </i>
    <i>
      <x v="735"/>
    </i>
    <i>
      <x v="636"/>
    </i>
    <i>
      <x v="739"/>
    </i>
    <i>
      <x v="674"/>
    </i>
    <i>
      <x v="713"/>
    </i>
    <i>
      <x v="769"/>
    </i>
    <i>
      <x v="828"/>
    </i>
    <i>
      <x v="637"/>
    </i>
    <i>
      <x v="664"/>
    </i>
    <i>
      <x v="778"/>
    </i>
    <i>
      <x v="849"/>
    </i>
    <i>
      <x v="780"/>
    </i>
    <i>
      <x v="734"/>
    </i>
    <i>
      <x v="683"/>
    </i>
    <i>
      <x v="868"/>
    </i>
    <i>
      <x v="684"/>
    </i>
    <i>
      <x v="737"/>
    </i>
    <i>
      <x v="787"/>
    </i>
    <i>
      <x v="607"/>
    </i>
    <i>
      <x v="688"/>
    </i>
    <i>
      <x v="818"/>
    </i>
    <i>
      <x v="790"/>
    </i>
    <i>
      <x v="821"/>
    </i>
    <i>
      <x v="791"/>
    </i>
    <i>
      <x v="718"/>
    </i>
    <i>
      <x v="638"/>
    </i>
    <i>
      <x v="830"/>
    </i>
    <i>
      <x v="794"/>
    </i>
    <i>
      <x v="726"/>
    </i>
    <i>
      <x v="795"/>
    </i>
    <i>
      <x v="728"/>
    </i>
    <i>
      <x v="694"/>
    </i>
    <i>
      <x v="847"/>
    </i>
    <i>
      <x v="799"/>
    </i>
    <i>
      <x v="729"/>
    </i>
    <i>
      <x v="801"/>
    </i>
    <i>
      <x v="733"/>
    </i>
    <i>
      <x v="641"/>
    </i>
    <i>
      <x v="865"/>
    </i>
    <i>
      <x v="696"/>
    </i>
    <i>
      <x v="867"/>
    </i>
    <i>
      <x v="602"/>
    </i>
    <i>
      <x v="870"/>
    </i>
    <i>
      <x v="704"/>
    </i>
    <i>
      <x v="666"/>
    </i>
    <i>
      <x v="646"/>
    </i>
    <i>
      <x v="880"/>
    </i>
    <i>
      <x v="707"/>
    </i>
    <i>
      <x v="670"/>
    </i>
    <i>
      <x v="814"/>
    </i>
    <i>
      <x v="750"/>
    </i>
    <i>
      <x v="897"/>
    </i>
    <i>
      <x v="375"/>
    </i>
    <i>
      <x v="584"/>
    </i>
    <i>
      <x v="552"/>
    </i>
    <i>
      <x v="405"/>
    </i>
    <i>
      <x v="517"/>
    </i>
    <i>
      <x v="406"/>
    </i>
    <i>
      <x v="380"/>
    </i>
    <i>
      <x v="407"/>
    </i>
    <i>
      <x v="566"/>
    </i>
    <i>
      <x v="347"/>
    </i>
    <i>
      <x v="400"/>
    </i>
    <i>
      <x v="321"/>
    </i>
    <i>
      <x v="519"/>
    </i>
    <i>
      <x v="422"/>
    </i>
    <i>
      <x v="305"/>
    </i>
    <i>
      <x v="423"/>
    </i>
    <i>
      <x v="549"/>
    </i>
    <i>
      <x v="428"/>
    </i>
    <i>
      <x v="560"/>
    </i>
    <i>
      <x v="429"/>
    </i>
    <i>
      <x v="314"/>
    </i>
    <i>
      <x v="436"/>
    </i>
    <i>
      <x v="316"/>
    </i>
    <i>
      <x v="440"/>
    </i>
    <i>
      <x v="498"/>
    </i>
    <i>
      <x v="359"/>
    </i>
    <i>
      <x v="518"/>
    </i>
    <i>
      <x v="360"/>
    </i>
    <i>
      <x v="523"/>
    </i>
    <i>
      <x v="457"/>
    </i>
    <i>
      <x v="530"/>
    </i>
    <i>
      <x v="458"/>
    </i>
    <i>
      <x v="334"/>
    </i>
    <i>
      <x v="362"/>
    </i>
    <i>
      <x v="382"/>
    </i>
    <i>
      <x v="464"/>
    </i>
    <i>
      <x v="550"/>
    </i>
    <i>
      <x v="309"/>
    </i>
    <i>
      <x v="558"/>
    </i>
    <i>
      <x v="470"/>
    </i>
    <i>
      <x v="383"/>
    </i>
    <i>
      <x v="479"/>
    </i>
    <i>
      <x v="389"/>
    </i>
    <i>
      <x v="481"/>
    </i>
    <i>
      <x v="577"/>
    </i>
    <i>
      <x v="329"/>
    </i>
    <i>
      <x v="585"/>
    </i>
    <i>
      <x v="484"/>
    </i>
    <i>
      <x v="588"/>
    </i>
    <i>
      <x v="486"/>
    </i>
    <i>
      <x v="495"/>
    </i>
    <i>
      <x v="501"/>
    </i>
    <i>
      <x v="263"/>
    </i>
    <i>
      <x v="216"/>
    </i>
    <i>
      <x v="28"/>
    </i>
    <i>
      <x v="53"/>
    </i>
    <i>
      <x v="232"/>
    </i>
    <i>
      <x v="58"/>
    </i>
    <i>
      <x v="288"/>
    </i>
    <i>
      <x v="59"/>
    </i>
    <i>
      <x v="204"/>
    </i>
    <i>
      <x v="61"/>
    </i>
    <i>
      <x v="224"/>
    </i>
    <i>
      <x v="9"/>
    </i>
    <i>
      <x v="252"/>
    </i>
    <i>
      <x v="67"/>
    </i>
    <i>
      <x v="281"/>
    </i>
    <i>
      <x v="72"/>
    </i>
    <i>
      <x v="176"/>
    </i>
    <i>
      <x v="73"/>
    </i>
    <i>
      <x v="196"/>
    </i>
    <i>
      <x v="76"/>
    </i>
    <i>
      <x v="34"/>
    </i>
    <i>
      <x v="78"/>
    </i>
    <i>
      <x v="222"/>
    </i>
    <i>
      <x v="82"/>
    </i>
    <i>
      <x v="230"/>
    </i>
    <i>
      <x v="83"/>
    </i>
    <i>
      <x v="238"/>
    </i>
    <i>
      <x v="90"/>
    </i>
    <i>
      <x v="259"/>
    </i>
    <i>
      <x v="92"/>
    </i>
    <i>
      <x v="269"/>
    </i>
    <i>
      <x v="93"/>
    </i>
    <i>
      <x v="283"/>
    </i>
    <i>
      <x v="95"/>
    </i>
    <i>
      <x v="174"/>
    </i>
    <i>
      <x v="103"/>
    </i>
    <i>
      <x v="178"/>
    </i>
    <i>
      <x v="4"/>
    </i>
    <i>
      <x v="184"/>
    </i>
    <i>
      <x v="116"/>
    </i>
    <i>
      <x v="198"/>
    </i>
    <i>
      <x v="21"/>
    </i>
    <i>
      <x v="206"/>
    </i>
    <i>
      <x v="120"/>
    </i>
    <i>
      <x v="214"/>
    </i>
    <i>
      <x v="124"/>
    </i>
    <i>
      <x v="217"/>
    </i>
    <i>
      <x v="126"/>
    </i>
    <i>
      <x v="223"/>
    </i>
    <i>
      <x v="128"/>
    </i>
    <i>
      <x v="228"/>
    </i>
    <i>
      <x v="129"/>
    </i>
    <i>
      <x v="231"/>
    </i>
    <i>
      <x v="132"/>
    </i>
    <i>
      <x v="234"/>
    </i>
    <i>
      <x v="133"/>
    </i>
    <i>
      <x v="251"/>
    </i>
    <i>
      <x v="143"/>
    </i>
    <i>
      <x v="253"/>
    </i>
    <i>
      <x v="23"/>
    </i>
    <i>
      <x v="262"/>
    </i>
    <i>
      <x v="153"/>
    </i>
    <i>
      <x v="266"/>
    </i>
    <i>
      <x v="154"/>
    </i>
    <i>
      <x v="270"/>
    </i>
    <i>
      <x v="160"/>
    </i>
    <i>
      <x v="282"/>
    </i>
    <i>
      <x v="170"/>
    </i>
    <i>
      <x v="287"/>
    </i>
    <i>
      <x v="298"/>
    </i>
    <i>
      <x v="289"/>
    </i>
    <i>
      <x v="293"/>
    </i>
    <i>
      <x v="46"/>
    </i>
    <i>
      <x v="993"/>
    </i>
    <i>
      <x v="923"/>
    </i>
    <i>
      <x v="1145"/>
    </i>
    <i>
      <x v="903"/>
    </i>
    <i>
      <x v="1192"/>
    </i>
    <i>
      <x v="1018"/>
    </i>
    <i>
      <x v="1136"/>
    </i>
    <i>
      <x v="1021"/>
    </i>
    <i>
      <x v="1005"/>
    </i>
    <i>
      <x v="1022"/>
    </i>
    <i>
      <x v="910"/>
    </i>
    <i>
      <x v="1024"/>
    </i>
    <i>
      <x v="992"/>
    </i>
    <i>
      <x v="952"/>
    </i>
    <i>
      <x v="1128"/>
    </i>
    <i>
      <x v="1036"/>
    </i>
    <i>
      <x v="1139"/>
    </i>
    <i>
      <x v="1038"/>
    </i>
    <i>
      <x v="1154"/>
    </i>
    <i>
      <x v="928"/>
    </i>
    <i>
      <x v="1165"/>
    </i>
    <i>
      <x v="1046"/>
    </i>
    <i>
      <x v="1174"/>
    </i>
    <i>
      <x v="1057"/>
    </i>
    <i>
      <x v="1190"/>
    </i>
    <i>
      <x v="976"/>
    </i>
    <i>
      <x v="1010"/>
    </i>
    <i>
      <x v="954"/>
    </i>
    <i>
      <x v="1123"/>
    </i>
    <i>
      <x v="979"/>
    </i>
    <i>
      <x v="1127"/>
    </i>
    <i>
      <x v="1077"/>
    </i>
    <i>
      <x v="960"/>
    </i>
    <i>
      <x v="935"/>
    </i>
    <i>
      <x v="997"/>
    </i>
    <i>
      <x v="980"/>
    </i>
    <i>
      <x v="1141"/>
    </i>
    <i>
      <x v="1082"/>
    </i>
    <i>
      <x v="943"/>
    </i>
    <i>
      <x v="1088"/>
    </i>
    <i>
      <x v="1157"/>
    </i>
    <i>
      <x v="1091"/>
    </i>
    <i>
      <x v="1163"/>
    </i>
    <i>
      <x v="938"/>
    </i>
    <i>
      <x v="1166"/>
    </i>
    <i>
      <x v="1101"/>
    </i>
    <i>
      <x v="1172"/>
    </i>
    <i>
      <x v="958"/>
    </i>
    <i>
      <x v="1175"/>
    </i>
    <i>
      <x v="1110"/>
    </i>
    <i>
      <x v="1181"/>
    </i>
    <i>
      <x v="1114"/>
    </i>
    <i>
      <x v="1008"/>
    </i>
    <i>
      <x v="1117"/>
    </i>
    <i>
      <x v="1194"/>
    </i>
    <i>
      <x v="1118"/>
    </i>
    <i>
      <x v="1121"/>
    </i>
    <i>
      <x v="1105"/>
    </i>
    <i>
      <x v="620"/>
    </i>
    <i>
      <x v="774"/>
    </i>
    <i>
      <x v="850"/>
    </i>
    <i>
      <x v="796"/>
    </i>
    <i>
      <x v="662"/>
    </i>
    <i>
      <x v="723"/>
    </i>
    <i>
      <x v="843"/>
    </i>
    <i>
      <x v="724"/>
    </i>
    <i>
      <x v="654"/>
    </i>
    <i>
      <x v="609"/>
    </i>
    <i>
      <x v="779"/>
    </i>
    <i>
      <x v="604"/>
    </i>
    <i>
      <x v="715"/>
    </i>
    <i>
      <x v="675"/>
    </i>
    <i>
      <x v="895"/>
    </i>
    <i>
      <x v="804"/>
    </i>
    <i>
      <x v="762"/>
    </i>
    <i>
      <x v="623"/>
    </i>
    <i>
      <x v="853"/>
    </i>
    <i>
      <x v="678"/>
    </i>
    <i>
      <x v="699"/>
    </i>
    <i>
      <x v="807"/>
    </i>
    <i>
      <x v="701"/>
    </i>
    <i>
      <x v="808"/>
    </i>
    <i>
      <x v="661"/>
    </i>
    <i>
      <x v="679"/>
    </i>
    <i>
      <x v="631"/>
    </i>
    <i>
      <x v="680"/>
    </i>
    <i>
      <x v="717"/>
    </i>
    <i>
      <x v="682"/>
    </i>
    <i>
      <x v="891"/>
    </i>
    <i>
      <x v="815"/>
    </i>
    <i>
      <x v="842"/>
    </i>
    <i>
      <x v="612"/>
    </i>
    <i>
      <x v="845"/>
    </i>
    <i>
      <x v="627"/>
    </i>
    <i>
      <x v="653"/>
    </i>
    <i>
      <x v="686"/>
    </i>
    <i>
      <x v="852"/>
    </i>
    <i>
      <x v="606"/>
    </i>
    <i>
      <x v="854"/>
    </i>
    <i>
      <x v="742"/>
    </i>
    <i>
      <x v="857"/>
    </i>
    <i>
      <x v="691"/>
    </i>
    <i>
      <x v="771"/>
    </i>
    <i>
      <x v="824"/>
    </i>
    <i>
      <x v="862"/>
    </i>
    <i>
      <x v="746"/>
    </i>
    <i>
      <x v="702"/>
    </i>
    <i>
      <x v="826"/>
    </i>
    <i>
      <x v="616"/>
    </i>
    <i>
      <x v="896"/>
    </i>
    <i>
      <x v="871"/>
    </i>
    <i>
      <x v="647"/>
    </i>
    <i>
      <x v="873"/>
    </i>
    <i>
      <x v="651"/>
    </i>
    <i>
      <x v="617"/>
    </i>
    <i>
      <x v="755"/>
    </i>
    <i>
      <x v="716"/>
    </i>
    <i>
      <x v="758"/>
    </i>
    <i>
      <x v="887"/>
    </i>
    <i>
      <x v="759"/>
    </i>
    <i>
      <x v="890"/>
    </i>
    <i>
      <x v="629"/>
    </i>
    <i>
      <x v="894"/>
    </i>
    <i>
      <x v="839"/>
    </i>
    <i>
      <x v="635"/>
    </i>
    <i>
      <x v="840"/>
    </i>
    <i>
      <x v="898"/>
    </i>
    <i>
      <x v="748"/>
    </i>
    <i>
      <x v="324"/>
    </i>
    <i>
      <x v="583"/>
    </i>
    <i>
      <x v="388"/>
    </i>
    <i>
      <x v="318"/>
    </i>
    <i>
      <x v="499"/>
    </i>
    <i>
      <x v="502"/>
    </i>
    <i>
      <x v="489"/>
    </i>
    <i>
      <x v="503"/>
    </i>
    <i>
      <x v="395"/>
    </i>
    <i>
      <x v="373"/>
    </i>
    <i>
      <x v="438"/>
    </i>
    <i>
      <x v="512"/>
    </i>
    <i>
      <x v="433"/>
    </i>
    <i>
      <x v="513"/>
    </i>
    <i>
      <x v="487"/>
    </i>
    <i>
      <x v="514"/>
    </i>
    <i>
      <x v="368"/>
    </i>
    <i>
      <x v="515"/>
    </i>
    <i>
      <x v="337"/>
    </i>
    <i>
      <x v="516"/>
    </i>
    <i>
      <x v="307"/>
    </i>
    <i>
      <x v="308"/>
    </i>
    <i>
      <x v="496"/>
    </i>
    <i>
      <x v="310"/>
    </i>
    <i>
      <x v="344"/>
    </i>
    <i>
      <x v="599"/>
    </i>
    <i>
      <x v="325"/>
    </i>
    <i>
      <x v="520"/>
    </i>
    <i>
      <x v="485"/>
    </i>
    <i>
      <x v="366"/>
    </i>
    <i>
      <x v="559"/>
    </i>
    <i>
      <x v="472"/>
    </i>
    <i>
      <x v="562"/>
    </i>
    <i>
      <x v="474"/>
    </i>
    <i>
      <x v="384"/>
    </i>
    <i>
      <x v="478"/>
    </i>
    <i>
      <x v="335"/>
    </i>
    <i>
      <x v="534"/>
    </i>
    <i>
      <x v="302"/>
    </i>
    <i>
      <x v="535"/>
    </i>
    <i>
      <x v="331"/>
    </i>
    <i>
      <x v="537"/>
    </i>
    <i>
      <x v="494"/>
    </i>
    <i>
      <x v="538"/>
    </i>
    <i>
      <x v="582"/>
    </i>
    <i>
      <x v="539"/>
    </i>
    <i>
      <x v="355"/>
    </i>
    <i>
      <x v="348"/>
    </i>
    <i>
      <x v="497"/>
    </i>
    <i>
      <x v="379"/>
    </i>
    <i>
      <x v="592"/>
    </i>
    <i>
      <x v="408"/>
    </i>
    <i>
      <x v="596"/>
    </i>
    <i>
      <x v="482"/>
    </i>
    <i>
      <x v="372"/>
    </i>
    <i>
      <x v="548"/>
    </i>
    <i>
      <x v="449"/>
    </i>
    <i>
      <x v="254"/>
    </i>
    <i>
      <x v="190"/>
    </i>
    <i>
      <x v="41"/>
    </i>
    <i>
      <x v="202"/>
    </i>
    <i>
      <x v="250"/>
    </i>
    <i>
      <x v="203"/>
    </i>
    <i>
      <x v="80"/>
    </i>
    <i>
      <x v="127"/>
    </i>
    <i>
      <x v="123"/>
    </i>
    <i>
      <x v="205"/>
    </i>
    <i>
      <x v="87"/>
    </i>
    <i>
      <x v="88"/>
    </i>
    <i>
      <x v="106"/>
    </i>
    <i>
      <x v="13"/>
    </i>
    <i>
      <x v="39"/>
    </i>
    <i>
      <x v="210"/>
    </i>
    <i>
      <x v="179"/>
    </i>
    <i>
      <x v="211"/>
    </i>
    <i>
      <x v="280"/>
    </i>
    <i>
      <x v="130"/>
    </i>
    <i>
      <x v="43"/>
    </i>
    <i>
      <x v="64"/>
    </i>
    <i>
      <x v="85"/>
    </i>
    <i>
      <x v="56"/>
    </i>
    <i>
      <x v="239"/>
    </i>
    <i>
      <x v="218"/>
    </i>
    <i>
      <x v="166"/>
    </i>
    <i>
      <x v="140"/>
    </i>
    <i>
      <x v="109"/>
    </i>
    <i>
      <x v="141"/>
    </i>
    <i>
      <x v="111"/>
    </i>
    <i>
      <x v="11"/>
    </i>
    <i>
      <x v="68"/>
    </i>
    <i>
      <x v="225"/>
    </i>
    <i>
      <x v="69"/>
    </i>
    <i>
      <x v="226"/>
    </i>
    <i>
      <x v="71"/>
    </i>
    <i>
      <x v="75"/>
    </i>
    <i>
      <x v="279"/>
    </i>
    <i>
      <x v="145"/>
    </i>
    <i>
      <x v="29"/>
    </i>
    <i>
      <x v="100"/>
    </i>
    <i>
      <x v="31"/>
    </i>
    <i>
      <x v="55"/>
    </i>
    <i>
      <x v="286"/>
    </i>
    <i>
      <x v="233"/>
    </i>
    <i>
      <x v="195"/>
    </i>
    <i>
      <x v="105"/>
    </i>
    <i>
      <x v="290"/>
    </i>
    <i>
      <x v="237"/>
    </i>
    <i>
      <x v="162"/>
    </i>
    <i>
      <x v="173"/>
    </i>
    <i>
      <x v="1063"/>
    </i>
    <i>
      <x v="922"/>
    </i>
    <i>
      <x v="929"/>
    </i>
    <i>
      <x v="1071"/>
    </i>
    <i>
      <x v="1168"/>
    </i>
    <i>
      <x v="908"/>
    </i>
    <i>
      <x v="1009"/>
    </i>
    <i>
      <x v="1075"/>
    </i>
    <i>
      <x v="1149"/>
    </i>
    <i>
      <x v="948"/>
    </i>
    <i>
      <x v="944"/>
    </i>
    <i>
      <x v="1085"/>
    </i>
    <i>
      <x v="932"/>
    </i>
    <i>
      <x v="1086"/>
    </i>
    <i>
      <x v="946"/>
    </i>
    <i>
      <x v="951"/>
    </i>
    <i>
      <x v="998"/>
    </i>
    <i>
      <x v="1089"/>
    </i>
    <i>
      <x v="931"/>
    </i>
    <i>
      <x v="1090"/>
    </i>
    <i>
      <x v="1152"/>
    </i>
    <i>
      <x v="1017"/>
    </i>
    <i>
      <x v="962"/>
    </i>
    <i>
      <x v="937"/>
    </i>
    <i>
      <x v="1015"/>
    </i>
    <i>
      <x v="956"/>
    </i>
    <i>
      <x v="1058"/>
    </i>
    <i>
      <x v="1095"/>
    </i>
    <i>
      <x v="933"/>
    </i>
    <i>
      <x v="1096"/>
    </i>
    <i>
      <x v="1187"/>
    </i>
    <i>
      <x v="1099"/>
    </i>
    <i>
      <x v="1196"/>
    </i>
    <i>
      <x v="939"/>
    </i>
    <i>
      <x v="1135"/>
    </i>
    <i>
      <x v="912"/>
    </i>
    <i>
      <x v="1140"/>
    </i>
    <i>
      <x v="919"/>
    </i>
    <i>
      <x v="930"/>
    </i>
    <i>
      <x v="988"/>
    </i>
    <i>
      <x v="1147"/>
    </i>
    <i>
      <x v="1011"/>
    </i>
    <i>
      <x v="1151"/>
    </i>
    <i>
      <x v="1107"/>
    </i>
    <i>
      <x v="1001"/>
    </i>
    <i>
      <x v="990"/>
    </i>
    <i>
      <x v="1053"/>
    </i>
    <i>
      <x v="920"/>
    </i>
    <i>
      <x v="1162"/>
    </i>
    <i>
      <x v="1115"/>
    </i>
    <i>
      <x v="1056"/>
    </i>
    <i>
      <x v="1116"/>
    </i>
    <i>
      <x v="1167"/>
    </i>
    <i>
      <x v="1039"/>
    </i>
    <i>
      <x v="1170"/>
    </i>
    <i>
      <x v="971"/>
    </i>
    <i>
      <x v="1060"/>
    </i>
    <i>
      <x v="1042"/>
    </i>
    <i>
      <x v="1176"/>
    </i>
    <i>
      <x v="959"/>
    </i>
    <i>
      <x v="1007"/>
    </i>
    <i>
      <x v="909"/>
    </i>
    <i>
      <x v="1182"/>
    </i>
    <i>
      <x v="1043"/>
    </i>
    <i>
      <x v="1188"/>
    </i>
    <i>
      <x v="995"/>
    </i>
    <i>
      <x v="1067"/>
    </i>
    <i>
      <x v="1130"/>
    </i>
    <i>
      <x v="1197"/>
    </i>
    <i>
      <x v="1132"/>
    </i>
    <i>
      <x v="1133"/>
    </i>
    <i>
      <x v="1020"/>
    </i>
    <i>
      <x v="899"/>
    </i>
    <i>
      <x v="869"/>
    </i>
    <i>
      <x v="659"/>
    </i>
    <i>
      <x v="788"/>
    </i>
    <i>
      <x v="882"/>
    </i>
    <i>
      <x v="712"/>
    </i>
    <i>
      <x v="753"/>
    </i>
    <i>
      <x v="792"/>
    </i>
    <i>
      <x v="765"/>
    </i>
    <i>
      <x v="644"/>
    </i>
    <i>
      <x v="775"/>
    </i>
    <i>
      <x v="672"/>
    </i>
    <i>
      <x v="668"/>
    </i>
    <i>
      <x v="673"/>
    </i>
    <i>
      <x v="711"/>
    </i>
    <i>
      <x v="797"/>
    </i>
    <i>
      <x v="754"/>
    </i>
    <i>
      <x v="719"/>
    </i>
    <i>
      <x v="698"/>
    </i>
    <i>
      <x v="645"/>
    </i>
    <i>
      <x v="767"/>
    </i>
    <i>
      <x v="721"/>
    </i>
    <i>
      <x v="874"/>
    </i>
    <i>
      <x v="676"/>
    </i>
    <i>
      <x v="879"/>
    </i>
    <i>
      <x v="725"/>
    </i>
    <i>
      <x v="888"/>
    </i>
    <i>
      <x v="648"/>
    </i>
    <i>
      <x v="747"/>
    </i>
    <i>
      <x v="649"/>
    </i>
    <i>
      <x v="841"/>
    </i>
    <i>
      <x v="650"/>
    </i>
    <i>
      <x v="658"/>
    </i>
    <i>
      <x v="811"/>
    </i>
    <i>
      <x v="846"/>
    </i>
    <i>
      <x v="812"/>
    </i>
    <i>
      <x v="848"/>
    </i>
    <i>
      <x v="605"/>
    </i>
    <i>
      <x v="660"/>
    </i>
    <i>
      <x v="634"/>
    </i>
    <i>
      <x v="700"/>
    </i>
    <i>
      <x v="819"/>
    </i>
    <i>
      <x v="766"/>
    </i>
    <i>
      <x v="626"/>
    </i>
    <i>
      <x v="640"/>
    </i>
    <i>
      <x v="738"/>
    </i>
    <i>
      <x v="773"/>
    </i>
    <i>
      <x v="740"/>
    </i>
    <i>
      <x v="613"/>
    </i>
    <i>
      <x v="655"/>
    </i>
    <i>
      <x v="878"/>
    </i>
    <i>
      <x v="827"/>
    </i>
    <i>
      <x v="881"/>
    </i>
    <i>
      <x v="689"/>
    </i>
    <i>
      <x v="705"/>
    </i>
    <i>
      <x v="831"/>
    </i>
    <i>
      <x v="782"/>
    </i>
    <i>
      <x v="744"/>
    </i>
    <i>
      <x v="656"/>
    </i>
    <i>
      <x v="751"/>
    </i>
    <i>
      <x v="561"/>
    </i>
    <i>
      <x v="441"/>
    </i>
    <i>
      <x v="473"/>
    </i>
    <i>
      <x v="404"/>
    </i>
    <i>
      <x v="545"/>
    </i>
    <i>
      <x v="350"/>
    </i>
    <i>
      <x v="579"/>
    </i>
    <i>
      <x v="410"/>
    </i>
    <i>
      <x v="476"/>
    </i>
    <i>
      <x v="411"/>
    </i>
    <i>
      <x v="319"/>
    </i>
    <i>
      <x v="414"/>
    </i>
    <i>
      <x v="553"/>
    </i>
    <i>
      <x v="416"/>
    </i>
    <i>
      <x v="568"/>
    </i>
    <i>
      <x v="306"/>
    </i>
    <i>
      <x v="589"/>
    </i>
    <i>
      <x v="419"/>
    </i>
    <i>
      <x v="475"/>
    </i>
    <i>
      <x v="421"/>
    </i>
    <i>
      <x v="387"/>
    </i>
    <i>
      <x v="504"/>
    </i>
    <i>
      <x v="443"/>
    </i>
    <i>
      <x v="505"/>
    </i>
    <i>
      <x v="447"/>
    </i>
    <i>
      <x v="506"/>
    </i>
    <i>
      <x v="448"/>
    </i>
    <i>
      <x v="509"/>
    </i>
    <i>
      <x v="554"/>
    </i>
    <i>
      <x v="425"/>
    </i>
    <i>
      <x v="391"/>
    </i>
    <i>
      <x v="317"/>
    </i>
    <i>
      <x v="570"/>
    </i>
    <i>
      <x v="432"/>
    </i>
    <i>
      <x v="580"/>
    </i>
    <i>
      <x v="313"/>
    </i>
    <i>
      <x v="590"/>
    </i>
    <i>
      <x v="358"/>
    </i>
    <i>
      <x v="595"/>
    </i>
    <i>
      <x v="526"/>
    </i>
    <i>
      <x v="597"/>
    </i>
    <i>
      <x v="529"/>
    </i>
    <i>
      <x v="477"/>
    </i>
    <i>
      <x v="532"/>
    </i>
    <i>
      <x v="339"/>
    </i>
    <i>
      <x v="260"/>
    </i>
    <i>
      <x v="146"/>
    </i>
    <i>
      <x v="201"/>
    </i>
    <i>
      <x v="220"/>
    </i>
    <i>
      <x v="122"/>
    </i>
    <i>
      <x v="36"/>
    </i>
    <i>
      <x v="1"/>
    </i>
    <i>
      <x v="12"/>
    </i>
    <i>
      <x v="275"/>
    </i>
    <i>
      <x v="165"/>
    </i>
    <i>
      <x v="208"/>
    </i>
    <i>
      <x v="125"/>
    </i>
    <i>
      <x v="98"/>
    </i>
    <i>
      <x v="167"/>
    </i>
    <i>
      <x v="22"/>
    </i>
    <i>
      <x v="102"/>
    </i>
    <i>
      <x v="268"/>
    </i>
    <i>
      <x v="227"/>
    </i>
    <i>
      <x v="273"/>
    </i>
    <i>
      <x v="79"/>
    </i>
    <i>
      <x v="119"/>
    </i>
    <i>
      <x v="48"/>
    </i>
    <i>
      <x v="148"/>
    </i>
    <i>
      <x v="297"/>
    </i>
    <i>
      <x v="152"/>
    </i>
    <i>
      <x v="81"/>
    </i>
    <i>
      <x v="157"/>
    </i>
    <i>
      <x v="16"/>
    </i>
    <i>
      <x v="44"/>
    </i>
    <i>
      <x v="47"/>
    </i>
    <i>
      <x v="191"/>
    </i>
    <i>
      <x v="14"/>
    </i>
    <i>
      <x v="84"/>
    </i>
    <i>
      <x v="134"/>
    </i>
    <i>
      <x v="40"/>
    </i>
    <i>
      <x v="135"/>
    </i>
    <i>
      <x v="62"/>
    </i>
    <i>
      <x v="37"/>
    </i>
    <i>
      <x v="272"/>
    </i>
    <i>
      <x v="242"/>
    </i>
    <i>
      <x v="274"/>
    </i>
    <i>
      <x v="243"/>
    </i>
    <i>
      <x v="276"/>
    </i>
    <i>
      <x v="244"/>
    </i>
    <i>
      <x v="42"/>
    </i>
    <i>
      <x v="246"/>
    </i>
    <i>
      <x v="147"/>
    </i>
    <i>
      <x v="247"/>
    </i>
    <i>
      <x v="150"/>
    </i>
    <i>
      <x v="30"/>
    </i>
    <i>
      <x v="24"/>
    </i>
    <i>
      <x v="137"/>
    </i>
    <i>
      <x v="96"/>
    </i>
    <i>
      <x v="186"/>
    </i>
    <i>
      <x v="156"/>
    </i>
    <i>
      <x v="188"/>
    </i>
    <i>
      <x v="291"/>
    </i>
    <i>
      <x v="8"/>
    </i>
    <i>
      <x v="294"/>
    </i>
    <i>
      <x v="258"/>
    </i>
    <i>
      <x v="35"/>
    </i>
    <i>
      <x v="5"/>
    </i>
    <i>
      <x v="171"/>
    </i>
    <i>
      <x v="1059"/>
    </i>
    <i>
      <x v="1026"/>
    </i>
    <i>
      <x v="1131"/>
    </i>
    <i>
      <x v="999"/>
    </i>
    <i>
      <x v="1106"/>
    </i>
    <i>
      <x v="1143"/>
    </i>
    <i>
      <x v="1033"/>
    </i>
    <i>
      <x v="942"/>
    </i>
    <i>
      <x v="1184"/>
    </i>
    <i>
      <x v="969"/>
    </i>
    <i>
      <x v="1066"/>
    </i>
    <i>
      <x v="970"/>
    </i>
    <i>
      <x v="1108"/>
    </i>
    <i>
      <x v="953"/>
    </i>
    <i>
      <x v="1074"/>
    </i>
    <i>
      <x v="1148"/>
    </i>
    <i>
      <x v="1178"/>
    </i>
    <i>
      <x v="1112"/>
    </i>
    <i>
      <x v="1025"/>
    </i>
    <i>
      <x v="921"/>
    </i>
    <i>
      <x v="1186"/>
    </i>
    <i>
      <x v="950"/>
    </i>
    <i>
      <x v="975"/>
    </i>
    <i>
      <x v="914"/>
    </i>
    <i>
      <x v="972"/>
    </i>
    <i>
      <x v="955"/>
    </i>
    <i>
      <x v="1078"/>
    </i>
    <i>
      <x v="1052"/>
    </i>
    <i>
      <x v="1084"/>
    </i>
    <i>
      <x v="961"/>
    </i>
    <i>
      <x v="1173"/>
    </i>
    <i>
      <x v="984"/>
    </i>
    <i>
      <x v="1044"/>
    </i>
    <i>
      <x v="1037"/>
    </i>
    <i>
      <x v="1177"/>
    </i>
    <i>
      <x v="1019"/>
    </i>
    <i>
      <x v="1072"/>
    </i>
    <i>
      <x v="1054"/>
    </i>
    <i>
      <x v="982"/>
    </i>
    <i>
      <x v="1160"/>
    </i>
    <i>
      <x v="1183"/>
    </i>
    <i>
      <x v="1161"/>
    </i>
    <i>
      <x v="1185"/>
    </i>
    <i>
      <x v="1119"/>
    </i>
    <i>
      <x v="1069"/>
    </i>
    <i>
      <x v="906"/>
    </i>
    <i>
      <x v="901"/>
    </i>
    <i>
      <x v="1120"/>
    </i>
    <i>
      <x v="926"/>
    </i>
    <i>
      <x v="1029"/>
    </i>
    <i>
      <x v="1193"/>
    </i>
    <i>
      <x v="1040"/>
    </i>
    <i>
      <x v="1195"/>
    </i>
    <i>
      <x v="1083"/>
    </i>
    <i>
      <x v="905"/>
    </i>
    <i>
      <x v="1032"/>
    </i>
    <i>
      <x v="1068"/>
    </i>
    <i>
      <x v="1169"/>
    </i>
    <i>
      <x v="985"/>
    </i>
    <i>
      <x v="625"/>
    </i>
    <i>
      <x v="783"/>
    </i>
    <i>
      <x v="886"/>
    </i>
    <i>
      <x v="810"/>
    </i>
    <i>
      <x v="836"/>
    </i>
    <i>
      <x v="603"/>
    </i>
    <i>
      <x v="685"/>
    </i>
    <i>
      <x v="756"/>
    </i>
    <i>
      <x v="709"/>
    </i>
    <i>
      <x v="851"/>
    </i>
    <i>
      <x v="687"/>
    </i>
    <i>
      <x v="757"/>
    </i>
    <i>
      <x v="618"/>
    </i>
    <i>
      <x v="669"/>
    </i>
    <i>
      <x v="776"/>
    </i>
    <i>
      <x v="619"/>
    </i>
    <i>
      <x v="884"/>
    </i>
    <i>
      <x v="760"/>
    </i>
    <i>
      <x v="844"/>
    </i>
    <i>
      <x v="856"/>
    </i>
    <i>
      <x v="892"/>
    </i>
    <i>
      <x v="730"/>
    </i>
    <i>
      <x v="785"/>
    </i>
    <i>
      <x v="639"/>
    </i>
    <i>
      <x v="835"/>
    </i>
    <i>
      <x v="763"/>
    </i>
    <i>
      <x v="611"/>
    </i>
    <i>
      <x v="860"/>
    </i>
    <i>
      <x v="877"/>
    </i>
    <i>
      <x v="829"/>
    </i>
    <i>
      <x v="693"/>
    </i>
    <i>
      <x v="743"/>
    </i>
    <i>
      <x v="800"/>
    </i>
    <i>
      <x v="863"/>
    </i>
    <i>
      <x v="714"/>
    </i>
    <i>
      <x v="864"/>
    </i>
    <i>
      <x v="614"/>
    </i>
    <i>
      <x v="681"/>
    </i>
    <i>
      <x v="667"/>
    </i>
    <i>
      <x v="732"/>
    </i>
    <i>
      <x v="708"/>
    </i>
    <i>
      <x v="663"/>
    </i>
    <i>
      <x v="822"/>
    </i>
    <i>
      <x v="690"/>
    </i>
    <i>
      <x v="893"/>
    </i>
    <i>
      <x v="643"/>
    </i>
    <i>
      <x v="784"/>
    </i>
    <i>
      <x v="770"/>
    </i>
    <i>
      <x v="722"/>
    </i>
    <i>
      <x v="703"/>
    </i>
    <i>
      <x v="772"/>
    </i>
    <i>
      <x v="600"/>
    </i>
    <i>
      <x v="749"/>
    </i>
    <i>
      <x v="586"/>
    </i>
    <i>
      <x v="493"/>
    </i>
    <i>
      <x v="455"/>
    </i>
    <i>
      <x v="524"/>
    </i>
    <i>
      <x v="466"/>
    </i>
    <i>
      <x v="525"/>
    </i>
    <i>
      <x v="401"/>
    </i>
    <i>
      <x v="418"/>
    </i>
    <i>
      <x v="393"/>
    </i>
    <i>
      <x v="327"/>
    </i>
    <i>
      <x v="462"/>
    </i>
    <i>
      <x v="528"/>
    </i>
    <i>
      <x v="467"/>
    </i>
    <i>
      <x v="374"/>
    </i>
    <i>
      <x v="430"/>
    </i>
    <i>
      <x v="437"/>
    </i>
    <i>
      <x v="521"/>
    </i>
    <i>
      <x v="386"/>
    </i>
    <i>
      <x v="510"/>
    </i>
    <i>
      <x v="420"/>
    </i>
    <i>
      <x v="333"/>
    </i>
    <i>
      <x v="533"/>
    </i>
    <i>
      <x v="572"/>
    </i>
    <i>
      <x v="439"/>
    </i>
    <i>
      <x v="343"/>
    </i>
    <i>
      <x v="403"/>
    </i>
    <i>
      <x v="381"/>
    </i>
    <i>
      <x v="536"/>
    </i>
    <i>
      <x v="397"/>
    </i>
    <i>
      <x v="377"/>
    </i>
    <i>
      <x v="346"/>
    </i>
    <i>
      <x v="323"/>
    </i>
    <i>
      <x v="431"/>
    </i>
    <i>
      <x v="353"/>
    </i>
    <i>
      <x v="349"/>
    </i>
    <i>
      <x v="444"/>
    </i>
    <i>
      <x v="435"/>
    </i>
    <i>
      <x v="445"/>
    </i>
    <i>
      <x v="563"/>
    </i>
    <i>
      <x v="542"/>
    </i>
    <i>
      <x v="392"/>
    </i>
    <i>
      <x v="354"/>
    </i>
    <i>
      <x v="459"/>
    </i>
    <i>
      <x v="488"/>
    </i>
    <i>
      <x v="460"/>
    </i>
    <i>
      <x v="370"/>
    </i>
    <i>
      <x v="571"/>
    </i>
    <i>
      <x v="546"/>
    </i>
    <i>
      <x v="461"/>
    </i>
    <i>
      <x v="547"/>
    </i>
    <i>
      <x v="320"/>
    </i>
    <i>
      <x v="351"/>
    </i>
    <i>
      <x v="365"/>
    </i>
    <i>
      <x v="300"/>
    </i>
    <i>
      <x v="427"/>
    </i>
    <i>
      <x v="341"/>
    </i>
    <i>
      <x v="581"/>
    </i>
    <i>
      <x v="551"/>
    </i>
    <i>
      <x v="468"/>
    </i>
    <i>
      <x v="451"/>
    </i>
    <i>
      <x v="301"/>
    </i>
    <i>
      <x v="507"/>
    </i>
    <i>
      <x v="303"/>
    </i>
    <i>
      <x v="508"/>
    </i>
    <i>
      <x v="336"/>
    </i>
    <i>
      <x v="555"/>
    </i>
    <i>
      <x v="591"/>
    </i>
    <i>
      <x v="556"/>
    </i>
    <i>
      <x v="593"/>
    </i>
    <i>
      <x v="557"/>
    </i>
    <i>
      <x v="415"/>
    </i>
    <i>
      <x v="452"/>
    </i>
    <i>
      <x v="480"/>
    </i>
    <i>
      <x v="453"/>
    </i>
    <i>
      <x v="522"/>
    </i>
    <i>
      <x v="454"/>
    </i>
    <i>
      <x v="413"/>
    </i>
    <i>
      <x v="101"/>
    </i>
    <i>
      <x v="138"/>
    </i>
    <i>
      <x v="212"/>
    </i>
    <i>
      <x v="235"/>
    </i>
    <i>
      <x v="54"/>
    </i>
    <i>
      <x v="236"/>
    </i>
    <i>
      <x v="25"/>
    </i>
    <i>
      <x v="60"/>
    </i>
    <i>
      <x v="168"/>
    </i>
    <i>
      <x v="187"/>
    </i>
    <i>
      <x v="285"/>
    </i>
    <i>
      <x v="299"/>
    </i>
    <i>
      <x v="77"/>
    </i>
    <i>
      <x v="240"/>
    </i>
    <i>
      <x v="207"/>
    </i>
    <i>
      <x v="50"/>
    </i>
    <i>
      <x v="271"/>
    </i>
    <i>
      <x v="104"/>
    </i>
    <i>
      <x v="18"/>
    </i>
    <i>
      <x v="70"/>
    </i>
    <i>
      <x v="136"/>
    </i>
    <i>
      <x v="192"/>
    </i>
    <i>
      <x v="3"/>
    </i>
    <i>
      <x v="245"/>
    </i>
    <i>
      <x v="27"/>
    </i>
    <i>
      <x v="193"/>
    </i>
    <i>
      <x v="229"/>
    </i>
    <i>
      <x v="194"/>
    </i>
    <i>
      <x v="121"/>
    </i>
    <i>
      <x v="248"/>
    </i>
    <i>
      <x v="110"/>
    </i>
    <i>
      <x v="249"/>
    </i>
    <i>
      <x v="163"/>
    </i>
    <i>
      <x v="51"/>
    </i>
    <i>
      <x v="94"/>
    </i>
    <i>
      <x v="63"/>
    </i>
    <i>
      <x v="112"/>
    </i>
    <i>
      <x v="155"/>
    </i>
    <i>
      <x v="213"/>
    </i>
    <i>
      <x v="17"/>
    </i>
    <i>
      <x v="215"/>
    </i>
    <i>
      <x v="199"/>
    </i>
    <i>
      <x v="169"/>
    </i>
    <i>
      <x v="255"/>
    </i>
    <i>
      <x v="49"/>
    </i>
    <i>
      <x v="38"/>
    </i>
    <i>
      <x v="139"/>
    </i>
    <i>
      <x v="257"/>
    </i>
    <i>
      <x v="6"/>
    </i>
    <i>
      <x v="33"/>
    </i>
    <i>
      <x v="15"/>
    </i>
    <i>
      <x v="52"/>
    </i>
    <i>
      <x v="117"/>
    </i>
    <i>
      <x v="158"/>
    </i>
    <i>
      <x v="99"/>
    </i>
    <i>
      <x v="159"/>
    </i>
    <i>
      <x v="292"/>
    </i>
    <i>
      <x v="131"/>
    </i>
    <i>
      <x v="182"/>
    </i>
    <i>
      <x v="161"/>
    </i>
    <i>
      <x v="45"/>
    </i>
    <i>
      <x v="264"/>
    </i>
    <i>
      <x v="185"/>
    </i>
    <i>
      <x v="265"/>
    </i>
    <i>
      <x v="172"/>
    </i>
    <i>
      <x v="149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24D00-4C29-4263-9477-52C15D186631}" name="PivotTable2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D3:E11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dataField="1" numFmtId="165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4"/>
    </i>
    <i>
      <x v="6"/>
    </i>
    <i>
      <x v="3"/>
    </i>
    <i>
      <x v="2"/>
    </i>
    <i>
      <x/>
    </i>
    <i>
      <x v="5"/>
    </i>
    <i>
      <x v="1"/>
    </i>
    <i t="grand">
      <x/>
    </i>
  </rowItems>
  <colItems count="1">
    <i/>
  </colItems>
  <dataFields count="1">
    <dataField name="Average of UnitPrice" fld="5" subtotal="average" baseField="3" baseItem="0"/>
  </dataFields>
  <formats count="1">
    <format dxfId="5">
      <pivotArea collapsedLevelsAreSubtotals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0F19B-6BD8-4935-A46C-1D9F54EDC0BB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ID">
  <location ref="A3:B1204" firstHeaderRow="1" firstDataRow="1" firstDataCol="1"/>
  <pivotFields count="16">
    <pivotField axis="axisRow" showAll="0" sortType="descending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1201">
    <i>
      <x v="789"/>
    </i>
    <i>
      <x v="1122"/>
    </i>
    <i>
      <x v="632"/>
    </i>
    <i>
      <x v="469"/>
    </i>
    <i>
      <x v="328"/>
    </i>
    <i>
      <x v="107"/>
    </i>
    <i>
      <x v="326"/>
    </i>
    <i>
      <x v="1065"/>
    </i>
    <i>
      <x v="1031"/>
    </i>
    <i>
      <x v="463"/>
    </i>
    <i>
      <x v="361"/>
    </i>
    <i>
      <x v="367"/>
    </i>
    <i>
      <x v="837"/>
    </i>
    <i>
      <x v="527"/>
    </i>
    <i>
      <x v="768"/>
    </i>
    <i>
      <x v="889"/>
    </i>
    <i>
      <x v="540"/>
    </i>
    <i>
      <x v="802"/>
    </i>
    <i>
      <x v="957"/>
    </i>
    <i>
      <x v="86"/>
    </i>
    <i>
      <x v="221"/>
    </i>
    <i>
      <x v="967"/>
    </i>
    <i>
      <x v="296"/>
    </i>
    <i>
      <x v="1079"/>
    </i>
    <i>
      <x v="364"/>
    </i>
    <i>
      <x v="764"/>
    </i>
    <i>
      <x v="10"/>
    </i>
    <i>
      <x v="820"/>
    </i>
    <i>
      <x v="97"/>
    </i>
    <i>
      <x v="241"/>
    </i>
    <i>
      <x v="450"/>
    </i>
    <i>
      <x v="876"/>
    </i>
    <i>
      <x v="492"/>
    </i>
    <i>
      <x v="633"/>
    </i>
    <i>
      <x v="731"/>
    </i>
    <i>
      <x v="916"/>
    </i>
    <i>
      <x v="511"/>
    </i>
    <i>
      <x v="816"/>
    </i>
    <i>
      <x/>
    </i>
    <i>
      <x v="578"/>
    </i>
    <i>
      <x v="883"/>
    </i>
    <i>
      <x v="1002"/>
    </i>
    <i>
      <x v="628"/>
    </i>
    <i>
      <x v="389"/>
    </i>
    <i>
      <x v="1153"/>
    </i>
    <i>
      <x v="1142"/>
    </i>
    <i>
      <x v="222"/>
    </i>
    <i>
      <x v="1087"/>
    </i>
    <i>
      <x v="223"/>
    </i>
    <i>
      <x v="1156"/>
    </i>
    <i>
      <x v="471"/>
    </i>
    <i>
      <x v="2"/>
    </i>
    <i>
      <x v="1076"/>
    </i>
    <i>
      <x v="423"/>
    </i>
    <i>
      <x v="608"/>
    </i>
    <i>
      <x v="769"/>
    </i>
    <i>
      <x v="865"/>
    </i>
    <i>
      <x v="32"/>
    </i>
    <i>
      <x v="164"/>
    </i>
    <i>
      <x v="252"/>
    </i>
    <i>
      <x v="694"/>
    </i>
    <i>
      <x v="269"/>
    </i>
    <i>
      <x v="170"/>
    </i>
    <i>
      <x v="963"/>
    </i>
    <i>
      <x v="394"/>
    </i>
    <i>
      <x v="523"/>
    </i>
    <i>
      <x v="781"/>
    </i>
    <i>
      <x v="287"/>
    </i>
    <i>
      <x v="281"/>
    </i>
    <i>
      <x v="823"/>
    </i>
    <i>
      <x v="683"/>
    </i>
    <i>
      <x v="340"/>
    </i>
    <i>
      <x v="707"/>
    </i>
    <i>
      <x v="977"/>
    </i>
    <i>
      <x v="1094"/>
    </i>
    <i>
      <x v="1179"/>
    </i>
    <i>
      <x v="986"/>
    </i>
    <i>
      <x v="587"/>
    </i>
    <i>
      <x v="465"/>
    </i>
    <i>
      <x v="282"/>
    </i>
    <i>
      <x v="446"/>
    </i>
    <i>
      <x v="390"/>
    </i>
    <i>
      <x v="500"/>
    </i>
    <i>
      <x v="1144"/>
    </i>
    <i>
      <x v="607"/>
    </i>
    <i>
      <x v="1097"/>
    </i>
    <i>
      <x v="549"/>
    </i>
    <i>
      <x v="872"/>
    </i>
    <i>
      <x v="120"/>
    </i>
    <i>
      <x v="118"/>
    </i>
    <i>
      <x v="558"/>
    </i>
    <i>
      <x v="925"/>
    </i>
    <i>
      <x v="345"/>
    </i>
    <i>
      <x v="4"/>
    </i>
    <i>
      <x v="114"/>
    </i>
    <i>
      <x v="598"/>
    </i>
    <i>
      <x v="567"/>
    </i>
    <i>
      <x v="91"/>
    </i>
    <i>
      <x v="457"/>
    </i>
    <i>
      <x v="994"/>
    </i>
    <i>
      <x v="311"/>
    </i>
    <i>
      <x v="486"/>
    </i>
    <i>
      <x v="798"/>
    </i>
    <i>
      <x v="832"/>
    </i>
    <i>
      <x v="359"/>
    </i>
    <i>
      <x v="174"/>
    </i>
    <i>
      <x v="817"/>
    </i>
    <i>
      <x v="801"/>
    </i>
    <i>
      <x v="621"/>
    </i>
    <i>
      <x v="913"/>
    </i>
    <i>
      <x v="59"/>
    </i>
    <i>
      <x v="688"/>
    </i>
    <i>
      <x v="805"/>
    </i>
    <i>
      <x v="360"/>
    </i>
    <i>
      <x v="72"/>
    </i>
    <i>
      <x v="560"/>
    </i>
    <i>
      <x v="267"/>
    </i>
    <i>
      <x v="490"/>
    </i>
    <i>
      <x v="266"/>
    </i>
    <i>
      <x v="342"/>
    </i>
    <i>
      <x v="726"/>
    </i>
    <i>
      <x v="1080"/>
    </i>
    <i>
      <x v="965"/>
    </i>
    <i>
      <x v="638"/>
    </i>
    <i>
      <x v="588"/>
    </i>
    <i>
      <x v="838"/>
    </i>
    <i>
      <x v="1124"/>
    </i>
    <i>
      <x v="34"/>
    </i>
    <i>
      <x v="615"/>
    </i>
    <i>
      <x v="541"/>
    </i>
    <i>
      <x v="89"/>
    </i>
    <i>
      <x v="641"/>
    </i>
    <i>
      <x v="82"/>
    </i>
    <i>
      <x v="1199"/>
    </i>
    <i>
      <x v="575"/>
    </i>
    <i>
      <x v="1041"/>
    </i>
    <i>
      <x v="151"/>
    </i>
    <i>
      <x v="1027"/>
    </i>
    <i>
      <x v="46"/>
    </i>
    <i>
      <x v="309"/>
    </i>
    <i>
      <x v="407"/>
    </i>
    <i>
      <x v="858"/>
    </i>
    <i>
      <x v="200"/>
    </i>
    <i>
      <x v="83"/>
    </i>
    <i>
      <x v="1047"/>
    </i>
    <i>
      <x v="283"/>
    </i>
    <i>
      <x v="177"/>
    </i>
    <i>
      <x v="670"/>
    </i>
    <i>
      <x v="189"/>
    </i>
    <i>
      <x v="1155"/>
    </i>
    <i>
      <x v="153"/>
    </i>
    <i>
      <x v="737"/>
    </i>
    <i>
      <x v="713"/>
    </i>
    <i>
      <x v="399"/>
    </i>
    <i>
      <x v="1146"/>
    </i>
    <i>
      <x v="573"/>
    </i>
    <i>
      <x v="1006"/>
    </i>
    <i>
      <x v="491"/>
    </i>
    <i>
      <x v="742"/>
    </i>
    <i>
      <x v="736"/>
    </i>
    <i>
      <x v="935"/>
    </i>
    <i>
      <x v="771"/>
    </i>
    <i>
      <x v="1171"/>
    </i>
    <i>
      <x v="1034"/>
    </i>
    <i>
      <x v="653"/>
    </i>
    <i>
      <x v="885"/>
    </i>
    <i>
      <x v="429"/>
    </i>
    <i>
      <x v="141"/>
    </i>
    <i>
      <x v="288"/>
    </i>
    <i>
      <x v="178"/>
    </i>
    <i>
      <x v="304"/>
    </i>
    <i>
      <x v="357"/>
    </i>
    <i>
      <x v="458"/>
    </i>
    <i>
      <x v="9"/>
    </i>
    <i>
      <x v="807"/>
    </i>
    <i>
      <x v="1035"/>
    </i>
    <i>
      <x v="181"/>
    </i>
    <i>
      <x v="915"/>
    </i>
    <i>
      <x v="979"/>
    </i>
    <i>
      <x v="1136"/>
    </i>
    <i>
      <x v="100"/>
    </i>
    <i>
      <x v="646"/>
    </i>
    <i>
      <x v="173"/>
    </i>
    <i>
      <x v="562"/>
    </i>
    <i>
      <x v="803"/>
    </i>
    <i>
      <x v="746"/>
    </i>
    <i>
      <x v="911"/>
    </i>
    <i>
      <x v="216"/>
    </i>
    <i>
      <x v="1114"/>
    </i>
    <i>
      <x v="733"/>
    </i>
    <i>
      <x v="1010"/>
    </i>
    <i>
      <x v="495"/>
    </i>
    <i>
      <x v="1070"/>
    </i>
    <i>
      <x v="891"/>
    </i>
    <i>
      <x v="715"/>
    </i>
    <i>
      <x v="1049"/>
    </i>
    <i>
      <x v="53"/>
    </i>
    <i>
      <x v="923"/>
    </i>
    <i>
      <x v="610"/>
    </i>
    <i>
      <x v="1189"/>
    </i>
    <i>
      <x v="534"/>
    </i>
    <i>
      <x v="1128"/>
    </i>
    <i>
      <x v="481"/>
    </i>
    <i>
      <x v="651"/>
    </i>
    <i>
      <x v="897"/>
    </i>
    <i>
      <x v="574"/>
    </i>
    <i>
      <x v="917"/>
    </i>
    <i>
      <x v="850"/>
    </i>
    <i>
      <x v="520"/>
    </i>
    <i>
      <x v="388"/>
    </i>
    <i>
      <x v="58"/>
    </i>
    <i>
      <x v="996"/>
    </i>
    <i>
      <x v="433"/>
    </i>
    <i>
      <x v="870"/>
    </i>
    <i>
      <x v="369"/>
    </i>
    <i>
      <x v="115"/>
    </i>
    <i>
      <x v="758"/>
    </i>
    <i>
      <x v="356"/>
    </i>
    <i>
      <x v="344"/>
    </i>
    <i>
      <x v="1159"/>
    </i>
    <i>
      <x v="947"/>
    </i>
    <i>
      <x v="195"/>
    </i>
    <i>
      <x v="519"/>
    </i>
    <i>
      <x v="293"/>
    </i>
    <i>
      <x v="1190"/>
    </i>
    <i>
      <x v="699"/>
    </i>
    <i>
      <x v="918"/>
    </i>
    <i>
      <x v="41"/>
    </i>
    <i>
      <x v="964"/>
    </i>
    <i>
      <x v="564"/>
    </i>
    <i>
      <x v="596"/>
    </i>
    <i>
      <x v="278"/>
    </i>
    <i>
      <x v="1127"/>
    </i>
    <i>
      <x v="405"/>
    </i>
    <i>
      <x v="366"/>
    </i>
    <i>
      <x v="616"/>
    </i>
    <i>
      <x v="132"/>
    </i>
    <i>
      <x v="109"/>
    </i>
    <i>
      <x v="232"/>
    </i>
    <i>
      <x v="80"/>
    </i>
    <i>
      <x v="976"/>
    </i>
    <i>
      <x v="779"/>
    </i>
    <i>
      <x v="1117"/>
    </i>
    <i>
      <x v="226"/>
    </i>
    <i>
      <x v="1028"/>
    </i>
    <i>
      <x v="992"/>
    </i>
    <i>
      <x v="237"/>
    </i>
    <i>
      <x v="259"/>
    </i>
    <i>
      <x v="483"/>
    </i>
    <i>
      <x v="263"/>
    </i>
    <i>
      <x v="796"/>
    </i>
    <i>
      <x v="464"/>
    </i>
    <i>
      <x v="847"/>
    </i>
    <i>
      <x v="73"/>
    </i>
    <i>
      <x v="894"/>
    </i>
    <i>
      <x v="93"/>
    </i>
    <i>
      <x v="176"/>
    </i>
    <i>
      <x v="1082"/>
    </i>
    <i>
      <x v="752"/>
    </i>
    <i>
      <x v="1145"/>
    </i>
    <i>
      <x v="624"/>
    </i>
    <i>
      <x v="815"/>
    </i>
    <i>
      <x v="652"/>
    </i>
    <i>
      <x v="852"/>
    </i>
    <i>
      <x v="512"/>
    </i>
    <i>
      <x v="1081"/>
    </i>
    <i>
      <x v="552"/>
    </i>
    <i>
      <x v="502"/>
    </i>
    <i>
      <x v="702"/>
    </i>
    <i>
      <x v="402"/>
    </i>
    <i>
      <x v="1129"/>
    </i>
    <i>
      <x v="307"/>
    </i>
    <i>
      <x v="790"/>
    </i>
    <i>
      <x v="599"/>
    </i>
    <i>
      <x v="741"/>
    </i>
    <i>
      <x v="1123"/>
    </i>
    <i>
      <x v="384"/>
    </i>
    <i>
      <x v="515"/>
    </i>
    <i>
      <x v="253"/>
    </i>
    <i>
      <x v="204"/>
    </i>
    <i>
      <x v="861"/>
    </i>
    <i>
      <x v="968"/>
    </i>
    <i>
      <x v="1046"/>
    </i>
    <i>
      <x v="1137"/>
    </i>
    <i>
      <x v="434"/>
    </i>
    <i>
      <x v="791"/>
    </i>
    <i>
      <x v="1125"/>
    </i>
    <i>
      <x v="154"/>
    </i>
    <i>
      <x v="179"/>
    </i>
    <i>
      <x v="499"/>
    </i>
    <i>
      <x v="828"/>
    </i>
    <i>
      <x v="239"/>
    </i>
    <i>
      <x v="518"/>
    </i>
    <i>
      <x v="143"/>
    </i>
    <i>
      <x v="531"/>
    </i>
    <i>
      <x v="1003"/>
    </i>
    <i>
      <x v="539"/>
    </i>
    <i>
      <x v="140"/>
    </i>
    <i>
      <x v="1045"/>
    </i>
    <i>
      <x v="180"/>
    </i>
    <i>
      <x v="1164"/>
    </i>
    <i>
      <x v="383"/>
    </i>
    <i>
      <x v="442"/>
    </i>
    <i>
      <x v="57"/>
    </i>
    <i>
      <x v="818"/>
    </i>
    <i>
      <x v="739"/>
    </i>
    <i>
      <x v="228"/>
    </i>
    <i>
      <x v="565"/>
    </i>
    <i>
      <x v="794"/>
    </i>
    <i>
      <x v="371"/>
    </i>
    <i>
      <x v="238"/>
    </i>
    <i>
      <x v="76"/>
    </i>
    <i>
      <x v="682"/>
    </i>
    <i>
      <x v="338"/>
    </i>
    <i>
      <x v="472"/>
    </i>
    <i>
      <x v="494"/>
    </i>
    <i>
      <x v="952"/>
    </i>
    <i>
      <x v="337"/>
    </i>
    <i>
      <x v="1191"/>
    </i>
    <i>
      <x v="1139"/>
    </i>
    <i>
      <x v="130"/>
    </i>
    <i>
      <x v="31"/>
    </i>
    <i>
      <x v="43"/>
    </i>
    <i>
      <x v="627"/>
    </i>
    <i>
      <x v="1141"/>
    </i>
    <i>
      <x v="907"/>
    </i>
    <i>
      <x v="636"/>
    </i>
    <i>
      <x v="1088"/>
    </i>
    <i>
      <x v="68"/>
    </i>
    <i>
      <x v="538"/>
    </i>
    <i>
      <x v="853"/>
    </i>
    <i>
      <x v="813"/>
    </i>
    <i>
      <x v="372"/>
    </i>
    <i>
      <x v="1073"/>
    </i>
    <i>
      <x v="824"/>
    </i>
    <i>
      <x v="56"/>
    </i>
    <i>
      <x v="69"/>
    </i>
    <i>
      <x v="396"/>
    </i>
    <i>
      <x v="674"/>
    </i>
    <i>
      <x v="1105"/>
    </i>
    <i>
      <x v="582"/>
    </i>
    <i>
      <x v="903"/>
    </i>
    <i>
      <x v="987"/>
    </i>
    <i>
      <x v="127"/>
    </i>
    <i>
      <x v="302"/>
    </i>
    <i>
      <x v="966"/>
    </i>
    <i>
      <x v="908"/>
    </i>
    <i>
      <x v="106"/>
    </i>
    <i>
      <x v="1170"/>
    </i>
    <i>
      <x v="826"/>
    </i>
    <i>
      <x v="1149"/>
    </i>
    <i>
      <x v="680"/>
    </i>
    <i>
      <x v="1102"/>
    </i>
    <i>
      <x v="945"/>
    </i>
    <i>
      <x v="438"/>
    </i>
    <i>
      <x v="21"/>
    </i>
    <i>
      <x v="142"/>
    </i>
    <i>
      <x v="716"/>
    </i>
    <i>
      <x v="719"/>
    </i>
    <i>
      <x v="1017"/>
    </i>
    <i>
      <x v="198"/>
    </i>
    <i>
      <x v="825"/>
    </i>
    <i>
      <x v="1022"/>
    </i>
    <i>
      <x v="529"/>
    </i>
    <i>
      <x v="201"/>
    </i>
    <i>
      <x v="543"/>
    </i>
    <i>
      <x v="609"/>
    </i>
    <i>
      <x v="308"/>
    </i>
    <i>
      <x v="1016"/>
    </i>
    <i>
      <x v="924"/>
    </i>
    <i>
      <x v="612"/>
    </i>
    <i>
      <x v="997"/>
    </i>
    <i>
      <x v="974"/>
    </i>
    <i>
      <x v="954"/>
    </i>
    <i>
      <x v="380"/>
    </i>
    <i>
      <x v="1196"/>
    </i>
    <i>
      <x v="890"/>
    </i>
    <i>
      <x v="662"/>
    </i>
    <i>
      <x v="626"/>
    </i>
    <i>
      <x v="799"/>
    </i>
    <i>
      <x v="666"/>
    </i>
    <i>
      <x v="859"/>
    </i>
    <i>
      <x v="1000"/>
    </i>
    <i>
      <x v="71"/>
    </i>
    <i>
      <x v="660"/>
    </i>
    <i>
      <x v="728"/>
    </i>
    <i>
      <x v="330"/>
    </i>
    <i>
      <x v="1090"/>
    </i>
    <i>
      <x v="355"/>
    </i>
    <i>
      <x v="1192"/>
    </i>
    <i>
      <x v="1085"/>
    </i>
    <i>
      <x v="848"/>
    </i>
    <i>
      <x v="843"/>
    </i>
    <i>
      <x v="416"/>
    </i>
    <i>
      <x v="1057"/>
    </i>
    <i>
      <x v="217"/>
    </i>
    <i>
      <x v="649"/>
    </i>
    <i>
      <x v="659"/>
    </i>
    <i>
      <x v="827"/>
    </i>
    <i>
      <x v="548"/>
    </i>
    <i>
      <x v="661"/>
    </i>
    <i>
      <x v="29"/>
    </i>
    <i>
      <x v="806"/>
    </i>
    <i>
      <x v="331"/>
    </i>
    <i>
      <x v="868"/>
    </i>
    <i>
      <x v="988"/>
    </i>
    <i>
      <x v="1104"/>
    </i>
    <i>
      <x v="569"/>
    </i>
    <i>
      <x v="775"/>
    </i>
    <i>
      <x v="672"/>
    </i>
    <i>
      <x v="630"/>
    </i>
    <i>
      <x v="1036"/>
    </i>
    <i>
      <x v="270"/>
    </i>
    <i>
      <x v="408"/>
    </i>
    <i>
      <x v="840"/>
    </i>
    <i>
      <x v="1008"/>
    </i>
    <i>
      <x v="637"/>
    </i>
    <i>
      <x v="214"/>
    </i>
    <i>
      <x v="940"/>
    </i>
    <i>
      <x v="1151"/>
    </i>
    <i>
      <x v="485"/>
    </i>
    <i>
      <x v="280"/>
    </i>
    <i>
      <x v="1150"/>
    </i>
    <i>
      <x v="971"/>
    </i>
    <i>
      <x v="133"/>
    </i>
    <i>
      <x v="298"/>
    </i>
    <i>
      <x v="855"/>
    </i>
    <i>
      <x v="788"/>
    </i>
    <i>
      <x v="1013"/>
    </i>
    <i>
      <x v="276"/>
    </i>
    <i>
      <x v="751"/>
    </i>
    <i>
      <x v="1089"/>
    </i>
    <i>
      <x v="75"/>
    </i>
    <i>
      <x v="1180"/>
    </i>
    <i>
      <x v="948"/>
    </i>
    <i>
      <x v="623"/>
    </i>
    <i>
      <x v="983"/>
    </i>
    <i>
      <x v="622"/>
    </i>
    <i>
      <x v="1005"/>
    </i>
    <i>
      <x v="1138"/>
    </i>
    <i>
      <x v="1147"/>
    </i>
    <i>
      <x v="640"/>
    </i>
    <i>
      <x v="1023"/>
    </i>
    <i>
      <x v="116"/>
    </i>
    <i>
      <x v="322"/>
    </i>
    <i>
      <x v="973"/>
    </i>
    <i>
      <x v="648"/>
    </i>
    <i>
      <x v="654"/>
    </i>
    <i>
      <x v="482"/>
    </i>
    <i>
      <x v="706"/>
    </i>
    <i>
      <x v="960"/>
    </i>
    <i>
      <x v="124"/>
    </i>
    <i>
      <x v="329"/>
    </i>
    <i>
      <x v="1014"/>
    </i>
    <i>
      <x v="157"/>
    </i>
    <i>
      <x v="922"/>
    </i>
    <i>
      <x v="319"/>
    </i>
    <i>
      <x v="19"/>
    </i>
    <i>
      <x v="854"/>
    </i>
    <i>
      <x v="197"/>
    </i>
    <i>
      <x v="1140"/>
    </i>
    <i>
      <x v="1103"/>
    </i>
    <i>
      <x v="1075"/>
    </i>
    <i>
      <x v="1024"/>
    </i>
    <i>
      <x v="126"/>
    </i>
    <i>
      <x v="316"/>
    </i>
    <i>
      <x v="44"/>
    </i>
    <i>
      <x v="1055"/>
    </i>
    <i>
      <x v="144"/>
    </i>
    <i>
      <x v="879"/>
    </i>
    <i>
      <x v="23"/>
    </i>
    <i>
      <x v="842"/>
    </i>
    <i>
      <x v="1038"/>
    </i>
    <i>
      <x v="809"/>
    </i>
    <i>
      <x v="325"/>
    </i>
    <i>
      <x v="679"/>
    </i>
    <i>
      <x v="348"/>
    </i>
    <i>
      <x v="210"/>
    </i>
    <i>
      <x v="929"/>
    </i>
    <i>
      <x v="203"/>
    </i>
    <i>
      <x v="765"/>
    </i>
    <i>
      <x v="119"/>
    </i>
    <i>
      <x v="36"/>
    </i>
    <i>
      <x v="869"/>
    </i>
    <i>
      <x v="16"/>
    </i>
    <i>
      <x v="122"/>
    </i>
    <i>
      <x v="1116"/>
    </i>
    <i>
      <x v="347"/>
    </i>
    <i>
      <x v="129"/>
    </i>
    <i>
      <x v="391"/>
    </i>
    <i>
      <x v="470"/>
    </i>
    <i>
      <x v="382"/>
    </i>
    <i>
      <x v="428"/>
    </i>
    <i>
      <x v="1198"/>
    </i>
    <i>
      <x v="1092"/>
    </i>
    <i>
      <x v="939"/>
    </i>
    <i>
      <x v="284"/>
    </i>
    <i>
      <x v="487"/>
    </i>
    <i>
      <x v="410"/>
    </i>
    <i>
      <x v="55"/>
    </i>
    <i>
      <x v="476"/>
    </i>
    <i>
      <x v="1086"/>
    </i>
    <i>
      <x v="675"/>
    </i>
    <i>
      <x v="125"/>
    </i>
    <i>
      <x v="773"/>
    </i>
    <i>
      <x v="373"/>
    </i>
    <i>
      <x v="1098"/>
    </i>
    <i>
      <x v="647"/>
    </i>
    <i>
      <x v="755"/>
    </i>
    <i>
      <x v="376"/>
    </i>
    <i>
      <x v="589"/>
    </i>
    <i>
      <x v="165"/>
    </i>
    <i>
      <x v="262"/>
    </i>
    <i>
      <x v="938"/>
    </i>
    <i>
      <x v="1053"/>
    </i>
    <i>
      <x v="561"/>
    </i>
    <i>
      <x v="297"/>
    </i>
    <i>
      <x v="1004"/>
    </i>
    <i>
      <x v="778"/>
    </i>
    <i>
      <x v="782"/>
    </i>
    <i>
      <x v="554"/>
    </i>
    <i>
      <x v="989"/>
    </i>
    <i>
      <x v="692"/>
    </i>
    <i>
      <x v="1030"/>
    </i>
    <i>
      <x v="874"/>
    </i>
    <i>
      <x v="191"/>
    </i>
    <i>
      <x v="1166"/>
    </i>
    <i>
      <x v="871"/>
    </i>
    <i>
      <x v="1056"/>
    </i>
    <i>
      <x v="738"/>
    </i>
    <i>
      <x v="385"/>
    </i>
    <i>
      <x v="1011"/>
    </i>
    <i>
      <x v="711"/>
    </i>
    <i>
      <x v="1126"/>
    </i>
    <i>
      <x v="113"/>
    </i>
    <i>
      <x v="904"/>
    </i>
    <i>
      <x v="866"/>
    </i>
    <i>
      <x v="1021"/>
    </i>
    <i>
      <x v="234"/>
    </i>
    <i>
      <x v="209"/>
    </i>
    <i>
      <x v="1111"/>
    </i>
    <i>
      <x v="1133"/>
    </i>
    <i>
      <x v="880"/>
    </i>
    <i>
      <x v="233"/>
    </i>
    <i>
      <x v="183"/>
    </i>
    <i>
      <x v="147"/>
    </i>
    <i>
      <x v="35"/>
    </i>
    <i>
      <x v="1096"/>
    </i>
    <i>
      <x v="504"/>
    </i>
    <i>
      <x v="111"/>
    </i>
    <i>
      <x v="910"/>
    </i>
    <i>
      <x v="665"/>
    </i>
    <i>
      <x v="759"/>
    </i>
    <i>
      <x v="744"/>
    </i>
    <i>
      <x v="590"/>
    </i>
    <i>
      <x v="1163"/>
    </i>
    <i>
      <x v="206"/>
    </i>
    <i>
      <x v="550"/>
    </i>
    <i>
      <x v="1077"/>
    </i>
    <i>
      <x v="514"/>
    </i>
    <i>
      <x v="930"/>
    </i>
    <i>
      <x v="1157"/>
    </i>
    <i>
      <x v="754"/>
    </i>
    <i>
      <x v="334"/>
    </i>
    <i>
      <x v="734"/>
    </i>
    <i>
      <x v="881"/>
    </i>
    <i>
      <x v="379"/>
    </i>
    <i>
      <x v="689"/>
    </i>
    <i>
      <x v="787"/>
    </i>
    <i>
      <x v="841"/>
    </i>
    <i>
      <x v="436"/>
    </i>
    <i>
      <x v="1095"/>
    </i>
    <i>
      <x v="797"/>
    </i>
    <i>
      <x v="475"/>
    </i>
    <i>
      <x v="103"/>
    </i>
    <i>
      <x v="1197"/>
    </i>
    <i>
      <x v="505"/>
    </i>
    <i>
      <x v="352"/>
    </i>
    <i>
      <x v="313"/>
    </i>
    <i>
      <x v="196"/>
    </i>
    <i>
      <x v="261"/>
    </i>
    <i>
      <x v="184"/>
    </i>
    <i>
      <x v="849"/>
    </i>
    <i>
      <x v="920"/>
    </i>
    <i>
      <x v="30"/>
    </i>
    <i>
      <x v="944"/>
    </i>
    <i>
      <x v="793"/>
    </i>
    <i>
      <x v="509"/>
    </i>
    <i>
      <x v="432"/>
    </i>
    <i>
      <x v="268"/>
    </i>
    <i>
      <x v="676"/>
    </i>
    <i>
      <x v="1182"/>
    </i>
    <i>
      <x v="1113"/>
    </i>
    <i>
      <x v="990"/>
    </i>
    <i>
      <x v="123"/>
    </i>
    <i>
      <x v="447"/>
    </i>
    <i>
      <x v="362"/>
    </i>
    <i>
      <x v="422"/>
    </i>
    <i>
      <x v="1058"/>
    </i>
    <i>
      <x v="606"/>
    </i>
    <i>
      <x v="146"/>
    </i>
    <i>
      <x v="225"/>
    </i>
    <i>
      <x v="1042"/>
    </i>
    <i>
      <x v="208"/>
    </i>
    <i>
      <x v="260"/>
    </i>
    <i>
      <x v="501"/>
    </i>
    <i>
      <x v="368"/>
    </i>
    <i>
      <x v="946"/>
    </i>
    <i>
      <x v="993"/>
    </i>
    <i>
      <x v="272"/>
    </i>
    <i>
      <x v="152"/>
    </i>
    <i>
      <x v="819"/>
    </i>
    <i>
      <x v="1064"/>
    </i>
    <i>
      <x v="517"/>
    </i>
    <i>
      <x v="254"/>
    </i>
    <i>
      <x v="1093"/>
    </i>
    <i>
      <x v="81"/>
    </i>
    <i>
      <x v="933"/>
    </i>
    <i>
      <x v="14"/>
    </i>
    <i>
      <x v="664"/>
    </i>
    <i>
      <x v="698"/>
    </i>
    <i>
      <x v="857"/>
    </i>
    <i>
      <x v="595"/>
    </i>
    <i>
      <x v="39"/>
    </i>
    <i>
      <x v="167"/>
    </i>
    <i>
      <x v="830"/>
    </i>
    <i>
      <x v="202"/>
    </i>
    <i>
      <x v="449"/>
    </i>
    <i>
      <x v="740"/>
    </i>
    <i>
      <x v="1118"/>
    </i>
    <i>
      <x v="919"/>
    </i>
    <i>
      <x v="7"/>
    </i>
    <i>
      <x v="220"/>
    </i>
    <i>
      <x v="673"/>
    </i>
    <i>
      <x v="729"/>
    </i>
    <i>
      <x v="650"/>
    </i>
    <i>
      <x v="1188"/>
    </i>
    <i>
      <x v="537"/>
    </i>
    <i>
      <x v="577"/>
    </i>
    <i>
      <x v="928"/>
    </i>
    <i>
      <x v="780"/>
    </i>
    <i>
      <x v="644"/>
    </i>
    <i>
      <x v="227"/>
    </i>
    <i>
      <x v="90"/>
    </i>
    <i>
      <x v="188"/>
    </i>
    <i>
      <x v="570"/>
    </i>
    <i>
      <x v="902"/>
    </i>
    <i>
      <x v="846"/>
    </i>
    <i>
      <x v="691"/>
    </i>
    <i>
      <x v="792"/>
    </i>
    <i>
      <x v="804"/>
    </i>
    <i>
      <x v="78"/>
    </i>
    <i>
      <x v="1015"/>
    </i>
    <i>
      <x v="821"/>
    </i>
    <i>
      <x v="1131"/>
    </i>
    <i>
      <x v="354"/>
    </i>
    <i>
      <x v="291"/>
    </i>
    <i>
      <x v="1152"/>
    </i>
    <i>
      <x v="40"/>
    </i>
    <i>
      <x v="474"/>
    </i>
    <i>
      <x v="568"/>
    </i>
    <i>
      <x v="1193"/>
    </i>
    <i>
      <x v="1119"/>
    </i>
    <i>
      <x v="246"/>
    </i>
    <i>
      <x v="835"/>
    </i>
    <i>
      <x v="365"/>
    </i>
    <i>
      <x v="893"/>
    </i>
    <i>
      <x v="1026"/>
    </i>
    <i>
      <x v="453"/>
    </i>
    <i>
      <x v="87"/>
    </i>
    <i>
      <x v="1132"/>
    </i>
    <i>
      <x v="625"/>
    </i>
    <i>
      <x v="1115"/>
    </i>
    <i>
      <x v="1165"/>
    </i>
    <i>
      <x v="190"/>
    </i>
    <i>
      <x v="248"/>
    </i>
    <i>
      <x v="525"/>
    </i>
    <i>
      <x v="553"/>
    </i>
    <i>
      <x v="1174"/>
    </i>
    <i>
      <x v="875"/>
    </i>
    <i>
      <x v="708"/>
    </i>
    <i>
      <x v="412"/>
    </i>
    <i>
      <x v="6"/>
    </i>
    <i>
      <x v="1168"/>
    </i>
    <i>
      <x v="878"/>
    </i>
    <i>
      <x v="1054"/>
    </i>
    <i>
      <x v="1061"/>
    </i>
    <i>
      <x v="441"/>
    </i>
    <i>
      <x v="603"/>
    </i>
    <i>
      <x v="346"/>
    </i>
    <i>
      <x v="556"/>
    </i>
    <i>
      <x v="566"/>
    </i>
    <i>
      <x v="1130"/>
    </i>
    <i>
      <x v="899"/>
    </i>
    <i>
      <x v="767"/>
    </i>
    <i>
      <x v="192"/>
    </i>
    <i>
      <x v="720"/>
    </i>
    <i>
      <x v="289"/>
    </i>
    <i>
      <x v="163"/>
    </i>
    <i>
      <x v="1063"/>
    </i>
    <i>
      <x v="400"/>
    </i>
    <i>
      <x v="28"/>
    </i>
    <i>
      <x v="455"/>
    </i>
    <i>
      <x v="148"/>
    </i>
    <i>
      <x v="991"/>
    </i>
    <i>
      <x v="66"/>
    </i>
    <i>
      <x v="244"/>
    </i>
    <i>
      <x v="1108"/>
    </i>
    <i>
      <x v="213"/>
    </i>
    <i>
      <x v="1067"/>
    </i>
    <i>
      <x v="353"/>
    </i>
    <i>
      <x v="70"/>
    </i>
    <i>
      <x v="528"/>
    </i>
    <i>
      <x v="1091"/>
    </i>
    <i>
      <x v="581"/>
    </i>
    <i>
      <x v="392"/>
    </i>
    <i>
      <x v="970"/>
    </i>
    <i>
      <x v="914"/>
    </i>
    <i>
      <x v="320"/>
    </i>
    <i>
      <x v="332"/>
    </i>
    <i>
      <x v="199"/>
    </i>
    <i>
      <x v="79"/>
    </i>
    <i>
      <x v="403"/>
    </i>
    <i>
      <x v="1032"/>
    </i>
    <i>
      <x v="335"/>
    </i>
    <i>
      <x v="536"/>
    </i>
    <i>
      <x v="547"/>
    </i>
    <i>
      <x v="592"/>
    </i>
    <i>
      <x v="951"/>
    </i>
    <i>
      <x v="314"/>
    </i>
    <i>
      <x v="321"/>
    </i>
    <i>
      <x v="591"/>
    </i>
    <i>
      <x v="772"/>
    </i>
    <i>
      <x v="696"/>
    </i>
    <i>
      <x v="13"/>
    </i>
    <i>
      <x v="425"/>
    </i>
    <i>
      <x v="496"/>
    </i>
    <i>
      <x v="961"/>
    </i>
    <i>
      <x v="182"/>
    </i>
    <i>
      <x v="1039"/>
    </i>
    <i>
      <x v="937"/>
    </i>
    <i>
      <x v="950"/>
    </i>
    <i>
      <x v="1154"/>
    </i>
    <i>
      <x v="884"/>
    </i>
    <i>
      <x v="294"/>
    </i>
    <i>
      <x v="168"/>
    </i>
    <i>
      <x v="839"/>
    </i>
    <i>
      <x v="187"/>
    </i>
    <i>
      <x v="814"/>
    </i>
    <i>
      <x v="856"/>
    </i>
    <i>
      <x v="52"/>
    </i>
    <i>
      <x v="301"/>
    </i>
    <i>
      <x v="139"/>
    </i>
    <i>
      <x v="909"/>
    </i>
    <i>
      <x v="77"/>
    </i>
    <i>
      <x v="104"/>
    </i>
    <i>
      <x v="750"/>
    </i>
    <i>
      <x v="211"/>
    </i>
    <i>
      <x v="943"/>
    </i>
    <i>
      <x v="584"/>
    </i>
    <i>
      <x v="421"/>
    </i>
    <i>
      <x v="743"/>
    </i>
    <i>
      <x v="265"/>
    </i>
    <i>
      <x v="374"/>
    </i>
    <i>
      <x v="867"/>
    </i>
    <i>
      <x v="763"/>
    </i>
    <i>
      <x v="363"/>
    </i>
    <i>
      <x v="1194"/>
    </i>
    <i>
      <x v="533"/>
    </i>
    <i>
      <x v="63"/>
    </i>
    <i>
      <x v="229"/>
    </i>
    <i>
      <x v="941"/>
    </i>
    <i>
      <x v="508"/>
    </i>
    <i>
      <x v="766"/>
    </i>
    <i>
      <x v="105"/>
    </i>
    <i>
      <x v="810"/>
    </i>
    <i>
      <x v="617"/>
    </i>
    <i>
      <x v="949"/>
    </i>
    <i>
      <x v="882"/>
    </i>
    <i>
      <x v="1018"/>
    </i>
    <i>
      <x v="981"/>
    </i>
    <i>
      <x v="1060"/>
    </i>
    <i>
      <x v="249"/>
    </i>
    <i>
      <x v="271"/>
    </i>
    <i>
      <x v="1160"/>
    </i>
    <i>
      <x v="156"/>
    </i>
    <i>
      <x v="401"/>
    </i>
    <i>
      <x v="295"/>
    </i>
    <i>
      <x v="1040"/>
    </i>
    <i>
      <x v="117"/>
    </i>
    <i>
      <x v="888"/>
    </i>
    <i>
      <x v="619"/>
    </i>
    <i>
      <x v="1052"/>
    </i>
    <i>
      <x v="94"/>
    </i>
    <i>
      <x v="498"/>
    </i>
    <i>
      <x v="639"/>
    </i>
    <i>
      <x v="521"/>
    </i>
    <i>
      <x v="343"/>
    </i>
    <i>
      <x v="1169"/>
    </i>
    <i>
      <x v="877"/>
    </i>
    <i>
      <x v="586"/>
    </i>
    <i>
      <x v="747"/>
    </i>
    <i>
      <x v="634"/>
    </i>
    <i>
      <x v="749"/>
    </i>
    <i>
      <x v="522"/>
    </i>
    <i>
      <x v="887"/>
    </i>
    <i>
      <x v="437"/>
    </i>
    <i>
      <x v="580"/>
    </i>
    <i>
      <x v="812"/>
    </i>
    <i>
      <x v="1071"/>
    </i>
    <i>
      <x v="305"/>
    </i>
    <i>
      <x v="477"/>
    </i>
    <i>
      <x v="1001"/>
    </i>
    <i>
      <x v="668"/>
    </i>
    <i>
      <x v="695"/>
    </i>
    <i>
      <x v="137"/>
    </i>
    <i>
      <x v="516"/>
    </i>
    <i>
      <x v="5"/>
    </i>
    <i>
      <x v="864"/>
    </i>
    <i>
      <x v="593"/>
    </i>
    <i>
      <x v="678"/>
    </i>
    <i>
      <x v="61"/>
    </i>
    <i>
      <x v="445"/>
    </i>
    <i>
      <x v="1101"/>
    </i>
    <i>
      <x v="999"/>
    </i>
    <i>
      <x v="753"/>
    </i>
    <i>
      <x v="942"/>
    </i>
    <i>
      <x v="822"/>
    </i>
    <i>
      <x v="934"/>
    </i>
    <i>
      <x v="727"/>
    </i>
    <i>
      <x v="273"/>
    </i>
    <i>
      <x v="1181"/>
    </i>
    <i>
      <x v="958"/>
    </i>
    <i>
      <x v="898"/>
    </i>
    <i>
      <x v="730"/>
    </i>
    <i>
      <x v="697"/>
    </i>
    <i>
      <x v="15"/>
    </i>
    <i>
      <x v="27"/>
    </i>
    <i>
      <x v="339"/>
    </i>
    <i>
      <x v="559"/>
    </i>
    <i>
      <x v="95"/>
    </i>
    <i>
      <x v="667"/>
    </i>
    <i>
      <x v="96"/>
    </i>
    <i>
      <x v="349"/>
    </i>
    <i>
      <x v="895"/>
    </i>
    <i>
      <x v="583"/>
    </i>
    <i>
      <x v="795"/>
    </i>
    <i>
      <x v="24"/>
    </i>
    <i>
      <x v="613"/>
    </i>
    <i>
      <x v="886"/>
    </i>
    <i>
      <x v="901"/>
    </i>
    <i>
      <x v="315"/>
    </i>
    <i>
      <x v="605"/>
    </i>
    <i>
      <x v="98"/>
    </i>
    <i>
      <x v="277"/>
    </i>
    <i>
      <x v="74"/>
    </i>
    <i>
      <x v="1069"/>
    </i>
    <i>
      <x v="420"/>
    </i>
    <i>
      <x v="430"/>
    </i>
    <i>
      <x v="1162"/>
    </i>
    <i>
      <x v="489"/>
    </i>
    <i>
      <x v="318"/>
    </i>
    <i>
      <x v="745"/>
    </i>
    <i>
      <x v="905"/>
    </i>
    <i>
      <x v="205"/>
    </i>
    <i>
      <x v="896"/>
    </i>
    <i>
      <x v="247"/>
    </i>
    <i>
      <x v="145"/>
    </i>
    <i>
      <x v="969"/>
    </i>
    <i>
      <x v="85"/>
    </i>
    <i>
      <x v="921"/>
    </i>
    <i>
      <x v="643"/>
    </i>
    <i>
      <x v="783"/>
    </i>
    <i>
      <x v="242"/>
    </i>
    <i>
      <x v="264"/>
    </i>
    <i>
      <x v="419"/>
    </i>
    <i>
      <x v="466"/>
    </i>
    <i>
      <x v="18"/>
    </i>
    <i>
      <x v="978"/>
    </i>
    <i>
      <x v="169"/>
    </i>
    <i>
      <x v="1176"/>
    </i>
    <i>
      <x v="1062"/>
    </i>
    <i>
      <x v="397"/>
    </i>
    <i>
      <x v="642"/>
    </i>
    <i>
      <x v="155"/>
    </i>
    <i>
      <x v="597"/>
    </i>
    <i>
      <x v="17"/>
    </i>
    <i>
      <x v="860"/>
    </i>
    <i>
      <x v="409"/>
    </i>
    <i>
      <x v="493"/>
    </i>
    <i>
      <x v="47"/>
    </i>
    <i>
      <x v="468"/>
    </i>
    <i>
      <x v="286"/>
    </i>
    <i>
      <x v="60"/>
    </i>
    <i>
      <x v="435"/>
    </i>
    <i>
      <x v="618"/>
    </i>
    <i>
      <x v="724"/>
    </i>
    <i>
      <x v="121"/>
    </i>
    <i>
      <x v="112"/>
    </i>
    <i>
      <x v="873"/>
    </i>
    <i>
      <x v="503"/>
    </i>
    <i>
      <x v="620"/>
    </i>
    <i>
      <x v="65"/>
    </i>
    <i>
      <x v="955"/>
    </i>
    <i>
      <x v="257"/>
    </i>
    <i>
      <x v="160"/>
    </i>
    <i>
      <x v="808"/>
    </i>
    <i>
      <x v="461"/>
    </i>
    <i>
      <x v="25"/>
    </i>
    <i>
      <x v="134"/>
    </i>
    <i>
      <x v="310"/>
    </i>
    <i>
      <x v="1172"/>
    </i>
    <i>
      <x v="576"/>
    </i>
    <i>
      <x v="892"/>
    </i>
    <i>
      <x v="1072"/>
    </i>
    <i>
      <x v="64"/>
    </i>
    <i>
      <x v="833"/>
    </i>
    <i>
      <x v="725"/>
    </i>
    <i>
      <x v="51"/>
    </i>
    <i>
      <x v="709"/>
    </i>
    <i>
      <x v="395"/>
    </i>
    <i>
      <x v="1143"/>
    </i>
    <i>
      <x v="101"/>
    </i>
    <i>
      <x v="375"/>
    </i>
    <i>
      <x v="256"/>
    </i>
    <i>
      <x v="656"/>
    </i>
    <i>
      <x v="510"/>
    </i>
    <i>
      <x v="579"/>
    </i>
    <i>
      <x v="1106"/>
    </i>
    <i>
      <x v="1033"/>
    </i>
    <i>
      <x v="1187"/>
    </i>
    <i>
      <x v="900"/>
    </i>
    <i>
      <x v="998"/>
    </i>
    <i>
      <x v="358"/>
    </i>
    <i>
      <x v="717"/>
    </i>
    <i>
      <x v="224"/>
    </i>
    <i>
      <x v="851"/>
    </i>
    <i>
      <x v="274"/>
    </i>
    <i>
      <x v="594"/>
    </i>
    <i>
      <x v="862"/>
    </i>
    <i>
      <x v="12"/>
    </i>
    <i>
      <x v="327"/>
    </i>
    <i>
      <x v="1043"/>
    </i>
    <i>
      <x v="530"/>
    </i>
    <i>
      <x v="1112"/>
    </i>
    <i>
      <x v="1148"/>
    </i>
    <i>
      <x v="1066"/>
    </i>
    <i>
      <x v="1009"/>
    </i>
    <i>
      <x v="657"/>
    </i>
    <i>
      <x v="1050"/>
    </i>
    <i>
      <x v="88"/>
    </i>
    <i>
      <x v="1185"/>
    </i>
    <i>
      <x v="175"/>
    </i>
    <i>
      <x v="285"/>
    </i>
    <i>
      <x v="218"/>
    </i>
    <i>
      <x v="497"/>
    </i>
    <i>
      <x v="480"/>
    </i>
    <i>
      <x v="440"/>
    </i>
    <i>
      <x v="459"/>
    </i>
    <i>
      <x v="687"/>
    </i>
    <i>
      <x v="312"/>
    </i>
    <i>
      <x v="158"/>
    </i>
    <i>
      <x v="84"/>
    </i>
    <i>
      <x v="784"/>
    </i>
    <i>
      <x v="378"/>
    </i>
    <i>
      <x v="777"/>
    </i>
    <i>
      <x v="845"/>
    </i>
    <i>
      <x v="956"/>
    </i>
    <i>
      <x v="844"/>
    </i>
    <i>
      <x v="448"/>
    </i>
    <i>
      <x v="236"/>
    </i>
    <i>
      <x v="45"/>
    </i>
    <i>
      <x v="770"/>
    </i>
    <i>
      <x v="456"/>
    </i>
    <i>
      <x v="20"/>
    </i>
    <i>
      <x v="370"/>
    </i>
    <i>
      <x v="418"/>
    </i>
    <i>
      <x v="1109"/>
    </i>
    <i>
      <x v="219"/>
    </i>
    <i>
      <x v="611"/>
    </i>
    <i>
      <x v="982"/>
    </i>
    <i>
      <x v="215"/>
    </i>
    <i>
      <x v="42"/>
    </i>
    <i>
      <x v="1"/>
    </i>
    <i>
      <x v="645"/>
    </i>
    <i>
      <x v="290"/>
    </i>
    <i>
      <x v="159"/>
    </i>
    <i>
      <x v="138"/>
    </i>
    <i>
      <x v="26"/>
    </i>
    <i>
      <x v="171"/>
    </i>
    <i>
      <x v="1048"/>
    </i>
    <i>
      <x v="243"/>
    </i>
    <i>
      <x v="959"/>
    </i>
    <i>
      <x v="300"/>
    </i>
    <i>
      <x v="426"/>
    </i>
    <i>
      <x v="513"/>
    </i>
    <i>
      <x v="962"/>
    </i>
    <i>
      <x v="756"/>
    </i>
    <i>
      <x v="1183"/>
    </i>
    <i>
      <x v="54"/>
    </i>
    <i>
      <x v="317"/>
    </i>
    <i>
      <x v="912"/>
    </i>
    <i>
      <x v="414"/>
    </i>
    <i>
      <x v="299"/>
    </i>
    <i>
      <x v="1019"/>
    </i>
    <i>
      <x v="417"/>
    </i>
    <i>
      <x v="701"/>
    </i>
    <i>
      <x v="1175"/>
    </i>
    <i>
      <x v="3"/>
    </i>
    <i>
      <x v="398"/>
    </i>
    <i>
      <x v="8"/>
    </i>
    <i>
      <x v="585"/>
    </i>
    <i>
      <x v="186"/>
    </i>
    <i>
      <x v="1059"/>
    </i>
    <i>
      <x v="212"/>
    </i>
    <i>
      <x v="655"/>
    </i>
    <i>
      <x v="406"/>
    </i>
    <i>
      <x v="255"/>
    </i>
    <i>
      <x v="377"/>
    </i>
    <i>
      <x v="718"/>
    </i>
    <i>
      <x v="166"/>
    </i>
    <i>
      <x v="927"/>
    </i>
    <i>
      <x v="669"/>
    </i>
    <i>
      <x v="172"/>
    </i>
    <i>
      <x v="671"/>
    </i>
    <i>
      <x v="1110"/>
    </i>
    <i>
      <x v="462"/>
    </i>
    <i>
      <x v="1099"/>
    </i>
    <i>
      <x v="1037"/>
    </i>
    <i>
      <x v="194"/>
    </i>
    <i>
      <x v="230"/>
    </i>
    <i>
      <x v="38"/>
    </i>
    <i>
      <x v="985"/>
    </i>
    <i>
      <x v="108"/>
    </i>
    <i>
      <x v="721"/>
    </i>
    <i>
      <x v="685"/>
    </i>
    <i>
      <x v="762"/>
    </i>
    <i>
      <x v="936"/>
    </i>
    <i>
      <x v="995"/>
    </i>
    <i>
      <x v="786"/>
    </i>
    <i>
      <x v="245"/>
    </i>
    <i>
      <x v="1074"/>
    </i>
    <i>
      <x v="110"/>
    </i>
    <i>
      <x v="149"/>
    </i>
    <i>
      <x v="571"/>
    </i>
    <i>
      <x v="324"/>
    </i>
    <i>
      <x v="748"/>
    </i>
    <i>
      <x v="150"/>
    </i>
    <i>
      <x v="161"/>
    </i>
    <i>
      <x v="185"/>
    </i>
    <i>
      <x v="980"/>
    </i>
    <i>
      <x v="1173"/>
    </i>
    <i>
      <x v="258"/>
    </i>
    <i>
      <x v="535"/>
    </i>
    <i>
      <x v="1184"/>
    </i>
    <i>
      <x v="99"/>
    </i>
    <i>
      <x v="333"/>
    </i>
    <i>
      <x v="404"/>
    </i>
    <i>
      <x v="162"/>
    </i>
    <i>
      <x v="545"/>
    </i>
    <i>
      <x v="1120"/>
    </i>
    <i>
      <x v="92"/>
    </i>
    <i>
      <x v="381"/>
    </i>
    <i>
      <x v="635"/>
    </i>
    <i>
      <x v="1100"/>
    </i>
    <i>
      <x v="478"/>
    </i>
    <i>
      <x v="700"/>
    </i>
    <i>
      <x v="1167"/>
    </i>
    <i>
      <x v="415"/>
    </i>
    <i>
      <x v="451"/>
    </i>
    <i>
      <x v="50"/>
    </i>
    <i>
      <x v="836"/>
    </i>
    <i>
      <x v="831"/>
    </i>
    <i>
      <x v="693"/>
    </i>
    <i>
      <x v="735"/>
    </i>
    <i>
      <x v="785"/>
    </i>
    <i>
      <x v="507"/>
    </i>
    <i>
      <x v="231"/>
    </i>
    <i>
      <x v="341"/>
    </i>
    <i>
      <x v="279"/>
    </i>
    <i>
      <x v="723"/>
    </i>
    <i>
      <x v="1186"/>
    </i>
    <i>
      <x v="33"/>
    </i>
    <i>
      <x v="48"/>
    </i>
    <i>
      <x v="427"/>
    </i>
    <i>
      <x v="686"/>
    </i>
    <i>
      <x v="544"/>
    </i>
    <i>
      <x v="546"/>
    </i>
    <i>
      <x v="757"/>
    </i>
    <i>
      <x v="681"/>
    </i>
    <i>
      <x v="37"/>
    </i>
    <i>
      <x v="1134"/>
    </i>
    <i>
      <x v="524"/>
    </i>
    <i>
      <x v="761"/>
    </i>
    <i>
      <x v="1121"/>
    </i>
    <i>
      <x v="323"/>
    </i>
    <i>
      <x v="11"/>
    </i>
    <i>
      <x v="1135"/>
    </i>
    <i>
      <x v="1007"/>
    </i>
    <i>
      <x v="439"/>
    </i>
    <i>
      <x v="932"/>
    </i>
    <i>
      <x v="460"/>
    </i>
    <i>
      <x v="102"/>
    </i>
    <i>
      <x v="684"/>
    </i>
    <i>
      <x v="443"/>
    </i>
    <i>
      <x v="631"/>
    </i>
    <i>
      <x v="135"/>
    </i>
    <i>
      <x v="712"/>
    </i>
    <i>
      <x v="444"/>
    </i>
    <i>
      <x v="1068"/>
    </i>
    <i>
      <x v="563"/>
    </i>
    <i>
      <x v="1051"/>
    </i>
    <i>
      <x v="732"/>
    </i>
    <i>
      <x v="953"/>
    </i>
    <i>
      <x v="275"/>
    </i>
    <i>
      <x v="250"/>
    </i>
    <i>
      <x v="1177"/>
    </i>
    <i>
      <x v="1107"/>
    </i>
    <i>
      <x v="601"/>
    </i>
    <i>
      <x v="1083"/>
    </i>
    <i>
      <x v="207"/>
    </i>
    <i>
      <x v="704"/>
    </i>
    <i>
      <x v="551"/>
    </i>
    <i>
      <x v="1012"/>
    </i>
    <i>
      <x v="413"/>
    </i>
    <i>
      <x v="424"/>
    </i>
    <i>
      <x v="306"/>
    </i>
    <i>
      <x v="834"/>
    </i>
    <i>
      <x v="677"/>
    </i>
    <i>
      <x v="1158"/>
    </i>
    <i>
      <x v="454"/>
    </i>
    <i>
      <x v="350"/>
    </i>
    <i>
      <x v="710"/>
    </i>
    <i>
      <x v="1195"/>
    </i>
    <i>
      <x v="975"/>
    </i>
    <i>
      <x v="602"/>
    </i>
    <i>
      <x v="479"/>
    </i>
    <i>
      <x v="22"/>
    </i>
    <i>
      <x v="705"/>
    </i>
    <i>
      <x v="604"/>
    </i>
    <i>
      <x v="614"/>
    </i>
    <i>
      <x v="722"/>
    </i>
    <i>
      <x v="386"/>
    </i>
    <i>
      <x v="526"/>
    </i>
    <i>
      <x v="703"/>
    </i>
    <i>
      <x v="658"/>
    </i>
    <i>
      <x v="555"/>
    </i>
    <i>
      <x v="972"/>
    </i>
    <i>
      <x v="506"/>
    </i>
    <i>
      <x v="1029"/>
    </i>
    <i>
      <x v="62"/>
    </i>
    <i>
      <x v="131"/>
    </i>
    <i>
      <x v="128"/>
    </i>
    <i>
      <x v="532"/>
    </i>
    <i>
      <x v="931"/>
    </i>
    <i>
      <x v="387"/>
    </i>
    <i>
      <x v="411"/>
    </i>
    <i>
      <x v="984"/>
    </i>
    <i>
      <x v="829"/>
    </i>
    <i>
      <x v="452"/>
    </i>
    <i>
      <x v="393"/>
    </i>
    <i>
      <x v="663"/>
    </i>
    <i>
      <x v="600"/>
    </i>
    <i>
      <x v="1084"/>
    </i>
    <i>
      <x v="572"/>
    </i>
    <i>
      <x v="1178"/>
    </i>
    <i>
      <x v="800"/>
    </i>
    <i>
      <x v="292"/>
    </i>
    <i>
      <x v="235"/>
    </i>
    <i>
      <x v="351"/>
    </i>
    <i>
      <x v="906"/>
    </i>
    <i>
      <x v="774"/>
    </i>
    <i>
      <x v="484"/>
    </i>
    <i>
      <x v="629"/>
    </i>
    <i>
      <x v="251"/>
    </i>
    <i>
      <x v="811"/>
    </i>
    <i>
      <x v="557"/>
    </i>
    <i>
      <x v="1020"/>
    </i>
    <i>
      <x v="431"/>
    </i>
    <i>
      <x v="714"/>
    </i>
    <i>
      <x v="67"/>
    </i>
    <i>
      <x v="193"/>
    </i>
    <i>
      <x v="467"/>
    </i>
    <i>
      <x v="136"/>
    </i>
    <i>
      <x v="1078"/>
    </i>
    <i>
      <x v="760"/>
    </i>
    <i>
      <x v="1044"/>
    </i>
    <i>
      <x v="488"/>
    </i>
    <i>
      <x v="303"/>
    </i>
    <i>
      <x v="49"/>
    </i>
    <i>
      <x v="473"/>
    </i>
    <i>
      <x v="926"/>
    </i>
    <i>
      <x v="690"/>
    </i>
    <i>
      <x v="1025"/>
    </i>
    <i>
      <x v="776"/>
    </i>
    <i>
      <x v="336"/>
    </i>
    <i>
      <x v="542"/>
    </i>
    <i>
      <x v="240"/>
    </i>
    <i>
      <x v="863"/>
    </i>
    <i>
      <x v="1161"/>
    </i>
    <i t="grand">
      <x/>
    </i>
  </rowItems>
  <colItems count="1">
    <i/>
  </colItems>
  <dataFields count="1">
    <dataField name="Cost of orders " fld="13" baseField="0" baseItem="789" numFmtId="168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D65E83-5C1F-4BF7-85EA-FEBC4DB322A7}" name="Table6" displayName="Table6" ref="A1:N1202" totalsRowCount="1" headerRowDxfId="41" headerRowBorderDxfId="40" tableBorderDxfId="39">
  <autoFilter ref="A1:N1201" xr:uid="{51D65E83-5C1F-4BF7-85EA-FEBC4DB322A7}"/>
  <tableColumns count="14">
    <tableColumn id="1" xr3:uid="{F29AAEE6-859F-4357-8A45-AA26244F4786}" name="OrderID" dataDxfId="38" totalsRowDxfId="37">
      <calculatedColumnFormula>TRIM(Dataset!A2)</calculatedColumnFormula>
    </tableColumn>
    <tableColumn id="2" xr3:uid="{D37CC58E-C556-49F2-810F-8A20DC6C2E52}" name="Date" dataDxfId="36" totalsRowDxfId="35">
      <calculatedColumnFormula>Dataset!B2</calculatedColumnFormula>
    </tableColumn>
    <tableColumn id="3" xr3:uid="{32130978-16C7-499A-9DFD-050E3DE620DA}" name="CustomerID" dataDxfId="34" totalsRowDxfId="33">
      <calculatedColumnFormula>TRIM(Dataset!C2)</calculatedColumnFormula>
    </tableColumn>
    <tableColumn id="4" xr3:uid="{80BB7207-B2B9-40F3-9F9C-9AA0825A3FEF}" name="Product" totalsRowLabel="Mean" dataDxfId="32" totalsRowDxfId="31">
      <calculatedColumnFormula>TRIM(Dataset!D2)</calculatedColumnFormula>
    </tableColumn>
    <tableColumn id="5" xr3:uid="{A9D8E864-C415-4892-82EC-3DC58CFE54E3}" name="Quantity" totalsRowFunction="custom" dataDxfId="30" totalsRowDxfId="29">
      <calculatedColumnFormula>VALUE(TRIM(Dataset!E2))</calculatedColumnFormula>
      <totalsRowFormula>MEDIAN(Table6[Quantity])</totalsRowFormula>
    </tableColumn>
    <tableColumn id="6" xr3:uid="{8E44E155-E663-4CE0-9112-B0FF605D7237}" name="UnitPrice" totalsRowFunction="custom" dataDxfId="28" totalsRowDxfId="27">
      <calculatedColumnFormula>VALUE(TRIM(Dataset!F2))</calculatedColumnFormula>
      <totalsRowFormula>AVERAGE(Table6[UnitPrice])</totalsRowFormula>
    </tableColumn>
    <tableColumn id="7" xr3:uid="{CB7F46DB-62FC-4C1A-98E7-B4323960558A}" name="ShippingAddress" dataDxfId="26" totalsRowDxfId="25">
      <calculatedColumnFormula>TRIM(Dataset!G2)</calculatedColumnFormula>
    </tableColumn>
    <tableColumn id="8" xr3:uid="{55EBDD3D-22C0-4090-B029-EA3EB0FCBE5C}" name="PaymentMethod" dataDxfId="24" totalsRowDxfId="23">
      <calculatedColumnFormula>TRIM(Dataset!H2)</calculatedColumnFormula>
    </tableColumn>
    <tableColumn id="9" xr3:uid="{79A8AFFA-34D7-48ED-8427-3C27E5A36CEE}" name="OrderStatus" dataDxfId="22" totalsRowDxfId="21">
      <calculatedColumnFormula>TRIM(Dataset!I2)</calculatedColumnFormula>
    </tableColumn>
    <tableColumn id="10" xr3:uid="{FA79ECCF-A7D3-423B-92D0-5602C2717624}" name="TrackingNumber" dataDxfId="20" totalsRowDxfId="19">
      <calculatedColumnFormula>TRIM(Dataset!J2)</calculatedColumnFormula>
    </tableColumn>
    <tableColumn id="11" xr3:uid="{76048163-B03E-46B4-AC83-5B3ACED7B10C}" name="ItemsInCart" dataDxfId="18" totalsRowDxfId="17">
      <calculatedColumnFormula>TRIM(Dataset!K2)</calculatedColumnFormula>
    </tableColumn>
    <tableColumn id="12" xr3:uid="{F46AF0A6-0F94-410B-9F97-18D526F2370B}" name="CouponCode" dataDxfId="16" totalsRowDxfId="15">
      <calculatedColumnFormula>Dataset!L2</calculatedColumnFormula>
    </tableColumn>
    <tableColumn id="13" xr3:uid="{54D8BCF7-AD03-47E5-9ACA-C67CE16A7759}" name="ReferralSource" dataDxfId="14" totalsRowDxfId="13">
      <calculatedColumnFormula>TRIM(Dataset!M2)</calculatedColumnFormula>
    </tableColumn>
    <tableColumn id="14" xr3:uid="{8934F9B8-A20D-4AF1-94A0-C47466A76288}" name="TotalPrice" totalsRowFunction="custom" dataDxfId="12" totalsRowDxfId="11">
      <calculatedColumnFormula>VALUE(TRIM(Dataset!N2))</calculatedColumnFormula>
      <totalsRowFormula>AVERAGE(Table6[TotalPrice])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FB47E-3CD2-4E81-A43B-BF0FCC67A569}">
  <dimension ref="A1:N1201"/>
  <sheetViews>
    <sheetView workbookViewId="0">
      <selection activeCell="O10" sqref="O10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style="13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15</v>
      </c>
      <c r="D2" t="s">
        <v>16</v>
      </c>
      <c r="E2" s="13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2">
        <v>45527</v>
      </c>
      <c r="C3" t="s">
        <v>24</v>
      </c>
      <c r="D3" t="s">
        <v>25</v>
      </c>
      <c r="E3" s="1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2">
        <v>45349</v>
      </c>
      <c r="C4" t="s">
        <v>31</v>
      </c>
      <c r="D4" t="s">
        <v>32</v>
      </c>
      <c r="E4" s="13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2">
        <v>45214</v>
      </c>
      <c r="C5" t="s">
        <v>40</v>
      </c>
      <c r="D5" t="s">
        <v>41</v>
      </c>
      <c r="E5" s="13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2">
        <v>45785</v>
      </c>
      <c r="C6" t="s">
        <v>47</v>
      </c>
      <c r="D6" t="s">
        <v>48</v>
      </c>
      <c r="E6" s="13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2">
        <v>45222</v>
      </c>
      <c r="C7" t="s">
        <v>53</v>
      </c>
      <c r="D7" t="s">
        <v>25</v>
      </c>
      <c r="E7" s="13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2">
        <v>45825</v>
      </c>
      <c r="C8" t="s">
        <v>57</v>
      </c>
      <c r="D8" t="s">
        <v>58</v>
      </c>
      <c r="E8" s="13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2">
        <v>45058</v>
      </c>
      <c r="C9" t="s">
        <v>63</v>
      </c>
      <c r="D9" t="s">
        <v>16</v>
      </c>
      <c r="E9" s="13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2">
        <v>45749</v>
      </c>
      <c r="C10" t="s">
        <v>68</v>
      </c>
      <c r="D10" t="s">
        <v>25</v>
      </c>
      <c r="E10" s="13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35">
      <c r="A11" t="s">
        <v>71</v>
      </c>
      <c r="B11" s="2">
        <v>45251</v>
      </c>
      <c r="C11" t="s">
        <v>72</v>
      </c>
      <c r="D11" t="s">
        <v>73</v>
      </c>
      <c r="E11" s="13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5">
      <c r="A12" t="s">
        <v>77</v>
      </c>
      <c r="B12" s="2">
        <v>45289</v>
      </c>
      <c r="C12" t="s">
        <v>78</v>
      </c>
      <c r="D12" t="s">
        <v>32</v>
      </c>
      <c r="E12" s="13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5">
      <c r="A13" t="s">
        <v>82</v>
      </c>
      <c r="B13" s="2">
        <v>45339</v>
      </c>
      <c r="C13" t="s">
        <v>83</v>
      </c>
      <c r="D13" t="s">
        <v>16</v>
      </c>
      <c r="E13" s="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86</v>
      </c>
      <c r="B14" s="2">
        <v>45580</v>
      </c>
      <c r="C14" t="s">
        <v>87</v>
      </c>
      <c r="D14" t="s">
        <v>16</v>
      </c>
      <c r="E14" s="13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91</v>
      </c>
      <c r="B15" s="2">
        <v>45168</v>
      </c>
      <c r="C15" t="s">
        <v>92</v>
      </c>
      <c r="D15" t="s">
        <v>58</v>
      </c>
      <c r="E15" s="13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95</v>
      </c>
      <c r="B16" s="2">
        <v>45012</v>
      </c>
      <c r="C16" t="s">
        <v>96</v>
      </c>
      <c r="D16" t="s">
        <v>32</v>
      </c>
      <c r="E16" s="13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99</v>
      </c>
      <c r="B17" s="2">
        <v>45124</v>
      </c>
      <c r="C17" t="s">
        <v>100</v>
      </c>
      <c r="D17" t="s">
        <v>48</v>
      </c>
      <c r="E17" s="13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35">
      <c r="A18" t="s">
        <v>103</v>
      </c>
      <c r="B18" s="2">
        <v>44950</v>
      </c>
      <c r="C18" t="s">
        <v>104</v>
      </c>
      <c r="D18" t="s">
        <v>48</v>
      </c>
      <c r="E18" s="13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107</v>
      </c>
      <c r="B19" s="2">
        <v>45353</v>
      </c>
      <c r="C19" t="s">
        <v>108</v>
      </c>
      <c r="D19" t="s">
        <v>32</v>
      </c>
      <c r="E19" s="13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35">
      <c r="A20" t="s">
        <v>111</v>
      </c>
      <c r="B20" s="2">
        <v>45742</v>
      </c>
      <c r="C20" t="s">
        <v>112</v>
      </c>
      <c r="D20" t="s">
        <v>73</v>
      </c>
      <c r="E20" s="13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115</v>
      </c>
      <c r="B21" s="2">
        <v>44949</v>
      </c>
      <c r="C21" t="s">
        <v>116</v>
      </c>
      <c r="D21" t="s">
        <v>16</v>
      </c>
      <c r="E21" s="13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5">
      <c r="A22" t="s">
        <v>119</v>
      </c>
      <c r="B22" s="2">
        <v>45054</v>
      </c>
      <c r="C22" t="s">
        <v>120</v>
      </c>
      <c r="D22" t="s">
        <v>41</v>
      </c>
      <c r="E22" s="13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5">
      <c r="A23" t="s">
        <v>123</v>
      </c>
      <c r="B23" s="2">
        <v>45613</v>
      </c>
      <c r="C23" t="s">
        <v>124</v>
      </c>
      <c r="D23" t="s">
        <v>16</v>
      </c>
      <c r="E23" s="1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35">
      <c r="A24" t="s">
        <v>127</v>
      </c>
      <c r="B24" s="2">
        <v>44955</v>
      </c>
      <c r="C24" t="s">
        <v>128</v>
      </c>
      <c r="D24" t="s">
        <v>16</v>
      </c>
      <c r="E24" s="13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5">
      <c r="A25" t="s">
        <v>131</v>
      </c>
      <c r="B25" s="2">
        <v>45756</v>
      </c>
      <c r="C25" t="s">
        <v>132</v>
      </c>
      <c r="D25" t="s">
        <v>25</v>
      </c>
      <c r="E25" s="13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135</v>
      </c>
      <c r="B26" s="2">
        <v>45595</v>
      </c>
      <c r="C26" t="s">
        <v>136</v>
      </c>
      <c r="D26" t="s">
        <v>58</v>
      </c>
      <c r="E26" s="13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5">
      <c r="A27" t="s">
        <v>139</v>
      </c>
      <c r="B27" s="2">
        <v>45497</v>
      </c>
      <c r="C27" t="s">
        <v>140</v>
      </c>
      <c r="D27" t="s">
        <v>16</v>
      </c>
      <c r="E27" s="13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5">
      <c r="A28" t="s">
        <v>143</v>
      </c>
      <c r="B28" s="2">
        <v>45357</v>
      </c>
      <c r="C28" t="s">
        <v>144</v>
      </c>
      <c r="D28" t="s">
        <v>58</v>
      </c>
      <c r="E28" s="13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35">
      <c r="A29" t="s">
        <v>147</v>
      </c>
      <c r="B29" s="2">
        <v>45344</v>
      </c>
      <c r="C29" t="s">
        <v>148</v>
      </c>
      <c r="D29" t="s">
        <v>48</v>
      </c>
      <c r="E29" s="13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5">
      <c r="A30" t="s">
        <v>151</v>
      </c>
      <c r="B30" s="2">
        <v>45251</v>
      </c>
      <c r="C30" t="s">
        <v>152</v>
      </c>
      <c r="D30" t="s">
        <v>25</v>
      </c>
      <c r="E30" s="13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35">
      <c r="A31" t="s">
        <v>155</v>
      </c>
      <c r="B31" s="2">
        <v>45555</v>
      </c>
      <c r="C31" t="s">
        <v>156</v>
      </c>
      <c r="D31" t="s">
        <v>73</v>
      </c>
      <c r="E31" s="13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159</v>
      </c>
      <c r="B32" s="2">
        <v>45738</v>
      </c>
      <c r="C32" t="s">
        <v>160</v>
      </c>
      <c r="D32" t="s">
        <v>16</v>
      </c>
      <c r="E32" s="13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163</v>
      </c>
      <c r="B33" s="2">
        <v>45107</v>
      </c>
      <c r="C33" t="s">
        <v>164</v>
      </c>
      <c r="D33" t="s">
        <v>41</v>
      </c>
      <c r="E33" s="1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35">
      <c r="A34" t="s">
        <v>167</v>
      </c>
      <c r="B34" s="2">
        <v>45047</v>
      </c>
      <c r="C34" t="s">
        <v>168</v>
      </c>
      <c r="D34" t="s">
        <v>32</v>
      </c>
      <c r="E34" s="13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35">
      <c r="A35" t="s">
        <v>171</v>
      </c>
      <c r="B35" s="2">
        <v>45082</v>
      </c>
      <c r="C35" t="s">
        <v>172</v>
      </c>
      <c r="D35" t="s">
        <v>41</v>
      </c>
      <c r="E35" s="13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5">
      <c r="A36" t="s">
        <v>175</v>
      </c>
      <c r="B36" s="2">
        <v>44933</v>
      </c>
      <c r="C36" t="s">
        <v>176</v>
      </c>
      <c r="D36" t="s">
        <v>41</v>
      </c>
      <c r="E36" s="13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5">
      <c r="A37" t="s">
        <v>179</v>
      </c>
      <c r="B37" s="2">
        <v>45633</v>
      </c>
      <c r="C37" t="s">
        <v>180</v>
      </c>
      <c r="D37" t="s">
        <v>16</v>
      </c>
      <c r="E37" s="13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183</v>
      </c>
      <c r="B38" s="2">
        <v>45785</v>
      </c>
      <c r="C38" t="s">
        <v>184</v>
      </c>
      <c r="D38" t="s">
        <v>58</v>
      </c>
      <c r="E38" s="13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35">
      <c r="A39" t="s">
        <v>187</v>
      </c>
      <c r="B39" s="2">
        <v>45579</v>
      </c>
      <c r="C39" t="s">
        <v>188</v>
      </c>
      <c r="D39" t="s">
        <v>58</v>
      </c>
      <c r="E39" s="13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191</v>
      </c>
      <c r="B40" s="2">
        <v>45645</v>
      </c>
      <c r="C40" t="s">
        <v>192</v>
      </c>
      <c r="D40" t="s">
        <v>58</v>
      </c>
      <c r="E40" s="13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5">
      <c r="A41" t="s">
        <v>195</v>
      </c>
      <c r="B41" s="2">
        <v>45715</v>
      </c>
      <c r="C41" t="s">
        <v>196</v>
      </c>
      <c r="D41" t="s">
        <v>48</v>
      </c>
      <c r="E41" s="13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5">
      <c r="A42" t="s">
        <v>199</v>
      </c>
      <c r="B42" s="2">
        <v>45158</v>
      </c>
      <c r="C42" t="s">
        <v>200</v>
      </c>
      <c r="D42" t="s">
        <v>73</v>
      </c>
      <c r="E42" s="13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203</v>
      </c>
      <c r="B43" s="2">
        <v>45265</v>
      </c>
      <c r="C43" t="s">
        <v>204</v>
      </c>
      <c r="D43" t="s">
        <v>16</v>
      </c>
      <c r="E43" s="1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207</v>
      </c>
      <c r="B44" s="2">
        <v>45418</v>
      </c>
      <c r="C44" t="s">
        <v>208</v>
      </c>
      <c r="D44" t="s">
        <v>48</v>
      </c>
      <c r="E44" s="13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5">
      <c r="A45" t="s">
        <v>210</v>
      </c>
      <c r="B45" s="2">
        <v>45274</v>
      </c>
      <c r="C45" t="s">
        <v>211</v>
      </c>
      <c r="D45" t="s">
        <v>41</v>
      </c>
      <c r="E45" s="13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5">
      <c r="A46" t="s">
        <v>214</v>
      </c>
      <c r="B46" s="2">
        <v>45768</v>
      </c>
      <c r="C46" t="s">
        <v>215</v>
      </c>
      <c r="D46" t="s">
        <v>25</v>
      </c>
      <c r="E46" s="13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217</v>
      </c>
      <c r="B47" s="2">
        <v>45332</v>
      </c>
      <c r="C47" t="s">
        <v>218</v>
      </c>
      <c r="D47" t="s">
        <v>41</v>
      </c>
      <c r="E47" s="13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221</v>
      </c>
      <c r="B48" s="2">
        <v>45469</v>
      </c>
      <c r="C48" t="s">
        <v>222</v>
      </c>
      <c r="D48" t="s">
        <v>16</v>
      </c>
      <c r="E48" s="13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225</v>
      </c>
      <c r="B49" s="2">
        <v>45126</v>
      </c>
      <c r="C49" t="s">
        <v>226</v>
      </c>
      <c r="D49" t="s">
        <v>73</v>
      </c>
      <c r="E49" s="13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229</v>
      </c>
      <c r="B50" s="2">
        <v>45164</v>
      </c>
      <c r="C50" t="s">
        <v>230</v>
      </c>
      <c r="D50" t="s">
        <v>16</v>
      </c>
      <c r="E50" s="13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35">
      <c r="A51" t="s">
        <v>233</v>
      </c>
      <c r="B51" s="2">
        <v>45206</v>
      </c>
      <c r="C51" t="s">
        <v>234</v>
      </c>
      <c r="D51" t="s">
        <v>48</v>
      </c>
      <c r="E51" s="13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236</v>
      </c>
      <c r="B52" s="2">
        <v>45138</v>
      </c>
      <c r="C52" t="s">
        <v>237</v>
      </c>
      <c r="D52" t="s">
        <v>32</v>
      </c>
      <c r="E52" s="13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240</v>
      </c>
      <c r="B53" s="2">
        <v>45656</v>
      </c>
      <c r="C53" t="s">
        <v>241</v>
      </c>
      <c r="D53" t="s">
        <v>32</v>
      </c>
      <c r="E53" s="1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244</v>
      </c>
      <c r="B54" s="2">
        <v>45543</v>
      </c>
      <c r="C54" t="s">
        <v>245</v>
      </c>
      <c r="D54" t="s">
        <v>32</v>
      </c>
      <c r="E54" s="13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248</v>
      </c>
      <c r="B55" s="2">
        <v>45430</v>
      </c>
      <c r="C55" t="s">
        <v>249</v>
      </c>
      <c r="D55" t="s">
        <v>25</v>
      </c>
      <c r="E55" s="13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5">
      <c r="A56" t="s">
        <v>251</v>
      </c>
      <c r="B56" s="2">
        <v>45743</v>
      </c>
      <c r="C56" t="s">
        <v>252</v>
      </c>
      <c r="D56" t="s">
        <v>41</v>
      </c>
      <c r="E56" s="13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5">
      <c r="A57" t="s">
        <v>255</v>
      </c>
      <c r="B57" s="2">
        <v>45832</v>
      </c>
      <c r="C57" t="s">
        <v>256</v>
      </c>
      <c r="D57" t="s">
        <v>48</v>
      </c>
      <c r="E57" s="13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35">
      <c r="A58" t="s">
        <v>259</v>
      </c>
      <c r="B58" s="2">
        <v>45067</v>
      </c>
      <c r="C58" t="s">
        <v>260</v>
      </c>
      <c r="D58" t="s">
        <v>32</v>
      </c>
      <c r="E58" s="13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5">
      <c r="A59" t="s">
        <v>263</v>
      </c>
      <c r="B59" s="2">
        <v>44948</v>
      </c>
      <c r="C59" t="s">
        <v>264</v>
      </c>
      <c r="D59" t="s">
        <v>48</v>
      </c>
      <c r="E59" s="13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267</v>
      </c>
      <c r="B60" s="2">
        <v>44941</v>
      </c>
      <c r="C60" t="s">
        <v>268</v>
      </c>
      <c r="D60" t="s">
        <v>25</v>
      </c>
      <c r="E60" s="13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5">
      <c r="A61" t="s">
        <v>271</v>
      </c>
      <c r="B61" s="2">
        <v>45546</v>
      </c>
      <c r="C61" t="s">
        <v>272</v>
      </c>
      <c r="D61" t="s">
        <v>41</v>
      </c>
      <c r="E61" s="13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35">
      <c r="A62" t="s">
        <v>275</v>
      </c>
      <c r="B62" s="2">
        <v>45525</v>
      </c>
      <c r="C62" t="s">
        <v>276</v>
      </c>
      <c r="D62" t="s">
        <v>73</v>
      </c>
      <c r="E62" s="13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279</v>
      </c>
      <c r="B63" s="2">
        <v>45375</v>
      </c>
      <c r="C63" t="s">
        <v>280</v>
      </c>
      <c r="D63" t="s">
        <v>73</v>
      </c>
      <c r="E63" s="1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283</v>
      </c>
      <c r="B64" s="2">
        <v>45160</v>
      </c>
      <c r="C64" t="s">
        <v>284</v>
      </c>
      <c r="D64" t="s">
        <v>73</v>
      </c>
      <c r="E64" s="13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5">
      <c r="A65" t="s">
        <v>287</v>
      </c>
      <c r="B65" s="2">
        <v>45690</v>
      </c>
      <c r="C65" t="s">
        <v>288</v>
      </c>
      <c r="D65" t="s">
        <v>41</v>
      </c>
      <c r="E65" s="13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5">
      <c r="A66" t="s">
        <v>291</v>
      </c>
      <c r="B66" s="2">
        <v>45833</v>
      </c>
      <c r="C66" t="s">
        <v>292</v>
      </c>
      <c r="D66" t="s">
        <v>48</v>
      </c>
      <c r="E66" s="13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295</v>
      </c>
      <c r="B67" s="2">
        <v>45290</v>
      </c>
      <c r="C67" t="s">
        <v>296</v>
      </c>
      <c r="D67" t="s">
        <v>16</v>
      </c>
      <c r="E67" s="13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35">
      <c r="A68" t="s">
        <v>299</v>
      </c>
      <c r="B68" s="2">
        <v>45611</v>
      </c>
      <c r="C68" t="s">
        <v>300</v>
      </c>
      <c r="D68" t="s">
        <v>41</v>
      </c>
      <c r="E68" s="13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5">
      <c r="A69" t="s">
        <v>303</v>
      </c>
      <c r="B69" s="2">
        <v>45635</v>
      </c>
      <c r="C69" t="s">
        <v>304</v>
      </c>
      <c r="D69" t="s">
        <v>48</v>
      </c>
      <c r="E69" s="13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35">
      <c r="A70" t="s">
        <v>307</v>
      </c>
      <c r="B70" s="2">
        <v>45271</v>
      </c>
      <c r="C70" t="s">
        <v>308</v>
      </c>
      <c r="D70" t="s">
        <v>41</v>
      </c>
      <c r="E70" s="13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310</v>
      </c>
      <c r="B71" s="2">
        <v>45057</v>
      </c>
      <c r="C71" t="s">
        <v>311</v>
      </c>
      <c r="D71" t="s">
        <v>16</v>
      </c>
      <c r="E71" s="13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35">
      <c r="A72" t="s">
        <v>314</v>
      </c>
      <c r="B72" s="2">
        <v>45072</v>
      </c>
      <c r="C72" t="s">
        <v>315</v>
      </c>
      <c r="D72" t="s">
        <v>73</v>
      </c>
      <c r="E72" s="13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318</v>
      </c>
      <c r="B73" s="2">
        <v>45818</v>
      </c>
      <c r="C73" t="s">
        <v>319</v>
      </c>
      <c r="D73" t="s">
        <v>16</v>
      </c>
      <c r="E73" s="1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35">
      <c r="A74" t="s">
        <v>322</v>
      </c>
      <c r="B74" s="2">
        <v>45648</v>
      </c>
      <c r="C74" t="s">
        <v>323</v>
      </c>
      <c r="D74" t="s">
        <v>32</v>
      </c>
      <c r="E74" s="13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35">
      <c r="A75" t="s">
        <v>325</v>
      </c>
      <c r="B75" s="2">
        <v>45049</v>
      </c>
      <c r="C75" t="s">
        <v>326</v>
      </c>
      <c r="D75" t="s">
        <v>16</v>
      </c>
      <c r="E75" s="13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35">
      <c r="A76" t="s">
        <v>329</v>
      </c>
      <c r="B76" s="2">
        <v>45101</v>
      </c>
      <c r="C76" t="s">
        <v>330</v>
      </c>
      <c r="D76" t="s">
        <v>25</v>
      </c>
      <c r="E76" s="13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5">
      <c r="A77" t="s">
        <v>333</v>
      </c>
      <c r="B77" s="2">
        <v>45195</v>
      </c>
      <c r="C77" t="s">
        <v>334</v>
      </c>
      <c r="D77" t="s">
        <v>32</v>
      </c>
      <c r="E77" s="13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337</v>
      </c>
      <c r="B78" s="2">
        <v>45382</v>
      </c>
      <c r="C78" t="s">
        <v>338</v>
      </c>
      <c r="D78" t="s">
        <v>58</v>
      </c>
      <c r="E78" s="13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5">
      <c r="A79" t="s">
        <v>341</v>
      </c>
      <c r="B79" s="2">
        <v>45436</v>
      </c>
      <c r="C79" t="s">
        <v>342</v>
      </c>
      <c r="D79" t="s">
        <v>25</v>
      </c>
      <c r="E79" s="13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35">
      <c r="A80" t="s">
        <v>345</v>
      </c>
      <c r="B80" s="2">
        <v>45510</v>
      </c>
      <c r="C80" t="s">
        <v>346</v>
      </c>
      <c r="D80" t="s">
        <v>48</v>
      </c>
      <c r="E80" s="13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349</v>
      </c>
      <c r="B81" s="2">
        <v>45726</v>
      </c>
      <c r="C81" t="s">
        <v>350</v>
      </c>
      <c r="D81" t="s">
        <v>32</v>
      </c>
      <c r="E81" s="13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35">
      <c r="A82" t="s">
        <v>353</v>
      </c>
      <c r="B82" s="2">
        <v>45104</v>
      </c>
      <c r="C82" t="s">
        <v>354</v>
      </c>
      <c r="D82" t="s">
        <v>25</v>
      </c>
      <c r="E82" s="13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35">
      <c r="A83" t="s">
        <v>357</v>
      </c>
      <c r="B83" s="2">
        <v>45085</v>
      </c>
      <c r="C83" t="s">
        <v>358</v>
      </c>
      <c r="D83" t="s">
        <v>16</v>
      </c>
      <c r="E83" s="1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361</v>
      </c>
      <c r="B84" s="2">
        <v>45296</v>
      </c>
      <c r="C84" t="s">
        <v>362</v>
      </c>
      <c r="D84" t="s">
        <v>32</v>
      </c>
      <c r="E84" s="13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5">
      <c r="A85" t="s">
        <v>365</v>
      </c>
      <c r="B85" s="2">
        <v>45160</v>
      </c>
      <c r="C85" t="s">
        <v>366</v>
      </c>
      <c r="D85" t="s">
        <v>58</v>
      </c>
      <c r="E85" s="13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35">
      <c r="A86" t="s">
        <v>369</v>
      </c>
      <c r="B86" s="2">
        <v>45166</v>
      </c>
      <c r="C86" t="s">
        <v>370</v>
      </c>
      <c r="D86" t="s">
        <v>16</v>
      </c>
      <c r="E86" s="13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5">
      <c r="A87" t="s">
        <v>373</v>
      </c>
      <c r="B87" s="2">
        <v>45544</v>
      </c>
      <c r="C87" t="s">
        <v>374</v>
      </c>
      <c r="D87" t="s">
        <v>32</v>
      </c>
      <c r="E87" s="13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5">
      <c r="A88" t="s">
        <v>377</v>
      </c>
      <c r="B88" s="2">
        <v>45462</v>
      </c>
      <c r="C88" t="s">
        <v>378</v>
      </c>
      <c r="D88" t="s">
        <v>48</v>
      </c>
      <c r="E88" s="13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381</v>
      </c>
      <c r="B89" s="2">
        <v>45575</v>
      </c>
      <c r="C89" t="s">
        <v>382</v>
      </c>
      <c r="D89" t="s">
        <v>32</v>
      </c>
      <c r="E89" s="13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385</v>
      </c>
      <c r="B90" s="2">
        <v>45813</v>
      </c>
      <c r="C90" t="s">
        <v>386</v>
      </c>
      <c r="D90" t="s">
        <v>73</v>
      </c>
      <c r="E90" s="13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35">
      <c r="A91" t="s">
        <v>389</v>
      </c>
      <c r="B91" s="2">
        <v>45713</v>
      </c>
      <c r="C91" t="s">
        <v>390</v>
      </c>
      <c r="D91" t="s">
        <v>48</v>
      </c>
      <c r="E91" s="13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5">
      <c r="A92" t="s">
        <v>393</v>
      </c>
      <c r="B92" s="2">
        <v>45187</v>
      </c>
      <c r="C92" t="s">
        <v>394</v>
      </c>
      <c r="D92" t="s">
        <v>41</v>
      </c>
      <c r="E92" s="13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397</v>
      </c>
      <c r="B93" s="2">
        <v>45000</v>
      </c>
      <c r="C93" t="s">
        <v>398</v>
      </c>
      <c r="D93" t="s">
        <v>58</v>
      </c>
      <c r="E93" s="1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5">
      <c r="A94" t="s">
        <v>401</v>
      </c>
      <c r="B94" s="2">
        <v>45453</v>
      </c>
      <c r="C94" t="s">
        <v>402</v>
      </c>
      <c r="D94" t="s">
        <v>48</v>
      </c>
      <c r="E94" s="13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405</v>
      </c>
      <c r="B95" s="2">
        <v>44940</v>
      </c>
      <c r="C95" t="s">
        <v>406</v>
      </c>
      <c r="D95" t="s">
        <v>73</v>
      </c>
      <c r="E95" s="13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35">
      <c r="A96" t="s">
        <v>409</v>
      </c>
      <c r="B96" s="2">
        <v>44968</v>
      </c>
      <c r="C96" t="s">
        <v>410</v>
      </c>
      <c r="D96" t="s">
        <v>41</v>
      </c>
      <c r="E96" s="13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5">
      <c r="A97" t="s">
        <v>413</v>
      </c>
      <c r="B97" s="2">
        <v>45009</v>
      </c>
      <c r="C97" t="s">
        <v>414</v>
      </c>
      <c r="D97" t="s">
        <v>48</v>
      </c>
      <c r="E97" s="13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35">
      <c r="A98" t="s">
        <v>417</v>
      </c>
      <c r="B98" s="2">
        <v>45444</v>
      </c>
      <c r="C98" t="s">
        <v>418</v>
      </c>
      <c r="D98" t="s">
        <v>25</v>
      </c>
      <c r="E98" s="13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5">
      <c r="A99" t="s">
        <v>420</v>
      </c>
      <c r="B99" s="2">
        <v>45678</v>
      </c>
      <c r="C99" t="s">
        <v>421</v>
      </c>
      <c r="D99" t="s">
        <v>32</v>
      </c>
      <c r="E99" s="13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35">
      <c r="A100" t="s">
        <v>424</v>
      </c>
      <c r="B100" s="2">
        <v>44940</v>
      </c>
      <c r="C100" t="s">
        <v>425</v>
      </c>
      <c r="D100" t="s">
        <v>48</v>
      </c>
      <c r="E100" s="13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35">
      <c r="A101" t="s">
        <v>428</v>
      </c>
      <c r="B101" s="2">
        <v>45759</v>
      </c>
      <c r="C101" t="s">
        <v>429</v>
      </c>
      <c r="D101" t="s">
        <v>48</v>
      </c>
      <c r="E101" s="13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5">
      <c r="A102" t="s">
        <v>432</v>
      </c>
      <c r="B102" s="2">
        <v>44974</v>
      </c>
      <c r="C102" t="s">
        <v>433</v>
      </c>
      <c r="D102" t="s">
        <v>25</v>
      </c>
      <c r="E102" s="13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35">
      <c r="A103" t="s">
        <v>436</v>
      </c>
      <c r="B103" s="2">
        <v>45255</v>
      </c>
      <c r="C103" t="s">
        <v>437</v>
      </c>
      <c r="D103" t="s">
        <v>48</v>
      </c>
      <c r="E103" s="1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35">
      <c r="A104" t="s">
        <v>440</v>
      </c>
      <c r="B104" s="2">
        <v>44993</v>
      </c>
      <c r="C104" t="s">
        <v>441</v>
      </c>
      <c r="D104" t="s">
        <v>58</v>
      </c>
      <c r="E104" s="13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444</v>
      </c>
      <c r="B105" s="2">
        <v>45682</v>
      </c>
      <c r="C105" t="s">
        <v>445</v>
      </c>
      <c r="D105" t="s">
        <v>25</v>
      </c>
      <c r="E105" s="13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448</v>
      </c>
      <c r="B106" s="2">
        <v>45503</v>
      </c>
      <c r="C106" t="s">
        <v>449</v>
      </c>
      <c r="D106" t="s">
        <v>25</v>
      </c>
      <c r="E106" s="13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452</v>
      </c>
      <c r="B107" s="2">
        <v>45589</v>
      </c>
      <c r="C107" t="s">
        <v>453</v>
      </c>
      <c r="D107" t="s">
        <v>48</v>
      </c>
      <c r="E107" s="13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35">
      <c r="A108" t="s">
        <v>456</v>
      </c>
      <c r="B108" s="2">
        <v>45177</v>
      </c>
      <c r="C108" t="s">
        <v>457</v>
      </c>
      <c r="D108" t="s">
        <v>73</v>
      </c>
      <c r="E108" s="13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460</v>
      </c>
      <c r="B109" s="2">
        <v>45012</v>
      </c>
      <c r="C109" t="s">
        <v>461</v>
      </c>
      <c r="D109" t="s">
        <v>48</v>
      </c>
      <c r="E109" s="13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464</v>
      </c>
      <c r="B110" s="2">
        <v>45654</v>
      </c>
      <c r="C110" t="s">
        <v>465</v>
      </c>
      <c r="D110" t="s">
        <v>58</v>
      </c>
      <c r="E110" s="13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5">
      <c r="A111" t="s">
        <v>468</v>
      </c>
      <c r="B111" s="2">
        <v>45186</v>
      </c>
      <c r="C111" t="s">
        <v>469</v>
      </c>
      <c r="D111" t="s">
        <v>73</v>
      </c>
      <c r="E111" s="13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472</v>
      </c>
      <c r="B112" s="2">
        <v>45403</v>
      </c>
      <c r="C112" t="s">
        <v>473</v>
      </c>
      <c r="D112" t="s">
        <v>32</v>
      </c>
      <c r="E112" s="13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476</v>
      </c>
      <c r="B113" s="2">
        <v>45784</v>
      </c>
      <c r="C113" t="s">
        <v>477</v>
      </c>
      <c r="D113" t="s">
        <v>73</v>
      </c>
      <c r="E113" s="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35">
      <c r="A114" t="s">
        <v>480</v>
      </c>
      <c r="B114" s="2">
        <v>44927</v>
      </c>
      <c r="C114" t="s">
        <v>481</v>
      </c>
      <c r="D114" t="s">
        <v>16</v>
      </c>
      <c r="E114" s="13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5">
      <c r="A115" t="s">
        <v>484</v>
      </c>
      <c r="B115" s="2">
        <v>45308</v>
      </c>
      <c r="C115" t="s">
        <v>485</v>
      </c>
      <c r="D115" t="s">
        <v>58</v>
      </c>
      <c r="E115" s="13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5">
      <c r="A116" t="s">
        <v>488</v>
      </c>
      <c r="B116" s="2">
        <v>45684</v>
      </c>
      <c r="C116" t="s">
        <v>489</v>
      </c>
      <c r="D116" t="s">
        <v>16</v>
      </c>
      <c r="E116" s="13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5">
      <c r="A117" t="s">
        <v>492</v>
      </c>
      <c r="B117" s="2">
        <v>45257</v>
      </c>
      <c r="C117" t="s">
        <v>493</v>
      </c>
      <c r="D117" t="s">
        <v>25</v>
      </c>
      <c r="E117" s="13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496</v>
      </c>
      <c r="B118" s="2">
        <v>45004</v>
      </c>
      <c r="C118" t="s">
        <v>497</v>
      </c>
      <c r="D118" t="s">
        <v>48</v>
      </c>
      <c r="E118" s="13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5">
      <c r="A119" t="s">
        <v>500</v>
      </c>
      <c r="B119" s="2">
        <v>44993</v>
      </c>
      <c r="C119" t="s">
        <v>501</v>
      </c>
      <c r="D119" t="s">
        <v>32</v>
      </c>
      <c r="E119" s="13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5">
      <c r="A120" t="s">
        <v>504</v>
      </c>
      <c r="B120" s="2">
        <v>45208</v>
      </c>
      <c r="C120" t="s">
        <v>505</v>
      </c>
      <c r="D120" t="s">
        <v>48</v>
      </c>
      <c r="E120" s="13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5">
      <c r="A121" t="s">
        <v>508</v>
      </c>
      <c r="B121" s="2">
        <v>45819</v>
      </c>
      <c r="C121" t="s">
        <v>509</v>
      </c>
      <c r="D121" t="s">
        <v>73</v>
      </c>
      <c r="E121" s="13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512</v>
      </c>
      <c r="B122" s="2">
        <v>45027</v>
      </c>
      <c r="C122" t="s">
        <v>513</v>
      </c>
      <c r="D122" t="s">
        <v>32</v>
      </c>
      <c r="E122" s="13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5">
      <c r="A123" t="s">
        <v>515</v>
      </c>
      <c r="B123" s="2">
        <v>45260</v>
      </c>
      <c r="C123" t="s">
        <v>516</v>
      </c>
      <c r="D123" t="s">
        <v>73</v>
      </c>
      <c r="E123" s="1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519</v>
      </c>
      <c r="B124" s="2">
        <v>45397</v>
      </c>
      <c r="C124" t="s">
        <v>520</v>
      </c>
      <c r="D124" t="s">
        <v>58</v>
      </c>
      <c r="E124" s="13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35">
      <c r="A125" t="s">
        <v>523</v>
      </c>
      <c r="B125" s="2">
        <v>45113</v>
      </c>
      <c r="C125" t="s">
        <v>524</v>
      </c>
      <c r="D125" t="s">
        <v>73</v>
      </c>
      <c r="E125" s="13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35">
      <c r="A126" t="s">
        <v>527</v>
      </c>
      <c r="B126" s="2">
        <v>45501</v>
      </c>
      <c r="C126" t="s">
        <v>528</v>
      </c>
      <c r="D126" t="s">
        <v>48</v>
      </c>
      <c r="E126" s="13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35">
      <c r="A127" t="s">
        <v>531</v>
      </c>
      <c r="B127" s="2">
        <v>45602</v>
      </c>
      <c r="C127" t="s">
        <v>532</v>
      </c>
      <c r="D127" t="s">
        <v>25</v>
      </c>
      <c r="E127" s="13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535</v>
      </c>
      <c r="B128" s="2">
        <v>45780</v>
      </c>
      <c r="C128" t="s">
        <v>536</v>
      </c>
      <c r="D128" t="s">
        <v>73</v>
      </c>
      <c r="E128" s="13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5">
      <c r="A129" t="s">
        <v>539</v>
      </c>
      <c r="B129" s="2">
        <v>45148</v>
      </c>
      <c r="C129" t="s">
        <v>540</v>
      </c>
      <c r="D129" t="s">
        <v>73</v>
      </c>
      <c r="E129" s="13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35">
      <c r="A130" t="s">
        <v>543</v>
      </c>
      <c r="B130" s="2">
        <v>44974</v>
      </c>
      <c r="C130" t="s">
        <v>544</v>
      </c>
      <c r="D130" t="s">
        <v>32</v>
      </c>
      <c r="E130" s="13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5">
      <c r="A131" t="s">
        <v>547</v>
      </c>
      <c r="B131" s="2">
        <v>45226</v>
      </c>
      <c r="C131" t="s">
        <v>548</v>
      </c>
      <c r="D131" t="s">
        <v>58</v>
      </c>
      <c r="E131" s="13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551</v>
      </c>
      <c r="B132" s="2">
        <v>45679</v>
      </c>
      <c r="C132" t="s">
        <v>552</v>
      </c>
      <c r="D132" t="s">
        <v>73</v>
      </c>
      <c r="E132" s="13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5">
      <c r="A133" t="s">
        <v>555</v>
      </c>
      <c r="B133" s="2">
        <v>44934</v>
      </c>
      <c r="C133" t="s">
        <v>556</v>
      </c>
      <c r="D133" t="s">
        <v>32</v>
      </c>
      <c r="E133" s="1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35">
      <c r="A134" t="s">
        <v>559</v>
      </c>
      <c r="B134" s="2">
        <v>45013</v>
      </c>
      <c r="C134" t="s">
        <v>560</v>
      </c>
      <c r="D134" t="s">
        <v>32</v>
      </c>
      <c r="E134" s="13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5">
      <c r="A135" t="s">
        <v>563</v>
      </c>
      <c r="B135" s="2">
        <v>45828</v>
      </c>
      <c r="C135" t="s">
        <v>564</v>
      </c>
      <c r="D135" t="s">
        <v>41</v>
      </c>
      <c r="E135" s="13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5">
      <c r="A136" t="s">
        <v>567</v>
      </c>
      <c r="B136" s="2">
        <v>45831</v>
      </c>
      <c r="C136" t="s">
        <v>568</v>
      </c>
      <c r="D136" t="s">
        <v>58</v>
      </c>
      <c r="E136" s="13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35">
      <c r="A137" t="s">
        <v>570</v>
      </c>
      <c r="B137" s="2">
        <v>45142</v>
      </c>
      <c r="C137" t="s">
        <v>571</v>
      </c>
      <c r="D137" t="s">
        <v>48</v>
      </c>
      <c r="E137" s="13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574</v>
      </c>
      <c r="B138" s="2">
        <v>45409</v>
      </c>
      <c r="C138" t="s">
        <v>575</v>
      </c>
      <c r="D138" t="s">
        <v>58</v>
      </c>
      <c r="E138" s="13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578</v>
      </c>
      <c r="B139" s="2">
        <v>45622</v>
      </c>
      <c r="C139" t="s">
        <v>579</v>
      </c>
      <c r="D139" t="s">
        <v>16</v>
      </c>
      <c r="E139" s="13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35">
      <c r="A140" t="s">
        <v>582</v>
      </c>
      <c r="B140" s="2">
        <v>45281</v>
      </c>
      <c r="C140" t="s">
        <v>583</v>
      </c>
      <c r="D140" t="s">
        <v>32</v>
      </c>
      <c r="E140" s="13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5">
      <c r="A141" t="s">
        <v>586</v>
      </c>
      <c r="B141" s="2">
        <v>45026</v>
      </c>
      <c r="C141" t="s">
        <v>587</v>
      </c>
      <c r="D141" t="s">
        <v>25</v>
      </c>
      <c r="E141" s="13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35">
      <c r="A142" t="s">
        <v>590</v>
      </c>
      <c r="B142" s="2">
        <v>45808</v>
      </c>
      <c r="C142" t="s">
        <v>591</v>
      </c>
      <c r="D142" t="s">
        <v>41</v>
      </c>
      <c r="E142" s="13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593</v>
      </c>
      <c r="B143" s="2">
        <v>45248</v>
      </c>
      <c r="C143" t="s">
        <v>594</v>
      </c>
      <c r="D143" t="s">
        <v>48</v>
      </c>
      <c r="E143" s="1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5">
      <c r="A144" t="s">
        <v>597</v>
      </c>
      <c r="B144" s="2">
        <v>45175</v>
      </c>
      <c r="C144" t="s">
        <v>598</v>
      </c>
      <c r="D144" t="s">
        <v>73</v>
      </c>
      <c r="E144" s="13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5">
      <c r="A145" t="s">
        <v>601</v>
      </c>
      <c r="B145" s="2">
        <v>45456</v>
      </c>
      <c r="C145" t="s">
        <v>602</v>
      </c>
      <c r="D145" t="s">
        <v>41</v>
      </c>
      <c r="E145" s="13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35">
      <c r="A146" t="s">
        <v>605</v>
      </c>
      <c r="B146" s="2">
        <v>45142</v>
      </c>
      <c r="C146" t="s">
        <v>606</v>
      </c>
      <c r="D146" t="s">
        <v>73</v>
      </c>
      <c r="E146" s="13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35">
      <c r="A147" t="s">
        <v>608</v>
      </c>
      <c r="B147" s="2">
        <v>45353</v>
      </c>
      <c r="C147" t="s">
        <v>609</v>
      </c>
      <c r="D147" t="s">
        <v>48</v>
      </c>
      <c r="E147" s="13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5">
      <c r="A148" t="s">
        <v>612</v>
      </c>
      <c r="B148" s="2">
        <v>45777</v>
      </c>
      <c r="C148" t="s">
        <v>613</v>
      </c>
      <c r="D148" t="s">
        <v>32</v>
      </c>
      <c r="E148" s="13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35">
      <c r="A149" t="s">
        <v>616</v>
      </c>
      <c r="B149" s="2">
        <v>45783</v>
      </c>
      <c r="C149" t="s">
        <v>617</v>
      </c>
      <c r="D149" t="s">
        <v>58</v>
      </c>
      <c r="E149" s="13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5">
      <c r="A150" t="s">
        <v>620</v>
      </c>
      <c r="B150" s="2">
        <v>45641</v>
      </c>
      <c r="C150" t="s">
        <v>621</v>
      </c>
      <c r="D150" t="s">
        <v>25</v>
      </c>
      <c r="E150" s="13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5">
      <c r="A151" t="s">
        <v>624</v>
      </c>
      <c r="B151" s="2">
        <v>45287</v>
      </c>
      <c r="C151" t="s">
        <v>625</v>
      </c>
      <c r="D151" t="s">
        <v>58</v>
      </c>
      <c r="E151" s="13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35">
      <c r="A152" t="s">
        <v>628</v>
      </c>
      <c r="B152" s="2">
        <v>45273</v>
      </c>
      <c r="C152" t="s">
        <v>629</v>
      </c>
      <c r="D152" t="s">
        <v>25</v>
      </c>
      <c r="E152" s="13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5">
      <c r="A153" t="s">
        <v>632</v>
      </c>
      <c r="B153" s="2">
        <v>45261</v>
      </c>
      <c r="C153" t="s">
        <v>633</v>
      </c>
      <c r="D153" t="s">
        <v>48</v>
      </c>
      <c r="E153" s="1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35">
      <c r="A154" t="s">
        <v>636</v>
      </c>
      <c r="B154" s="2">
        <v>45659</v>
      </c>
      <c r="C154" t="s">
        <v>637</v>
      </c>
      <c r="D154" t="s">
        <v>41</v>
      </c>
      <c r="E154" s="13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640</v>
      </c>
      <c r="B155" s="2">
        <v>45644</v>
      </c>
      <c r="C155" t="s">
        <v>641</v>
      </c>
      <c r="D155" t="s">
        <v>41</v>
      </c>
      <c r="E155" s="13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5">
      <c r="A156" t="s">
        <v>644</v>
      </c>
      <c r="B156" s="2">
        <v>45127</v>
      </c>
      <c r="C156" t="s">
        <v>645</v>
      </c>
      <c r="D156" t="s">
        <v>25</v>
      </c>
      <c r="E156" s="13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35">
      <c r="A157" t="s">
        <v>647</v>
      </c>
      <c r="B157" s="2">
        <v>44984</v>
      </c>
      <c r="C157" t="s">
        <v>648</v>
      </c>
      <c r="D157" t="s">
        <v>25</v>
      </c>
      <c r="E157" s="13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5">
      <c r="A158" t="s">
        <v>650</v>
      </c>
      <c r="B158" s="2">
        <v>45604</v>
      </c>
      <c r="C158" t="s">
        <v>651</v>
      </c>
      <c r="D158" t="s">
        <v>41</v>
      </c>
      <c r="E158" s="13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654</v>
      </c>
      <c r="B159" s="2">
        <v>45709</v>
      </c>
      <c r="C159" t="s">
        <v>655</v>
      </c>
      <c r="D159" t="s">
        <v>16</v>
      </c>
      <c r="E159" s="13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5">
      <c r="A160" t="s">
        <v>657</v>
      </c>
      <c r="B160" s="2">
        <v>45428</v>
      </c>
      <c r="C160" t="s">
        <v>658</v>
      </c>
      <c r="D160" t="s">
        <v>32</v>
      </c>
      <c r="E160" s="13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5">
      <c r="A161" t="s">
        <v>661</v>
      </c>
      <c r="B161" s="2">
        <v>45230</v>
      </c>
      <c r="C161" t="s">
        <v>662</v>
      </c>
      <c r="D161" t="s">
        <v>48</v>
      </c>
      <c r="E161" s="13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5">
      <c r="A162" t="s">
        <v>665</v>
      </c>
      <c r="B162" s="2">
        <v>44974</v>
      </c>
      <c r="C162" t="s">
        <v>666</v>
      </c>
      <c r="D162" t="s">
        <v>16</v>
      </c>
      <c r="E162" s="13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35">
      <c r="A163" t="s">
        <v>669</v>
      </c>
      <c r="B163" s="2">
        <v>45380</v>
      </c>
      <c r="C163" t="s">
        <v>670</v>
      </c>
      <c r="D163" t="s">
        <v>16</v>
      </c>
      <c r="E163" s="1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672</v>
      </c>
      <c r="B164" s="2">
        <v>45134</v>
      </c>
      <c r="C164" t="s">
        <v>673</v>
      </c>
      <c r="D164" t="s">
        <v>41</v>
      </c>
      <c r="E164" s="13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5">
      <c r="A165" t="s">
        <v>675</v>
      </c>
      <c r="B165" s="2">
        <v>45832</v>
      </c>
      <c r="C165" t="s">
        <v>676</v>
      </c>
      <c r="D165" t="s">
        <v>32</v>
      </c>
      <c r="E165" s="13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35">
      <c r="A166" t="s">
        <v>679</v>
      </c>
      <c r="B166" s="2">
        <v>45288</v>
      </c>
      <c r="C166" t="s">
        <v>680</v>
      </c>
      <c r="D166" t="s">
        <v>73</v>
      </c>
      <c r="E166" s="13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5">
      <c r="A167" t="s">
        <v>683</v>
      </c>
      <c r="B167" s="2">
        <v>45549</v>
      </c>
      <c r="C167" t="s">
        <v>684</v>
      </c>
      <c r="D167" t="s">
        <v>16</v>
      </c>
      <c r="E167" s="13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5">
      <c r="A168" t="s">
        <v>687</v>
      </c>
      <c r="B168" s="2">
        <v>45720</v>
      </c>
      <c r="C168" t="s">
        <v>688</v>
      </c>
      <c r="D168" t="s">
        <v>41</v>
      </c>
      <c r="E168" s="13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5">
      <c r="A169" t="s">
        <v>690</v>
      </c>
      <c r="B169" s="2">
        <v>45073</v>
      </c>
      <c r="C169" t="s">
        <v>691</v>
      </c>
      <c r="D169" t="s">
        <v>41</v>
      </c>
      <c r="E169" s="13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5">
      <c r="A170" t="s">
        <v>694</v>
      </c>
      <c r="B170" s="2">
        <v>45661</v>
      </c>
      <c r="C170" t="s">
        <v>695</v>
      </c>
      <c r="D170" t="s">
        <v>48</v>
      </c>
      <c r="E170" s="13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35">
      <c r="A171" t="s">
        <v>698</v>
      </c>
      <c r="B171" s="2">
        <v>45389</v>
      </c>
      <c r="C171" t="s">
        <v>699</v>
      </c>
      <c r="D171" t="s">
        <v>48</v>
      </c>
      <c r="E171" s="13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5">
      <c r="A172" t="s">
        <v>702</v>
      </c>
      <c r="B172" s="2">
        <v>45751</v>
      </c>
      <c r="C172" t="s">
        <v>703</v>
      </c>
      <c r="D172" t="s">
        <v>73</v>
      </c>
      <c r="E172" s="13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706</v>
      </c>
      <c r="B173" s="2">
        <v>45153</v>
      </c>
      <c r="C173" t="s">
        <v>707</v>
      </c>
      <c r="D173" t="s">
        <v>32</v>
      </c>
      <c r="E173" s="1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5">
      <c r="A174" t="s">
        <v>710</v>
      </c>
      <c r="B174" s="2">
        <v>45753</v>
      </c>
      <c r="C174" t="s">
        <v>711</v>
      </c>
      <c r="D174" t="s">
        <v>48</v>
      </c>
      <c r="E174" s="13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5">
      <c r="A175" t="s">
        <v>713</v>
      </c>
      <c r="B175" s="2">
        <v>45375</v>
      </c>
      <c r="C175" t="s">
        <v>714</v>
      </c>
      <c r="D175" t="s">
        <v>25</v>
      </c>
      <c r="E175" s="13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5">
      <c r="A176" t="s">
        <v>717</v>
      </c>
      <c r="B176" s="2">
        <v>45398</v>
      </c>
      <c r="C176" t="s">
        <v>718</v>
      </c>
      <c r="D176" t="s">
        <v>48</v>
      </c>
      <c r="E176" s="13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721</v>
      </c>
      <c r="B177" s="2">
        <v>45696</v>
      </c>
      <c r="C177" t="s">
        <v>722</v>
      </c>
      <c r="D177" t="s">
        <v>41</v>
      </c>
      <c r="E177" s="13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5">
      <c r="A178" t="s">
        <v>725</v>
      </c>
      <c r="B178" s="2">
        <v>45836</v>
      </c>
      <c r="C178" t="s">
        <v>726</v>
      </c>
      <c r="D178" t="s">
        <v>32</v>
      </c>
      <c r="E178" s="13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5">
      <c r="A179" t="s">
        <v>729</v>
      </c>
      <c r="B179" s="2">
        <v>45143</v>
      </c>
      <c r="C179" t="s">
        <v>730</v>
      </c>
      <c r="D179" t="s">
        <v>41</v>
      </c>
      <c r="E179" s="13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35">
      <c r="A180" t="s">
        <v>733</v>
      </c>
      <c r="B180" s="2">
        <v>45393</v>
      </c>
      <c r="C180" t="s">
        <v>734</v>
      </c>
      <c r="D180" t="s">
        <v>41</v>
      </c>
      <c r="E180" s="13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5">
      <c r="A181" t="s">
        <v>737</v>
      </c>
      <c r="B181" s="2">
        <v>45620</v>
      </c>
      <c r="C181" t="s">
        <v>738</v>
      </c>
      <c r="D181" t="s">
        <v>58</v>
      </c>
      <c r="E181" s="13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35">
      <c r="A182" t="s">
        <v>741</v>
      </c>
      <c r="B182" s="2">
        <v>45003</v>
      </c>
      <c r="C182" t="s">
        <v>742</v>
      </c>
      <c r="D182" t="s">
        <v>32</v>
      </c>
      <c r="E182" s="13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35">
      <c r="A183" t="s">
        <v>745</v>
      </c>
      <c r="B183" s="2">
        <v>45535</v>
      </c>
      <c r="C183" t="s">
        <v>746</v>
      </c>
      <c r="D183" t="s">
        <v>48</v>
      </c>
      <c r="E183" s="1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35">
      <c r="A184" t="s">
        <v>749</v>
      </c>
      <c r="B184" s="2">
        <v>45735</v>
      </c>
      <c r="C184" t="s">
        <v>750</v>
      </c>
      <c r="D184" t="s">
        <v>73</v>
      </c>
      <c r="E184" s="13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5">
      <c r="A185" t="s">
        <v>753</v>
      </c>
      <c r="B185" s="2">
        <v>45400</v>
      </c>
      <c r="C185" t="s">
        <v>754</v>
      </c>
      <c r="D185" t="s">
        <v>16</v>
      </c>
      <c r="E185" s="13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757</v>
      </c>
      <c r="B186" s="2">
        <v>45386</v>
      </c>
      <c r="C186" t="s">
        <v>758</v>
      </c>
      <c r="D186" t="s">
        <v>32</v>
      </c>
      <c r="E186" s="13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35">
      <c r="A187" t="s">
        <v>761</v>
      </c>
      <c r="B187" s="2">
        <v>45690</v>
      </c>
      <c r="C187" t="s">
        <v>762</v>
      </c>
      <c r="D187" t="s">
        <v>58</v>
      </c>
      <c r="E187" s="13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5">
      <c r="A188" t="s">
        <v>765</v>
      </c>
      <c r="B188" s="2">
        <v>45267</v>
      </c>
      <c r="C188" t="s">
        <v>766</v>
      </c>
      <c r="D188" t="s">
        <v>25</v>
      </c>
      <c r="E188" s="13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769</v>
      </c>
      <c r="B189" s="2">
        <v>44965</v>
      </c>
      <c r="C189" t="s">
        <v>770</v>
      </c>
      <c r="D189" t="s">
        <v>41</v>
      </c>
      <c r="E189" s="13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773</v>
      </c>
      <c r="B190" s="2">
        <v>45731</v>
      </c>
      <c r="C190" t="s">
        <v>774</v>
      </c>
      <c r="D190" t="s">
        <v>41</v>
      </c>
      <c r="E190" s="13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777</v>
      </c>
      <c r="B191" s="2">
        <v>45112</v>
      </c>
      <c r="C191" t="s">
        <v>778</v>
      </c>
      <c r="D191" t="s">
        <v>48</v>
      </c>
      <c r="E191" s="13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5">
      <c r="A192" t="s">
        <v>781</v>
      </c>
      <c r="B192" s="2">
        <v>45535</v>
      </c>
      <c r="C192" t="s">
        <v>782</v>
      </c>
      <c r="D192" t="s">
        <v>48</v>
      </c>
      <c r="E192" s="13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5">
      <c r="A193" t="s">
        <v>785</v>
      </c>
      <c r="B193" s="2">
        <v>45724</v>
      </c>
      <c r="C193" t="s">
        <v>786</v>
      </c>
      <c r="D193" t="s">
        <v>58</v>
      </c>
      <c r="E193" s="1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5">
      <c r="A194" t="s">
        <v>789</v>
      </c>
      <c r="B194" s="2">
        <v>45149</v>
      </c>
      <c r="C194" t="s">
        <v>790</v>
      </c>
      <c r="D194" t="s">
        <v>73</v>
      </c>
      <c r="E194" s="13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5">
      <c r="A195" t="s">
        <v>792</v>
      </c>
      <c r="B195" s="2">
        <v>45128</v>
      </c>
      <c r="C195" t="s">
        <v>793</v>
      </c>
      <c r="D195" t="s">
        <v>48</v>
      </c>
      <c r="E195" s="13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35">
      <c r="A196" t="s">
        <v>796</v>
      </c>
      <c r="B196" s="2">
        <v>45451</v>
      </c>
      <c r="C196" t="s">
        <v>797</v>
      </c>
      <c r="D196" t="s">
        <v>16</v>
      </c>
      <c r="E196" s="13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5">
      <c r="A197" t="s">
        <v>800</v>
      </c>
      <c r="B197" s="2">
        <v>45404</v>
      </c>
      <c r="C197" t="s">
        <v>801</v>
      </c>
      <c r="D197" t="s">
        <v>41</v>
      </c>
      <c r="E197" s="13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35">
      <c r="A198" t="s">
        <v>804</v>
      </c>
      <c r="B198" s="2">
        <v>45681</v>
      </c>
      <c r="C198" t="s">
        <v>805</v>
      </c>
      <c r="D198" t="s">
        <v>73</v>
      </c>
      <c r="E198" s="13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5">
      <c r="A199" t="s">
        <v>808</v>
      </c>
      <c r="B199" s="2">
        <v>45165</v>
      </c>
      <c r="C199" t="s">
        <v>809</v>
      </c>
      <c r="D199" t="s">
        <v>58</v>
      </c>
      <c r="E199" s="13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5">
      <c r="A200" t="s">
        <v>812</v>
      </c>
      <c r="B200" s="2">
        <v>45454</v>
      </c>
      <c r="C200" t="s">
        <v>813</v>
      </c>
      <c r="D200" t="s">
        <v>58</v>
      </c>
      <c r="E200" s="13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815</v>
      </c>
      <c r="B201" s="2">
        <v>45680</v>
      </c>
      <c r="C201" t="s">
        <v>816</v>
      </c>
      <c r="D201" t="s">
        <v>25</v>
      </c>
      <c r="E201" s="13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5">
      <c r="A202" t="s">
        <v>819</v>
      </c>
      <c r="B202" s="2">
        <v>45815</v>
      </c>
      <c r="C202" t="s">
        <v>820</v>
      </c>
      <c r="D202" t="s">
        <v>32</v>
      </c>
      <c r="E202" s="13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5">
      <c r="A203" t="s">
        <v>822</v>
      </c>
      <c r="B203" s="2">
        <v>45095</v>
      </c>
      <c r="C203" t="s">
        <v>823</v>
      </c>
      <c r="D203" t="s">
        <v>16</v>
      </c>
      <c r="E203" s="1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825</v>
      </c>
      <c r="B204" s="2">
        <v>45694</v>
      </c>
      <c r="C204" t="s">
        <v>826</v>
      </c>
      <c r="D204" t="s">
        <v>16</v>
      </c>
      <c r="E204" s="13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5">
      <c r="A205" t="s">
        <v>828</v>
      </c>
      <c r="B205" s="2">
        <v>45678</v>
      </c>
      <c r="C205" t="s">
        <v>829</v>
      </c>
      <c r="D205" t="s">
        <v>48</v>
      </c>
      <c r="E205" s="13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832</v>
      </c>
      <c r="B206" s="2">
        <v>45174</v>
      </c>
      <c r="C206" t="s">
        <v>833</v>
      </c>
      <c r="D206" t="s">
        <v>58</v>
      </c>
      <c r="E206" s="13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835</v>
      </c>
      <c r="B207" s="2">
        <v>44989</v>
      </c>
      <c r="C207" t="s">
        <v>836</v>
      </c>
      <c r="D207" t="s">
        <v>73</v>
      </c>
      <c r="E207" s="13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35">
      <c r="A208" t="s">
        <v>839</v>
      </c>
      <c r="B208" s="2">
        <v>45398</v>
      </c>
      <c r="C208" t="s">
        <v>840</v>
      </c>
      <c r="D208" t="s">
        <v>58</v>
      </c>
      <c r="E208" s="13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5">
      <c r="A209" t="s">
        <v>843</v>
      </c>
      <c r="B209" s="2">
        <v>45734</v>
      </c>
      <c r="C209" t="s">
        <v>844</v>
      </c>
      <c r="D209" t="s">
        <v>25</v>
      </c>
      <c r="E209" s="13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35">
      <c r="A210" t="s">
        <v>847</v>
      </c>
      <c r="B210" s="2">
        <v>45573</v>
      </c>
      <c r="C210" t="s">
        <v>848</v>
      </c>
      <c r="D210" t="s">
        <v>73</v>
      </c>
      <c r="E210" s="13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850</v>
      </c>
      <c r="B211" s="2">
        <v>45167</v>
      </c>
      <c r="C211" t="s">
        <v>851</v>
      </c>
      <c r="D211" t="s">
        <v>32</v>
      </c>
      <c r="E211" s="13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5">
      <c r="A212" t="s">
        <v>853</v>
      </c>
      <c r="B212" s="2">
        <v>45631</v>
      </c>
      <c r="C212" t="s">
        <v>854</v>
      </c>
      <c r="D212" t="s">
        <v>41</v>
      </c>
      <c r="E212" s="13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856</v>
      </c>
      <c r="B213" s="2">
        <v>45660</v>
      </c>
      <c r="C213" t="s">
        <v>857</v>
      </c>
      <c r="D213" t="s">
        <v>48</v>
      </c>
      <c r="E213" s="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860</v>
      </c>
      <c r="B214" s="2">
        <v>45097</v>
      </c>
      <c r="C214" t="s">
        <v>861</v>
      </c>
      <c r="D214" t="s">
        <v>16</v>
      </c>
      <c r="E214" s="13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5">
      <c r="A215" t="s">
        <v>864</v>
      </c>
      <c r="B215" s="2">
        <v>45036</v>
      </c>
      <c r="C215" t="s">
        <v>865</v>
      </c>
      <c r="D215" t="s">
        <v>58</v>
      </c>
      <c r="E215" s="13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868</v>
      </c>
      <c r="B216" s="2">
        <v>45525</v>
      </c>
      <c r="C216" t="s">
        <v>869</v>
      </c>
      <c r="D216" t="s">
        <v>73</v>
      </c>
      <c r="E216" s="13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35">
      <c r="A217" t="s">
        <v>871</v>
      </c>
      <c r="B217" s="2">
        <v>45148</v>
      </c>
      <c r="C217" t="s">
        <v>872</v>
      </c>
      <c r="D217" t="s">
        <v>48</v>
      </c>
      <c r="E217" s="13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875</v>
      </c>
      <c r="B218" s="2">
        <v>45762</v>
      </c>
      <c r="C218" t="s">
        <v>876</v>
      </c>
      <c r="D218" t="s">
        <v>16</v>
      </c>
      <c r="E218" s="13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5">
      <c r="A219" t="s">
        <v>878</v>
      </c>
      <c r="B219" s="2">
        <v>45432</v>
      </c>
      <c r="C219" t="s">
        <v>879</v>
      </c>
      <c r="D219" t="s">
        <v>73</v>
      </c>
      <c r="E219" s="13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35">
      <c r="A220" t="s">
        <v>882</v>
      </c>
      <c r="B220" s="2">
        <v>45044</v>
      </c>
      <c r="C220" t="s">
        <v>883</v>
      </c>
      <c r="D220" t="s">
        <v>32</v>
      </c>
      <c r="E220" s="13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886</v>
      </c>
      <c r="B221" s="2">
        <v>45779</v>
      </c>
      <c r="C221" t="s">
        <v>887</v>
      </c>
      <c r="D221" t="s">
        <v>58</v>
      </c>
      <c r="E221" s="13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890</v>
      </c>
      <c r="B222" s="2">
        <v>45125</v>
      </c>
      <c r="C222" t="s">
        <v>891</v>
      </c>
      <c r="D222" t="s">
        <v>58</v>
      </c>
      <c r="E222" s="13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894</v>
      </c>
      <c r="B223" s="2">
        <v>45345</v>
      </c>
      <c r="C223" t="s">
        <v>895</v>
      </c>
      <c r="D223" t="s">
        <v>32</v>
      </c>
      <c r="E223" s="1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5">
      <c r="A224" t="s">
        <v>897</v>
      </c>
      <c r="B224" s="2">
        <v>45050</v>
      </c>
      <c r="C224" t="s">
        <v>898</v>
      </c>
      <c r="D224" t="s">
        <v>41</v>
      </c>
      <c r="E224" s="13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35">
      <c r="A225" t="s">
        <v>901</v>
      </c>
      <c r="B225" s="2">
        <v>45546</v>
      </c>
      <c r="C225" t="s">
        <v>902</v>
      </c>
      <c r="D225" t="s">
        <v>25</v>
      </c>
      <c r="E225" s="13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904</v>
      </c>
      <c r="B226" s="2">
        <v>45192</v>
      </c>
      <c r="C226" t="s">
        <v>905</v>
      </c>
      <c r="D226" t="s">
        <v>48</v>
      </c>
      <c r="E226" s="13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908</v>
      </c>
      <c r="B227" s="2">
        <v>45364</v>
      </c>
      <c r="C227" t="s">
        <v>909</v>
      </c>
      <c r="D227" t="s">
        <v>25</v>
      </c>
      <c r="E227" s="13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35">
      <c r="A228" t="s">
        <v>912</v>
      </c>
      <c r="B228" s="2">
        <v>45835</v>
      </c>
      <c r="C228" t="s">
        <v>913</v>
      </c>
      <c r="D228" t="s">
        <v>73</v>
      </c>
      <c r="E228" s="13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35">
      <c r="A229" t="s">
        <v>916</v>
      </c>
      <c r="B229" s="2">
        <v>45232</v>
      </c>
      <c r="C229" t="s">
        <v>917</v>
      </c>
      <c r="D229" t="s">
        <v>16</v>
      </c>
      <c r="E229" s="13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919</v>
      </c>
      <c r="B230" s="2">
        <v>45063</v>
      </c>
      <c r="C230" t="s">
        <v>920</v>
      </c>
      <c r="D230" t="s">
        <v>41</v>
      </c>
      <c r="E230" s="13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35">
      <c r="A231" t="s">
        <v>923</v>
      </c>
      <c r="B231" s="2">
        <v>45744</v>
      </c>
      <c r="C231" t="s">
        <v>924</v>
      </c>
      <c r="D231" t="s">
        <v>32</v>
      </c>
      <c r="E231" s="13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5">
      <c r="A232" t="s">
        <v>927</v>
      </c>
      <c r="B232" s="2">
        <v>45276</v>
      </c>
      <c r="C232" t="s">
        <v>928</v>
      </c>
      <c r="D232" t="s">
        <v>73</v>
      </c>
      <c r="E232" s="13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5">
      <c r="A233" t="s">
        <v>931</v>
      </c>
      <c r="B233" s="2">
        <v>45235</v>
      </c>
      <c r="C233" t="s">
        <v>932</v>
      </c>
      <c r="D233" t="s">
        <v>25</v>
      </c>
      <c r="E233" s="1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935</v>
      </c>
      <c r="B234" s="2">
        <v>45065</v>
      </c>
      <c r="C234" t="s">
        <v>936</v>
      </c>
      <c r="D234" t="s">
        <v>48</v>
      </c>
      <c r="E234" s="13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5">
      <c r="A235" t="s">
        <v>939</v>
      </c>
      <c r="B235" s="2">
        <v>45528</v>
      </c>
      <c r="C235" t="s">
        <v>940</v>
      </c>
      <c r="D235" t="s">
        <v>25</v>
      </c>
      <c r="E235" s="13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5">
      <c r="A236" t="s">
        <v>942</v>
      </c>
      <c r="B236" s="2">
        <v>45622</v>
      </c>
      <c r="C236" t="s">
        <v>943</v>
      </c>
      <c r="D236" t="s">
        <v>48</v>
      </c>
      <c r="E236" s="13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5">
      <c r="A237" t="s">
        <v>946</v>
      </c>
      <c r="B237" s="2">
        <v>44977</v>
      </c>
      <c r="C237" t="s">
        <v>947</v>
      </c>
      <c r="D237" t="s">
        <v>73</v>
      </c>
      <c r="E237" s="13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5">
      <c r="A238" t="s">
        <v>950</v>
      </c>
      <c r="B238" s="2">
        <v>44927</v>
      </c>
      <c r="C238" t="s">
        <v>951</v>
      </c>
      <c r="D238" t="s">
        <v>16</v>
      </c>
      <c r="E238" s="13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5">
      <c r="A239" t="s">
        <v>954</v>
      </c>
      <c r="B239" s="2">
        <v>45365</v>
      </c>
      <c r="C239" t="s">
        <v>955</v>
      </c>
      <c r="D239" t="s">
        <v>16</v>
      </c>
      <c r="E239" s="13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958</v>
      </c>
      <c r="B240" s="2">
        <v>45639</v>
      </c>
      <c r="C240" t="s">
        <v>959</v>
      </c>
      <c r="D240" t="s">
        <v>73</v>
      </c>
      <c r="E240" s="13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5">
      <c r="A241" t="s">
        <v>962</v>
      </c>
      <c r="B241" s="2">
        <v>45637</v>
      </c>
      <c r="C241" t="s">
        <v>963</v>
      </c>
      <c r="D241" t="s">
        <v>32</v>
      </c>
      <c r="E241" s="13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966</v>
      </c>
      <c r="B242" s="2">
        <v>45119</v>
      </c>
      <c r="C242" t="s">
        <v>967</v>
      </c>
      <c r="D242" t="s">
        <v>32</v>
      </c>
      <c r="E242" s="13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970</v>
      </c>
      <c r="B243" s="2">
        <v>45062</v>
      </c>
      <c r="C243" t="s">
        <v>971</v>
      </c>
      <c r="D243" t="s">
        <v>41</v>
      </c>
      <c r="E243" s="1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974</v>
      </c>
      <c r="B244" s="2">
        <v>45055</v>
      </c>
      <c r="C244" t="s">
        <v>975</v>
      </c>
      <c r="D244" t="s">
        <v>48</v>
      </c>
      <c r="E244" s="13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978</v>
      </c>
      <c r="B245" s="2">
        <v>45786</v>
      </c>
      <c r="C245" t="s">
        <v>979</v>
      </c>
      <c r="D245" t="s">
        <v>41</v>
      </c>
      <c r="E245" s="13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5">
      <c r="A246" t="s">
        <v>982</v>
      </c>
      <c r="B246" s="2">
        <v>44973</v>
      </c>
      <c r="C246" t="s">
        <v>983</v>
      </c>
      <c r="D246" t="s">
        <v>73</v>
      </c>
      <c r="E246" s="13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5">
      <c r="A247" t="s">
        <v>986</v>
      </c>
      <c r="B247" s="2">
        <v>45767</v>
      </c>
      <c r="C247" t="s">
        <v>987</v>
      </c>
      <c r="D247" t="s">
        <v>58</v>
      </c>
      <c r="E247" s="13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35">
      <c r="A248" t="s">
        <v>990</v>
      </c>
      <c r="B248" s="2">
        <v>45534</v>
      </c>
      <c r="C248" t="s">
        <v>991</v>
      </c>
      <c r="D248" t="s">
        <v>73</v>
      </c>
      <c r="E248" s="13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5">
      <c r="A249" t="s">
        <v>994</v>
      </c>
      <c r="B249" s="2">
        <v>45127</v>
      </c>
      <c r="C249" t="s">
        <v>995</v>
      </c>
      <c r="D249" t="s">
        <v>48</v>
      </c>
      <c r="E249" s="13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35">
      <c r="A250" t="s">
        <v>998</v>
      </c>
      <c r="B250" s="2">
        <v>45109</v>
      </c>
      <c r="C250" t="s">
        <v>999</v>
      </c>
      <c r="D250" t="s">
        <v>58</v>
      </c>
      <c r="E250" s="13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1002</v>
      </c>
      <c r="B251" s="2">
        <v>45329</v>
      </c>
      <c r="C251" t="s">
        <v>1003</v>
      </c>
      <c r="D251" t="s">
        <v>48</v>
      </c>
      <c r="E251" s="13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1006</v>
      </c>
      <c r="B252" s="2">
        <v>45021</v>
      </c>
      <c r="C252" t="s">
        <v>1007</v>
      </c>
      <c r="D252" t="s">
        <v>73</v>
      </c>
      <c r="E252" s="13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1009</v>
      </c>
      <c r="B253" s="2">
        <v>45792</v>
      </c>
      <c r="C253" t="s">
        <v>1010</v>
      </c>
      <c r="D253" t="s">
        <v>16</v>
      </c>
      <c r="E253" s="1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35">
      <c r="A254" t="s">
        <v>1013</v>
      </c>
      <c r="B254" s="2">
        <v>45555</v>
      </c>
      <c r="C254" t="s">
        <v>1014</v>
      </c>
      <c r="D254" t="s">
        <v>25</v>
      </c>
      <c r="E254" s="13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1017</v>
      </c>
      <c r="B255" s="2">
        <v>45374</v>
      </c>
      <c r="C255" t="s">
        <v>1018</v>
      </c>
      <c r="D255" t="s">
        <v>41</v>
      </c>
      <c r="E255" s="13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1020</v>
      </c>
      <c r="B256" s="2">
        <v>45286</v>
      </c>
      <c r="C256" t="s">
        <v>1021</v>
      </c>
      <c r="D256" t="s">
        <v>16</v>
      </c>
      <c r="E256" s="13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35">
      <c r="A257" t="s">
        <v>1023</v>
      </c>
      <c r="B257" s="2">
        <v>45425</v>
      </c>
      <c r="C257" t="s">
        <v>1024</v>
      </c>
      <c r="D257" t="s">
        <v>16</v>
      </c>
      <c r="E257" s="13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5">
      <c r="A258" t="s">
        <v>1026</v>
      </c>
      <c r="B258" s="2">
        <v>45838</v>
      </c>
      <c r="C258" t="s">
        <v>1027</v>
      </c>
      <c r="D258" t="s">
        <v>41</v>
      </c>
      <c r="E258" s="13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5">
      <c r="A259" t="s">
        <v>1030</v>
      </c>
      <c r="B259" s="2">
        <v>45405</v>
      </c>
      <c r="C259" t="s">
        <v>1031</v>
      </c>
      <c r="D259" t="s">
        <v>25</v>
      </c>
      <c r="E259" s="13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1034</v>
      </c>
      <c r="B260" s="2">
        <v>45348</v>
      </c>
      <c r="C260" t="s">
        <v>1035</v>
      </c>
      <c r="D260" t="s">
        <v>32</v>
      </c>
      <c r="E260" s="13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1038</v>
      </c>
      <c r="B261" s="2">
        <v>45088</v>
      </c>
      <c r="C261" t="s">
        <v>1039</v>
      </c>
      <c r="D261" t="s">
        <v>41</v>
      </c>
      <c r="E261" s="13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1041</v>
      </c>
      <c r="B262" s="2">
        <v>45063</v>
      </c>
      <c r="C262" t="s">
        <v>1042</v>
      </c>
      <c r="D262" t="s">
        <v>16</v>
      </c>
      <c r="E262" s="13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35">
      <c r="A263" t="s">
        <v>1045</v>
      </c>
      <c r="B263" s="2">
        <v>45805</v>
      </c>
      <c r="C263" t="s">
        <v>1046</v>
      </c>
      <c r="D263" t="s">
        <v>25</v>
      </c>
      <c r="E263" s="1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1049</v>
      </c>
      <c r="B264" s="2">
        <v>44936</v>
      </c>
      <c r="C264" t="s">
        <v>1050</v>
      </c>
      <c r="D264" t="s">
        <v>25</v>
      </c>
      <c r="E264" s="13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5">
      <c r="A265" t="s">
        <v>1052</v>
      </c>
      <c r="B265" s="2">
        <v>45010</v>
      </c>
      <c r="C265" t="s">
        <v>1053</v>
      </c>
      <c r="D265" t="s">
        <v>25</v>
      </c>
      <c r="E265" s="13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5">
      <c r="A266" t="s">
        <v>1056</v>
      </c>
      <c r="B266" s="2">
        <v>45507</v>
      </c>
      <c r="C266" t="s">
        <v>1057</v>
      </c>
      <c r="D266" t="s">
        <v>32</v>
      </c>
      <c r="E266" s="13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5">
      <c r="A267" t="s">
        <v>1060</v>
      </c>
      <c r="B267" s="2">
        <v>45282</v>
      </c>
      <c r="C267" t="s">
        <v>1061</v>
      </c>
      <c r="D267" t="s">
        <v>48</v>
      </c>
      <c r="E267" s="13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5">
      <c r="A268" t="s">
        <v>1064</v>
      </c>
      <c r="B268" s="2">
        <v>45451</v>
      </c>
      <c r="C268" t="s">
        <v>1065</v>
      </c>
      <c r="D268" t="s">
        <v>41</v>
      </c>
      <c r="E268" s="13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1068</v>
      </c>
      <c r="B269" s="2">
        <v>45764</v>
      </c>
      <c r="C269" t="s">
        <v>1069</v>
      </c>
      <c r="D269" t="s">
        <v>41</v>
      </c>
      <c r="E269" s="13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35">
      <c r="A270" t="s">
        <v>1072</v>
      </c>
      <c r="B270" s="2">
        <v>45149</v>
      </c>
      <c r="C270" t="s">
        <v>1073</v>
      </c>
      <c r="D270" t="s">
        <v>25</v>
      </c>
      <c r="E270" s="13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1076</v>
      </c>
      <c r="B271" s="2">
        <v>45255</v>
      </c>
      <c r="C271" t="s">
        <v>1077</v>
      </c>
      <c r="D271" t="s">
        <v>32</v>
      </c>
      <c r="E271" s="13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5">
      <c r="A272" t="s">
        <v>1079</v>
      </c>
      <c r="B272" s="2">
        <v>45081</v>
      </c>
      <c r="C272" t="s">
        <v>1080</v>
      </c>
      <c r="D272" t="s">
        <v>48</v>
      </c>
      <c r="E272" s="13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5">
      <c r="A273" t="s">
        <v>1083</v>
      </c>
      <c r="B273" s="2">
        <v>45013</v>
      </c>
      <c r="C273" t="s">
        <v>1084</v>
      </c>
      <c r="D273" t="s">
        <v>16</v>
      </c>
      <c r="E273" s="1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5">
      <c r="A274" t="s">
        <v>1087</v>
      </c>
      <c r="B274" s="2">
        <v>45188</v>
      </c>
      <c r="C274" t="s">
        <v>1088</v>
      </c>
      <c r="D274" t="s">
        <v>41</v>
      </c>
      <c r="E274" s="13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5">
      <c r="A275" t="s">
        <v>1091</v>
      </c>
      <c r="B275" s="2">
        <v>45592</v>
      </c>
      <c r="C275" t="s">
        <v>1092</v>
      </c>
      <c r="D275" t="s">
        <v>32</v>
      </c>
      <c r="E275" s="13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1095</v>
      </c>
      <c r="B276" s="2">
        <v>44961</v>
      </c>
      <c r="C276" t="s">
        <v>1096</v>
      </c>
      <c r="D276" t="s">
        <v>25</v>
      </c>
      <c r="E276" s="13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1099</v>
      </c>
      <c r="B277" s="2">
        <v>45234</v>
      </c>
      <c r="C277" t="s">
        <v>1100</v>
      </c>
      <c r="D277" t="s">
        <v>41</v>
      </c>
      <c r="E277" s="13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5">
      <c r="A278" t="s">
        <v>1103</v>
      </c>
      <c r="B278" s="2">
        <v>45745</v>
      </c>
      <c r="C278" t="s">
        <v>1104</v>
      </c>
      <c r="D278" t="s">
        <v>48</v>
      </c>
      <c r="E278" s="13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5">
      <c r="A279" t="s">
        <v>1107</v>
      </c>
      <c r="B279" s="2">
        <v>45544</v>
      </c>
      <c r="C279" t="s">
        <v>1108</v>
      </c>
      <c r="D279" t="s">
        <v>41</v>
      </c>
      <c r="E279" s="13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1111</v>
      </c>
      <c r="B280" s="2">
        <v>45614</v>
      </c>
      <c r="C280" t="s">
        <v>1112</v>
      </c>
      <c r="D280" t="s">
        <v>58</v>
      </c>
      <c r="E280" s="13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1115</v>
      </c>
      <c r="B281" s="2">
        <v>45219</v>
      </c>
      <c r="C281" t="s">
        <v>1116</v>
      </c>
      <c r="D281" t="s">
        <v>41</v>
      </c>
      <c r="E281" s="13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5">
      <c r="A282" t="s">
        <v>1119</v>
      </c>
      <c r="B282" s="2">
        <v>45012</v>
      </c>
      <c r="C282" t="s">
        <v>1120</v>
      </c>
      <c r="D282" t="s">
        <v>32</v>
      </c>
      <c r="E282" s="13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1123</v>
      </c>
      <c r="B283" s="2">
        <v>45134</v>
      </c>
      <c r="C283" t="s">
        <v>1124</v>
      </c>
      <c r="D283" t="s">
        <v>73</v>
      </c>
      <c r="E283" s="1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35">
      <c r="A284" t="s">
        <v>1127</v>
      </c>
      <c r="B284" s="2">
        <v>45769</v>
      </c>
      <c r="C284" t="s">
        <v>1128</v>
      </c>
      <c r="D284" t="s">
        <v>48</v>
      </c>
      <c r="E284" s="13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5">
      <c r="A285" t="s">
        <v>1131</v>
      </c>
      <c r="B285" s="2">
        <v>45716</v>
      </c>
      <c r="C285" t="s">
        <v>1132</v>
      </c>
      <c r="D285" t="s">
        <v>58</v>
      </c>
      <c r="E285" s="13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35">
      <c r="A286" t="s">
        <v>1135</v>
      </c>
      <c r="B286" s="2">
        <v>44973</v>
      </c>
      <c r="C286" t="s">
        <v>1136</v>
      </c>
      <c r="D286" t="s">
        <v>58</v>
      </c>
      <c r="E286" s="13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1139</v>
      </c>
      <c r="B287" s="2">
        <v>45818</v>
      </c>
      <c r="C287" t="s">
        <v>1140</v>
      </c>
      <c r="D287" t="s">
        <v>25</v>
      </c>
      <c r="E287" s="13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35">
      <c r="A288" t="s">
        <v>1142</v>
      </c>
      <c r="B288" s="2">
        <v>45754</v>
      </c>
      <c r="C288" t="s">
        <v>1143</v>
      </c>
      <c r="D288" t="s">
        <v>16</v>
      </c>
      <c r="E288" s="13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5">
      <c r="A289" t="s">
        <v>1145</v>
      </c>
      <c r="B289" s="2">
        <v>45254</v>
      </c>
      <c r="C289" t="s">
        <v>1146</v>
      </c>
      <c r="D289" t="s">
        <v>41</v>
      </c>
      <c r="E289" s="13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35">
      <c r="A290" t="s">
        <v>1149</v>
      </c>
      <c r="B290" s="2">
        <v>44997</v>
      </c>
      <c r="C290" t="s">
        <v>1150</v>
      </c>
      <c r="D290" t="s">
        <v>58</v>
      </c>
      <c r="E290" s="13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5">
      <c r="A291" t="s">
        <v>1153</v>
      </c>
      <c r="B291" s="2">
        <v>45133</v>
      </c>
      <c r="C291" t="s">
        <v>1154</v>
      </c>
      <c r="D291" t="s">
        <v>41</v>
      </c>
      <c r="E291" s="13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5">
      <c r="A292" t="s">
        <v>1156</v>
      </c>
      <c r="B292" s="2">
        <v>45051</v>
      </c>
      <c r="C292" t="s">
        <v>1157</v>
      </c>
      <c r="D292" t="s">
        <v>41</v>
      </c>
      <c r="E292" s="13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1159</v>
      </c>
      <c r="B293" s="2">
        <v>45424</v>
      </c>
      <c r="C293" t="s">
        <v>1160</v>
      </c>
      <c r="D293" t="s">
        <v>25</v>
      </c>
      <c r="E293" s="1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5">
      <c r="A294" t="s">
        <v>1163</v>
      </c>
      <c r="B294" s="2">
        <v>45672</v>
      </c>
      <c r="C294" t="s">
        <v>1164</v>
      </c>
      <c r="D294" t="s">
        <v>16</v>
      </c>
      <c r="E294" s="13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35">
      <c r="A295" t="s">
        <v>1166</v>
      </c>
      <c r="B295" s="2">
        <v>44973</v>
      </c>
      <c r="C295" t="s">
        <v>1167</v>
      </c>
      <c r="D295" t="s">
        <v>32</v>
      </c>
      <c r="E295" s="13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35">
      <c r="A296" t="s">
        <v>1170</v>
      </c>
      <c r="B296" s="2">
        <v>45748</v>
      </c>
      <c r="C296" t="s">
        <v>1171</v>
      </c>
      <c r="D296" t="s">
        <v>25</v>
      </c>
      <c r="E296" s="13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1174</v>
      </c>
      <c r="B297" s="2">
        <v>44951</v>
      </c>
      <c r="C297" t="s">
        <v>1175</v>
      </c>
      <c r="D297" t="s">
        <v>48</v>
      </c>
      <c r="E297" s="13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1178</v>
      </c>
      <c r="B298" s="2">
        <v>45462</v>
      </c>
      <c r="C298" t="s">
        <v>1179</v>
      </c>
      <c r="D298" t="s">
        <v>73</v>
      </c>
      <c r="E298" s="13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5">
      <c r="A299" t="s">
        <v>1181</v>
      </c>
      <c r="B299" s="2">
        <v>44979</v>
      </c>
      <c r="C299" t="s">
        <v>1182</v>
      </c>
      <c r="D299" t="s">
        <v>73</v>
      </c>
      <c r="E299" s="13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1185</v>
      </c>
      <c r="B300" s="2">
        <v>45279</v>
      </c>
      <c r="C300" t="s">
        <v>1186</v>
      </c>
      <c r="D300" t="s">
        <v>48</v>
      </c>
      <c r="E300" s="13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35">
      <c r="A301" t="s">
        <v>1188</v>
      </c>
      <c r="B301" s="2">
        <v>45311</v>
      </c>
      <c r="C301" t="s">
        <v>1189</v>
      </c>
      <c r="D301" t="s">
        <v>16</v>
      </c>
      <c r="E301" s="13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1192</v>
      </c>
      <c r="B302" s="2">
        <v>45537</v>
      </c>
      <c r="C302" t="s">
        <v>1193</v>
      </c>
      <c r="D302" t="s">
        <v>25</v>
      </c>
      <c r="E302" s="13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1196</v>
      </c>
      <c r="B303" s="2">
        <v>45057</v>
      </c>
      <c r="C303" t="s">
        <v>1197</v>
      </c>
      <c r="D303" t="s">
        <v>41</v>
      </c>
      <c r="E303" s="1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1200</v>
      </c>
      <c r="B304" s="2">
        <v>45062</v>
      </c>
      <c r="C304" t="s">
        <v>1201</v>
      </c>
      <c r="D304" t="s">
        <v>41</v>
      </c>
      <c r="E304" s="13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1204</v>
      </c>
      <c r="B305" s="2">
        <v>45633</v>
      </c>
      <c r="C305" t="s">
        <v>1205</v>
      </c>
      <c r="D305" t="s">
        <v>32</v>
      </c>
      <c r="E305" s="13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35">
      <c r="A306" t="s">
        <v>1208</v>
      </c>
      <c r="B306" s="2">
        <v>45583</v>
      </c>
      <c r="C306" t="s">
        <v>1209</v>
      </c>
      <c r="D306" t="s">
        <v>16</v>
      </c>
      <c r="E306" s="13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1212</v>
      </c>
      <c r="B307" s="2">
        <v>45255</v>
      </c>
      <c r="C307" t="s">
        <v>1213</v>
      </c>
      <c r="D307" t="s">
        <v>58</v>
      </c>
      <c r="E307" s="13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1216</v>
      </c>
      <c r="B308" s="2">
        <v>45450</v>
      </c>
      <c r="C308" t="s">
        <v>1217</v>
      </c>
      <c r="D308" t="s">
        <v>48</v>
      </c>
      <c r="E308" s="13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1220</v>
      </c>
      <c r="B309" s="2">
        <v>45108</v>
      </c>
      <c r="C309" t="s">
        <v>1221</v>
      </c>
      <c r="D309" t="s">
        <v>58</v>
      </c>
      <c r="E309" s="13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35">
      <c r="A310" t="s">
        <v>1224</v>
      </c>
      <c r="B310" s="2">
        <v>45271</v>
      </c>
      <c r="C310" t="s">
        <v>1225</v>
      </c>
      <c r="D310" t="s">
        <v>48</v>
      </c>
      <c r="E310" s="13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1227</v>
      </c>
      <c r="B311" s="2">
        <v>45202</v>
      </c>
      <c r="C311" t="s">
        <v>1228</v>
      </c>
      <c r="D311" t="s">
        <v>41</v>
      </c>
      <c r="E311" s="13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1231</v>
      </c>
      <c r="B312" s="2">
        <v>45346</v>
      </c>
      <c r="C312" t="s">
        <v>1232</v>
      </c>
      <c r="D312" t="s">
        <v>48</v>
      </c>
      <c r="E312" s="13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35">
      <c r="A313" t="s">
        <v>1235</v>
      </c>
      <c r="B313" s="2">
        <v>45794</v>
      </c>
      <c r="C313" t="s">
        <v>1236</v>
      </c>
      <c r="D313" t="s">
        <v>73</v>
      </c>
      <c r="E313" s="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35">
      <c r="A314" t="s">
        <v>1239</v>
      </c>
      <c r="B314" s="2">
        <v>45801</v>
      </c>
      <c r="C314" t="s">
        <v>1240</v>
      </c>
      <c r="D314" t="s">
        <v>48</v>
      </c>
      <c r="E314" s="13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1242</v>
      </c>
      <c r="B315" s="2">
        <v>45116</v>
      </c>
      <c r="C315" t="s">
        <v>1243</v>
      </c>
      <c r="D315" t="s">
        <v>41</v>
      </c>
      <c r="E315" s="13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1246</v>
      </c>
      <c r="B316" s="2">
        <v>45203</v>
      </c>
      <c r="C316" t="s">
        <v>1247</v>
      </c>
      <c r="D316" t="s">
        <v>73</v>
      </c>
      <c r="E316" s="13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1250</v>
      </c>
      <c r="B317" s="2">
        <v>45789</v>
      </c>
      <c r="C317" t="s">
        <v>1251</v>
      </c>
      <c r="D317" t="s">
        <v>32</v>
      </c>
      <c r="E317" s="13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1254</v>
      </c>
      <c r="B318" s="2">
        <v>45201</v>
      </c>
      <c r="C318" t="s">
        <v>1255</v>
      </c>
      <c r="D318" t="s">
        <v>73</v>
      </c>
      <c r="E318" s="13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5">
      <c r="A319" t="s">
        <v>1258</v>
      </c>
      <c r="B319" s="2">
        <v>45026</v>
      </c>
      <c r="C319" t="s">
        <v>1259</v>
      </c>
      <c r="D319" t="s">
        <v>16</v>
      </c>
      <c r="E319" s="13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35">
      <c r="A320" t="s">
        <v>1262</v>
      </c>
      <c r="B320" s="2">
        <v>45500</v>
      </c>
      <c r="C320" t="s">
        <v>1263</v>
      </c>
      <c r="D320" t="s">
        <v>41</v>
      </c>
      <c r="E320" s="13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5">
      <c r="A321" t="s">
        <v>1265</v>
      </c>
      <c r="B321" s="2">
        <v>45262</v>
      </c>
      <c r="C321" t="s">
        <v>1266</v>
      </c>
      <c r="D321" t="s">
        <v>58</v>
      </c>
      <c r="E321" s="13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35">
      <c r="A322" t="s">
        <v>1269</v>
      </c>
      <c r="B322" s="2">
        <v>45645</v>
      </c>
      <c r="C322" t="s">
        <v>1270</v>
      </c>
      <c r="D322" t="s">
        <v>48</v>
      </c>
      <c r="E322" s="13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1273</v>
      </c>
      <c r="B323" s="2">
        <v>45147</v>
      </c>
      <c r="C323" t="s">
        <v>1274</v>
      </c>
      <c r="D323" t="s">
        <v>25</v>
      </c>
      <c r="E323" s="1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5">
      <c r="A324" t="s">
        <v>1276</v>
      </c>
      <c r="B324" s="2">
        <v>45457</v>
      </c>
      <c r="C324" t="s">
        <v>1277</v>
      </c>
      <c r="D324" t="s">
        <v>25</v>
      </c>
      <c r="E324" s="13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1279</v>
      </c>
      <c r="B325" s="2">
        <v>45683</v>
      </c>
      <c r="C325" t="s">
        <v>1280</v>
      </c>
      <c r="D325" t="s">
        <v>58</v>
      </c>
      <c r="E325" s="13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1283</v>
      </c>
      <c r="B326" s="2">
        <v>45456</v>
      </c>
      <c r="C326" t="s">
        <v>1284</v>
      </c>
      <c r="D326" t="s">
        <v>32</v>
      </c>
      <c r="E326" s="13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35">
      <c r="A327" t="s">
        <v>1287</v>
      </c>
      <c r="B327" s="2">
        <v>45106</v>
      </c>
      <c r="C327" t="s">
        <v>1288</v>
      </c>
      <c r="D327" t="s">
        <v>73</v>
      </c>
      <c r="E327" s="13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35">
      <c r="A328" t="s">
        <v>1291</v>
      </c>
      <c r="B328" s="2">
        <v>45474</v>
      </c>
      <c r="C328" t="s">
        <v>1292</v>
      </c>
      <c r="D328" t="s">
        <v>58</v>
      </c>
      <c r="E328" s="13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1294</v>
      </c>
      <c r="B329" s="2">
        <v>45132</v>
      </c>
      <c r="C329" t="s">
        <v>1295</v>
      </c>
      <c r="D329" t="s">
        <v>25</v>
      </c>
      <c r="E329" s="13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1297</v>
      </c>
      <c r="B330" s="2">
        <v>44985</v>
      </c>
      <c r="C330" t="s">
        <v>1298</v>
      </c>
      <c r="D330" t="s">
        <v>32</v>
      </c>
      <c r="E330" s="13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5">
      <c r="A331" t="s">
        <v>1301</v>
      </c>
      <c r="B331" s="2">
        <v>45651</v>
      </c>
      <c r="C331" t="s">
        <v>1302</v>
      </c>
      <c r="D331" t="s">
        <v>41</v>
      </c>
      <c r="E331" s="13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35">
      <c r="A332" t="s">
        <v>1304</v>
      </c>
      <c r="B332" s="2">
        <v>45445</v>
      </c>
      <c r="C332" t="s">
        <v>1305</v>
      </c>
      <c r="D332" t="s">
        <v>73</v>
      </c>
      <c r="E332" s="13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1308</v>
      </c>
      <c r="B333" s="2">
        <v>45031</v>
      </c>
      <c r="C333" t="s">
        <v>1309</v>
      </c>
      <c r="D333" t="s">
        <v>48</v>
      </c>
      <c r="E333" s="1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1311</v>
      </c>
      <c r="B334" s="2">
        <v>45476</v>
      </c>
      <c r="C334" t="s">
        <v>1312</v>
      </c>
      <c r="D334" t="s">
        <v>73</v>
      </c>
      <c r="E334" s="13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5">
      <c r="A335" t="s">
        <v>1315</v>
      </c>
      <c r="B335" s="2">
        <v>45398</v>
      </c>
      <c r="C335" t="s">
        <v>1316</v>
      </c>
      <c r="D335" t="s">
        <v>25</v>
      </c>
      <c r="E335" s="13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5">
      <c r="A336" t="s">
        <v>1319</v>
      </c>
      <c r="B336" s="2">
        <v>45377</v>
      </c>
      <c r="C336" t="s">
        <v>1320</v>
      </c>
      <c r="D336" t="s">
        <v>41</v>
      </c>
      <c r="E336" s="13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5">
      <c r="A337" t="s">
        <v>1323</v>
      </c>
      <c r="B337" s="2">
        <v>45719</v>
      </c>
      <c r="C337" t="s">
        <v>1324</v>
      </c>
      <c r="D337" t="s">
        <v>32</v>
      </c>
      <c r="E337" s="13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35">
      <c r="A338" t="s">
        <v>1326</v>
      </c>
      <c r="B338" s="2">
        <v>45289</v>
      </c>
      <c r="C338" t="s">
        <v>1327</v>
      </c>
      <c r="D338" t="s">
        <v>58</v>
      </c>
      <c r="E338" s="13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1330</v>
      </c>
      <c r="B339" s="2">
        <v>45075</v>
      </c>
      <c r="C339" t="s">
        <v>1331</v>
      </c>
      <c r="D339" t="s">
        <v>32</v>
      </c>
      <c r="E339" s="13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5">
      <c r="A340" t="s">
        <v>1334</v>
      </c>
      <c r="B340" s="2">
        <v>45238</v>
      </c>
      <c r="C340" t="s">
        <v>1335</v>
      </c>
      <c r="D340" t="s">
        <v>25</v>
      </c>
      <c r="E340" s="13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35">
      <c r="A341" t="s">
        <v>1338</v>
      </c>
      <c r="B341" s="2">
        <v>45392</v>
      </c>
      <c r="C341" t="s">
        <v>1339</v>
      </c>
      <c r="D341" t="s">
        <v>48</v>
      </c>
      <c r="E341" s="13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1342</v>
      </c>
      <c r="B342" s="2">
        <v>45039</v>
      </c>
      <c r="C342" t="s">
        <v>1343</v>
      </c>
      <c r="D342" t="s">
        <v>58</v>
      </c>
      <c r="E342" s="13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35">
      <c r="A343" t="s">
        <v>1346</v>
      </c>
      <c r="B343" s="2">
        <v>45558</v>
      </c>
      <c r="C343" t="s">
        <v>1347</v>
      </c>
      <c r="D343" t="s">
        <v>32</v>
      </c>
      <c r="E343" s="1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5">
      <c r="A344" t="s">
        <v>1350</v>
      </c>
      <c r="B344" s="2">
        <v>45832</v>
      </c>
      <c r="C344" t="s">
        <v>1351</v>
      </c>
      <c r="D344" t="s">
        <v>16</v>
      </c>
      <c r="E344" s="13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35">
      <c r="A345" t="s">
        <v>1354</v>
      </c>
      <c r="B345" s="2">
        <v>44983</v>
      </c>
      <c r="C345" t="s">
        <v>1355</v>
      </c>
      <c r="D345" t="s">
        <v>48</v>
      </c>
      <c r="E345" s="13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1358</v>
      </c>
      <c r="B346" s="2">
        <v>45722</v>
      </c>
      <c r="C346" t="s">
        <v>1359</v>
      </c>
      <c r="D346" t="s">
        <v>32</v>
      </c>
      <c r="E346" s="13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1362</v>
      </c>
      <c r="B347" s="2">
        <v>45267</v>
      </c>
      <c r="C347" t="s">
        <v>1363</v>
      </c>
      <c r="D347" t="s">
        <v>32</v>
      </c>
      <c r="E347" s="13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1366</v>
      </c>
      <c r="B348" s="2">
        <v>45632</v>
      </c>
      <c r="C348" t="s">
        <v>1367</v>
      </c>
      <c r="D348" t="s">
        <v>32</v>
      </c>
      <c r="E348" s="13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35">
      <c r="A349" t="s">
        <v>1370</v>
      </c>
      <c r="B349" s="2">
        <v>45325</v>
      </c>
      <c r="C349" t="s">
        <v>1371</v>
      </c>
      <c r="D349" t="s">
        <v>48</v>
      </c>
      <c r="E349" s="13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5">
      <c r="A350" t="s">
        <v>1374</v>
      </c>
      <c r="B350" s="2">
        <v>45364</v>
      </c>
      <c r="C350" t="s">
        <v>1375</v>
      </c>
      <c r="D350" t="s">
        <v>58</v>
      </c>
      <c r="E350" s="13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1378</v>
      </c>
      <c r="B351" s="2">
        <v>45260</v>
      </c>
      <c r="C351" t="s">
        <v>1379</v>
      </c>
      <c r="D351" t="s">
        <v>41</v>
      </c>
      <c r="E351" s="13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5">
      <c r="A352" t="s">
        <v>1382</v>
      </c>
      <c r="B352" s="2">
        <v>45080</v>
      </c>
      <c r="C352" t="s">
        <v>1383</v>
      </c>
      <c r="D352" t="s">
        <v>41</v>
      </c>
      <c r="E352" s="13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35">
      <c r="A353" t="s">
        <v>1386</v>
      </c>
      <c r="B353" s="2">
        <v>45703</v>
      </c>
      <c r="C353" t="s">
        <v>1387</v>
      </c>
      <c r="D353" t="s">
        <v>58</v>
      </c>
      <c r="E353" s="1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35">
      <c r="A354" t="s">
        <v>1390</v>
      </c>
      <c r="B354" s="2">
        <v>45169</v>
      </c>
      <c r="C354" t="s">
        <v>1391</v>
      </c>
      <c r="D354" t="s">
        <v>41</v>
      </c>
      <c r="E354" s="13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35">
      <c r="A355" t="s">
        <v>1394</v>
      </c>
      <c r="B355" s="2">
        <v>45744</v>
      </c>
      <c r="C355" t="s">
        <v>1395</v>
      </c>
      <c r="D355" t="s">
        <v>32</v>
      </c>
      <c r="E355" s="13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5">
      <c r="A356" t="s">
        <v>1398</v>
      </c>
      <c r="B356" s="2">
        <v>45118</v>
      </c>
      <c r="C356" t="s">
        <v>1399</v>
      </c>
      <c r="D356" t="s">
        <v>25</v>
      </c>
      <c r="E356" s="13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35">
      <c r="A357" t="s">
        <v>1402</v>
      </c>
      <c r="B357" s="2">
        <v>45811</v>
      </c>
      <c r="C357" t="s">
        <v>1403</v>
      </c>
      <c r="D357" t="s">
        <v>32</v>
      </c>
      <c r="E357" s="13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1406</v>
      </c>
      <c r="B358" s="2">
        <v>45052</v>
      </c>
      <c r="C358" t="s">
        <v>1407</v>
      </c>
      <c r="D358" t="s">
        <v>48</v>
      </c>
      <c r="E358" s="13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1410</v>
      </c>
      <c r="B359" s="2">
        <v>45115</v>
      </c>
      <c r="C359" t="s">
        <v>1411</v>
      </c>
      <c r="D359" t="s">
        <v>58</v>
      </c>
      <c r="E359" s="13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1413</v>
      </c>
      <c r="B360" s="2">
        <v>45389</v>
      </c>
      <c r="C360" t="s">
        <v>1414</v>
      </c>
      <c r="D360" t="s">
        <v>32</v>
      </c>
      <c r="E360" s="13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5">
      <c r="A361" t="s">
        <v>1417</v>
      </c>
      <c r="B361" s="2">
        <v>45086</v>
      </c>
      <c r="C361" t="s">
        <v>1418</v>
      </c>
      <c r="D361" t="s">
        <v>73</v>
      </c>
      <c r="E361" s="13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5">
      <c r="A362" t="s">
        <v>1421</v>
      </c>
      <c r="B362" s="2">
        <v>45449</v>
      </c>
      <c r="C362" t="s">
        <v>1422</v>
      </c>
      <c r="D362" t="s">
        <v>25</v>
      </c>
      <c r="E362" s="13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35">
      <c r="A363" t="s">
        <v>1425</v>
      </c>
      <c r="B363" s="2">
        <v>45472</v>
      </c>
      <c r="C363" t="s">
        <v>1426</v>
      </c>
      <c r="D363" t="s">
        <v>48</v>
      </c>
      <c r="E363" s="1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1429</v>
      </c>
      <c r="B364" s="2">
        <v>45104</v>
      </c>
      <c r="C364" t="s">
        <v>1430</v>
      </c>
      <c r="D364" t="s">
        <v>16</v>
      </c>
      <c r="E364" s="13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5">
      <c r="A365" t="s">
        <v>1433</v>
      </c>
      <c r="B365" s="2">
        <v>45436</v>
      </c>
      <c r="C365" t="s">
        <v>1434</v>
      </c>
      <c r="D365" t="s">
        <v>58</v>
      </c>
      <c r="E365" s="13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1436</v>
      </c>
      <c r="B366" s="2">
        <v>45254</v>
      </c>
      <c r="C366" t="s">
        <v>1437</v>
      </c>
      <c r="D366" t="s">
        <v>25</v>
      </c>
      <c r="E366" s="13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1439</v>
      </c>
      <c r="B367" s="2">
        <v>45702</v>
      </c>
      <c r="C367" t="s">
        <v>1440</v>
      </c>
      <c r="D367" t="s">
        <v>25</v>
      </c>
      <c r="E367" s="13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1442</v>
      </c>
      <c r="B368" s="2">
        <v>44967</v>
      </c>
      <c r="C368" t="s">
        <v>1443</v>
      </c>
      <c r="D368" t="s">
        <v>48</v>
      </c>
      <c r="E368" s="13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35">
      <c r="A369" t="s">
        <v>1446</v>
      </c>
      <c r="B369" s="2">
        <v>45407</v>
      </c>
      <c r="C369" t="s">
        <v>1447</v>
      </c>
      <c r="D369" t="s">
        <v>58</v>
      </c>
      <c r="E369" s="13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1449</v>
      </c>
      <c r="B370" s="2">
        <v>45047</v>
      </c>
      <c r="C370" t="s">
        <v>1450</v>
      </c>
      <c r="D370" t="s">
        <v>16</v>
      </c>
      <c r="E370" s="13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35">
      <c r="A371" t="s">
        <v>1453</v>
      </c>
      <c r="B371" s="2">
        <v>45648</v>
      </c>
      <c r="C371" t="s">
        <v>1454</v>
      </c>
      <c r="D371" t="s">
        <v>16</v>
      </c>
      <c r="E371" s="13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1457</v>
      </c>
      <c r="B372" s="2">
        <v>45780</v>
      </c>
      <c r="C372" t="s">
        <v>1458</v>
      </c>
      <c r="D372" t="s">
        <v>25</v>
      </c>
      <c r="E372" s="13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5">
      <c r="A373" t="s">
        <v>1461</v>
      </c>
      <c r="B373" s="2">
        <v>44931</v>
      </c>
      <c r="C373" t="s">
        <v>1462</v>
      </c>
      <c r="D373" t="s">
        <v>25</v>
      </c>
      <c r="E373" s="1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5">
      <c r="A374" t="s">
        <v>1464</v>
      </c>
      <c r="B374" s="2">
        <v>45702</v>
      </c>
      <c r="C374" t="s">
        <v>1465</v>
      </c>
      <c r="D374" t="s">
        <v>41</v>
      </c>
      <c r="E374" s="13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35">
      <c r="A375" t="s">
        <v>1468</v>
      </c>
      <c r="B375" s="2">
        <v>44928</v>
      </c>
      <c r="C375" t="s">
        <v>1469</v>
      </c>
      <c r="D375" t="s">
        <v>58</v>
      </c>
      <c r="E375" s="13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1472</v>
      </c>
      <c r="B376" s="2">
        <v>45551</v>
      </c>
      <c r="C376" t="s">
        <v>1473</v>
      </c>
      <c r="D376" t="s">
        <v>16</v>
      </c>
      <c r="E376" s="13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5">
      <c r="A377" t="s">
        <v>1475</v>
      </c>
      <c r="B377" s="2">
        <v>45673</v>
      </c>
      <c r="C377" t="s">
        <v>1476</v>
      </c>
      <c r="D377" t="s">
        <v>16</v>
      </c>
      <c r="E377" s="13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1479</v>
      </c>
      <c r="B378" s="2">
        <v>45162</v>
      </c>
      <c r="C378" t="s">
        <v>1480</v>
      </c>
      <c r="D378" t="s">
        <v>16</v>
      </c>
      <c r="E378" s="13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1483</v>
      </c>
      <c r="B379" s="2">
        <v>45495</v>
      </c>
      <c r="C379" t="s">
        <v>1484</v>
      </c>
      <c r="D379" t="s">
        <v>16</v>
      </c>
      <c r="E379" s="13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5">
      <c r="A380" t="s">
        <v>1486</v>
      </c>
      <c r="B380" s="2">
        <v>45323</v>
      </c>
      <c r="C380" t="s">
        <v>1487</v>
      </c>
      <c r="D380" t="s">
        <v>41</v>
      </c>
      <c r="E380" s="13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5">
      <c r="A381" t="s">
        <v>1490</v>
      </c>
      <c r="B381" s="2">
        <v>45556</v>
      </c>
      <c r="C381" t="s">
        <v>1491</v>
      </c>
      <c r="D381" t="s">
        <v>25</v>
      </c>
      <c r="E381" s="13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35">
      <c r="A382" t="s">
        <v>1493</v>
      </c>
      <c r="B382" s="2">
        <v>45402</v>
      </c>
      <c r="C382" t="s">
        <v>1494</v>
      </c>
      <c r="D382" t="s">
        <v>48</v>
      </c>
      <c r="E382" s="13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1496</v>
      </c>
      <c r="B383" s="2">
        <v>45084</v>
      </c>
      <c r="C383" t="s">
        <v>1497</v>
      </c>
      <c r="D383" t="s">
        <v>41</v>
      </c>
      <c r="E383" s="1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1499</v>
      </c>
      <c r="B384" s="2">
        <v>45687</v>
      </c>
      <c r="C384" t="s">
        <v>1500</v>
      </c>
      <c r="D384" t="s">
        <v>48</v>
      </c>
      <c r="E384" s="13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5">
      <c r="A385" t="s">
        <v>1503</v>
      </c>
      <c r="B385" s="2">
        <v>44946</v>
      </c>
      <c r="C385" t="s">
        <v>1504</v>
      </c>
      <c r="D385" t="s">
        <v>41</v>
      </c>
      <c r="E385" s="13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1506</v>
      </c>
      <c r="B386" s="2">
        <v>45620</v>
      </c>
      <c r="C386" t="s">
        <v>1507</v>
      </c>
      <c r="D386" t="s">
        <v>41</v>
      </c>
      <c r="E386" s="13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1510</v>
      </c>
      <c r="B387" s="2">
        <v>45230</v>
      </c>
      <c r="C387" t="s">
        <v>1511</v>
      </c>
      <c r="D387" t="s">
        <v>41</v>
      </c>
      <c r="E387" s="13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1513</v>
      </c>
      <c r="B388" s="2">
        <v>45044</v>
      </c>
      <c r="C388" t="s">
        <v>1514</v>
      </c>
      <c r="D388" t="s">
        <v>32</v>
      </c>
      <c r="E388" s="13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35">
      <c r="A389" t="s">
        <v>1517</v>
      </c>
      <c r="B389" s="2">
        <v>45470</v>
      </c>
      <c r="C389" t="s">
        <v>1518</v>
      </c>
      <c r="D389" t="s">
        <v>48</v>
      </c>
      <c r="E389" s="13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5">
      <c r="A390" t="s">
        <v>1520</v>
      </c>
      <c r="B390" s="2">
        <v>45288</v>
      </c>
      <c r="C390" t="s">
        <v>1521</v>
      </c>
      <c r="D390" t="s">
        <v>48</v>
      </c>
      <c r="E390" s="13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5">
      <c r="A391" t="s">
        <v>1523</v>
      </c>
      <c r="B391" s="2">
        <v>45277</v>
      </c>
      <c r="C391" t="s">
        <v>1524</v>
      </c>
      <c r="D391" t="s">
        <v>73</v>
      </c>
      <c r="E391" s="13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1527</v>
      </c>
      <c r="B392" s="2">
        <v>45121</v>
      </c>
      <c r="C392" t="s">
        <v>1528</v>
      </c>
      <c r="D392" t="s">
        <v>48</v>
      </c>
      <c r="E392" s="13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5">
      <c r="A393" t="s">
        <v>1530</v>
      </c>
      <c r="B393" s="2">
        <v>45673</v>
      </c>
      <c r="C393" t="s">
        <v>1531</v>
      </c>
      <c r="D393" t="s">
        <v>58</v>
      </c>
      <c r="E393" s="1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1533</v>
      </c>
      <c r="B394" s="2">
        <v>45350</v>
      </c>
      <c r="C394" t="s">
        <v>1534</v>
      </c>
      <c r="D394" t="s">
        <v>25</v>
      </c>
      <c r="E394" s="13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5">
      <c r="A395" t="s">
        <v>1536</v>
      </c>
      <c r="B395" s="2">
        <v>45487</v>
      </c>
      <c r="C395" t="s">
        <v>1537</v>
      </c>
      <c r="D395" t="s">
        <v>48</v>
      </c>
      <c r="E395" s="13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35">
      <c r="A396" t="s">
        <v>1540</v>
      </c>
      <c r="B396" s="2">
        <v>45112</v>
      </c>
      <c r="C396" t="s">
        <v>1541</v>
      </c>
      <c r="D396" t="s">
        <v>73</v>
      </c>
      <c r="E396" s="13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35">
      <c r="A397" t="s">
        <v>1544</v>
      </c>
      <c r="B397" s="2">
        <v>45772</v>
      </c>
      <c r="C397" t="s">
        <v>1545</v>
      </c>
      <c r="D397" t="s">
        <v>25</v>
      </c>
      <c r="E397" s="13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1547</v>
      </c>
      <c r="B398" s="2">
        <v>45261</v>
      </c>
      <c r="C398" t="s">
        <v>1548</v>
      </c>
      <c r="D398" t="s">
        <v>32</v>
      </c>
      <c r="E398" s="13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1551</v>
      </c>
      <c r="B399" s="2">
        <v>45197</v>
      </c>
      <c r="C399" t="s">
        <v>1552</v>
      </c>
      <c r="D399" t="s">
        <v>16</v>
      </c>
      <c r="E399" s="13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5">
      <c r="A400" t="s">
        <v>1555</v>
      </c>
      <c r="B400" s="2">
        <v>45539</v>
      </c>
      <c r="C400" t="s">
        <v>1556</v>
      </c>
      <c r="D400" t="s">
        <v>25</v>
      </c>
      <c r="E400" s="13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1558</v>
      </c>
      <c r="B401" s="2">
        <v>45298</v>
      </c>
      <c r="C401" t="s">
        <v>1559</v>
      </c>
      <c r="D401" t="s">
        <v>32</v>
      </c>
      <c r="E401" s="13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1562</v>
      </c>
      <c r="B402" s="2">
        <v>45563</v>
      </c>
      <c r="C402" t="s">
        <v>1563</v>
      </c>
      <c r="D402" t="s">
        <v>73</v>
      </c>
      <c r="E402" s="13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5">
      <c r="A403" t="s">
        <v>1566</v>
      </c>
      <c r="B403" s="2">
        <v>45756</v>
      </c>
      <c r="C403" t="s">
        <v>1567</v>
      </c>
      <c r="D403" t="s">
        <v>48</v>
      </c>
      <c r="E403" s="1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35">
      <c r="A404" t="s">
        <v>1569</v>
      </c>
      <c r="B404" s="2">
        <v>45025</v>
      </c>
      <c r="C404" t="s">
        <v>1570</v>
      </c>
      <c r="D404" t="s">
        <v>48</v>
      </c>
      <c r="E404" s="13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35">
      <c r="A405" t="s">
        <v>1573</v>
      </c>
      <c r="B405" s="2">
        <v>45606</v>
      </c>
      <c r="C405" t="s">
        <v>1574</v>
      </c>
      <c r="D405" t="s">
        <v>32</v>
      </c>
      <c r="E405" s="13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1576</v>
      </c>
      <c r="B406" s="2">
        <v>44994</v>
      </c>
      <c r="C406" t="s">
        <v>1577</v>
      </c>
      <c r="D406" t="s">
        <v>16</v>
      </c>
      <c r="E406" s="13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35">
      <c r="A407" t="s">
        <v>1579</v>
      </c>
      <c r="B407" s="2">
        <v>45683</v>
      </c>
      <c r="C407" t="s">
        <v>1580</v>
      </c>
      <c r="D407" t="s">
        <v>16</v>
      </c>
      <c r="E407" s="13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5">
      <c r="A408" t="s">
        <v>1582</v>
      </c>
      <c r="B408" s="2">
        <v>45270</v>
      </c>
      <c r="C408" t="s">
        <v>1583</v>
      </c>
      <c r="D408" t="s">
        <v>32</v>
      </c>
      <c r="E408" s="13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5">
      <c r="A409" t="s">
        <v>1585</v>
      </c>
      <c r="B409" s="2">
        <v>45151</v>
      </c>
      <c r="C409" t="s">
        <v>1586</v>
      </c>
      <c r="D409" t="s">
        <v>32</v>
      </c>
      <c r="E409" s="13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1588</v>
      </c>
      <c r="B410" s="2">
        <v>45658</v>
      </c>
      <c r="C410" t="s">
        <v>1589</v>
      </c>
      <c r="D410" t="s">
        <v>48</v>
      </c>
      <c r="E410" s="13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5">
      <c r="A411" t="s">
        <v>1592</v>
      </c>
      <c r="B411" s="2">
        <v>45105</v>
      </c>
      <c r="C411" t="s">
        <v>1593</v>
      </c>
      <c r="D411" t="s">
        <v>73</v>
      </c>
      <c r="E411" s="13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5">
      <c r="A412" t="s">
        <v>1596</v>
      </c>
      <c r="B412" s="2">
        <v>45309</v>
      </c>
      <c r="C412" t="s">
        <v>1597</v>
      </c>
      <c r="D412" t="s">
        <v>32</v>
      </c>
      <c r="E412" s="13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35">
      <c r="A413" t="s">
        <v>1600</v>
      </c>
      <c r="B413" s="2">
        <v>45462</v>
      </c>
      <c r="C413" t="s">
        <v>1601</v>
      </c>
      <c r="D413" t="s">
        <v>73</v>
      </c>
      <c r="E413" s="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35">
      <c r="A414" t="s">
        <v>1603</v>
      </c>
      <c r="B414" s="2">
        <v>45758</v>
      </c>
      <c r="C414" t="s">
        <v>1604</v>
      </c>
      <c r="D414" t="s">
        <v>32</v>
      </c>
      <c r="E414" s="13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35">
      <c r="A415" t="s">
        <v>1607</v>
      </c>
      <c r="B415" s="2">
        <v>45207</v>
      </c>
      <c r="C415" t="s">
        <v>1608</v>
      </c>
      <c r="D415" t="s">
        <v>32</v>
      </c>
      <c r="E415" s="13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1611</v>
      </c>
      <c r="B416" s="2">
        <v>45781</v>
      </c>
      <c r="C416" t="s">
        <v>1612</v>
      </c>
      <c r="D416" t="s">
        <v>73</v>
      </c>
      <c r="E416" s="13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5">
      <c r="A417" t="s">
        <v>1615</v>
      </c>
      <c r="B417" s="2">
        <v>45753</v>
      </c>
      <c r="C417" t="s">
        <v>1616</v>
      </c>
      <c r="D417" t="s">
        <v>41</v>
      </c>
      <c r="E417" s="13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1618</v>
      </c>
      <c r="B418" s="2">
        <v>45125</v>
      </c>
      <c r="C418" t="s">
        <v>1619</v>
      </c>
      <c r="D418" t="s">
        <v>58</v>
      </c>
      <c r="E418" s="13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5">
      <c r="A419" t="s">
        <v>1622</v>
      </c>
      <c r="B419" s="2">
        <v>45223</v>
      </c>
      <c r="C419" t="s">
        <v>1623</v>
      </c>
      <c r="D419" t="s">
        <v>58</v>
      </c>
      <c r="E419" s="13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35">
      <c r="A420" t="s">
        <v>1626</v>
      </c>
      <c r="B420" s="2">
        <v>44937</v>
      </c>
      <c r="C420" t="s">
        <v>1627</v>
      </c>
      <c r="D420" t="s">
        <v>48</v>
      </c>
      <c r="E420" s="13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35">
      <c r="A421" t="s">
        <v>1630</v>
      </c>
      <c r="B421" s="2">
        <v>45399</v>
      </c>
      <c r="C421" t="s">
        <v>1631</v>
      </c>
      <c r="D421" t="s">
        <v>32</v>
      </c>
      <c r="E421" s="13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1633</v>
      </c>
      <c r="B422" s="2">
        <v>45625</v>
      </c>
      <c r="C422" t="s">
        <v>1634</v>
      </c>
      <c r="D422" t="s">
        <v>25</v>
      </c>
      <c r="E422" s="13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1637</v>
      </c>
      <c r="B423" s="2">
        <v>45214</v>
      </c>
      <c r="C423" t="s">
        <v>1638</v>
      </c>
      <c r="D423" t="s">
        <v>41</v>
      </c>
      <c r="E423" s="1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35">
      <c r="A424" t="s">
        <v>1641</v>
      </c>
      <c r="B424" s="2">
        <v>45082</v>
      </c>
      <c r="C424" t="s">
        <v>1642</v>
      </c>
      <c r="D424" t="s">
        <v>25</v>
      </c>
      <c r="E424" s="13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5">
      <c r="A425" t="s">
        <v>1644</v>
      </c>
      <c r="B425" s="2">
        <v>45493</v>
      </c>
      <c r="C425" t="s">
        <v>1645</v>
      </c>
      <c r="D425" t="s">
        <v>48</v>
      </c>
      <c r="E425" s="13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5">
      <c r="A426" t="s">
        <v>1647</v>
      </c>
      <c r="B426" s="2">
        <v>45028</v>
      </c>
      <c r="C426" t="s">
        <v>1648</v>
      </c>
      <c r="D426" t="s">
        <v>41</v>
      </c>
      <c r="E426" s="13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35">
      <c r="A427" t="s">
        <v>1650</v>
      </c>
      <c r="B427" s="2">
        <v>44994</v>
      </c>
      <c r="C427" t="s">
        <v>1651</v>
      </c>
      <c r="D427" t="s">
        <v>58</v>
      </c>
      <c r="E427" s="13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5">
      <c r="A428" t="s">
        <v>1654</v>
      </c>
      <c r="B428" s="2">
        <v>45732</v>
      </c>
      <c r="C428" t="s">
        <v>1655</v>
      </c>
      <c r="D428" t="s">
        <v>16</v>
      </c>
      <c r="E428" s="13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35">
      <c r="A429" t="s">
        <v>1658</v>
      </c>
      <c r="B429" s="2">
        <v>45644</v>
      </c>
      <c r="C429" t="s">
        <v>1659</v>
      </c>
      <c r="D429" t="s">
        <v>73</v>
      </c>
      <c r="E429" s="13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5">
      <c r="A430" t="s">
        <v>1662</v>
      </c>
      <c r="B430" s="2">
        <v>45622</v>
      </c>
      <c r="C430" t="s">
        <v>1663</v>
      </c>
      <c r="D430" t="s">
        <v>41</v>
      </c>
      <c r="E430" s="13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5">
      <c r="A431" t="s">
        <v>1665</v>
      </c>
      <c r="B431" s="2">
        <v>45645</v>
      </c>
      <c r="C431" t="s">
        <v>1666</v>
      </c>
      <c r="D431" t="s">
        <v>48</v>
      </c>
      <c r="E431" s="13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1668</v>
      </c>
      <c r="B432" s="2">
        <v>45084</v>
      </c>
      <c r="C432" t="s">
        <v>1669</v>
      </c>
      <c r="D432" t="s">
        <v>25</v>
      </c>
      <c r="E432" s="13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5">
      <c r="A433" t="s">
        <v>1672</v>
      </c>
      <c r="B433" s="2">
        <v>45571</v>
      </c>
      <c r="C433" t="s">
        <v>1673</v>
      </c>
      <c r="D433" t="s">
        <v>48</v>
      </c>
      <c r="E433" s="1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5">
      <c r="A434" t="s">
        <v>1675</v>
      </c>
      <c r="B434" s="2">
        <v>45173</v>
      </c>
      <c r="C434" t="s">
        <v>1676</v>
      </c>
      <c r="D434" t="s">
        <v>32</v>
      </c>
      <c r="E434" s="13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35">
      <c r="A435" t="s">
        <v>1679</v>
      </c>
      <c r="B435" s="2">
        <v>45164</v>
      </c>
      <c r="C435" t="s">
        <v>1680</v>
      </c>
      <c r="D435" t="s">
        <v>16</v>
      </c>
      <c r="E435" s="13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1682</v>
      </c>
      <c r="B436" s="2">
        <v>45221</v>
      </c>
      <c r="C436" t="s">
        <v>1683</v>
      </c>
      <c r="D436" t="s">
        <v>48</v>
      </c>
      <c r="E436" s="13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35">
      <c r="A437" t="s">
        <v>1685</v>
      </c>
      <c r="B437" s="2">
        <v>45073</v>
      </c>
      <c r="C437" t="s">
        <v>1686</v>
      </c>
      <c r="D437" t="s">
        <v>48</v>
      </c>
      <c r="E437" s="13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1688</v>
      </c>
      <c r="B438" s="2">
        <v>44968</v>
      </c>
      <c r="C438" t="s">
        <v>1689</v>
      </c>
      <c r="D438" t="s">
        <v>58</v>
      </c>
      <c r="E438" s="13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35">
      <c r="A439" t="s">
        <v>1691</v>
      </c>
      <c r="B439" s="2">
        <v>45400</v>
      </c>
      <c r="C439" t="s">
        <v>1692</v>
      </c>
      <c r="D439" t="s">
        <v>25</v>
      </c>
      <c r="E439" s="13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1695</v>
      </c>
      <c r="B440" s="2">
        <v>45660</v>
      </c>
      <c r="C440" t="s">
        <v>1696</v>
      </c>
      <c r="D440" t="s">
        <v>32</v>
      </c>
      <c r="E440" s="13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1699</v>
      </c>
      <c r="B441" s="2">
        <v>45543</v>
      </c>
      <c r="C441" t="s">
        <v>1700</v>
      </c>
      <c r="D441" t="s">
        <v>32</v>
      </c>
      <c r="E441" s="13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5">
      <c r="A442" t="s">
        <v>1703</v>
      </c>
      <c r="B442" s="2">
        <v>45601</v>
      </c>
      <c r="C442" t="s">
        <v>1704</v>
      </c>
      <c r="D442" t="s">
        <v>73</v>
      </c>
      <c r="E442" s="13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1706</v>
      </c>
      <c r="B443" s="2">
        <v>45273</v>
      </c>
      <c r="C443" t="s">
        <v>1707</v>
      </c>
      <c r="D443" t="s">
        <v>48</v>
      </c>
      <c r="E443" s="1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1710</v>
      </c>
      <c r="B444" s="2">
        <v>45418</v>
      </c>
      <c r="C444" t="s">
        <v>1711</v>
      </c>
      <c r="D444" t="s">
        <v>41</v>
      </c>
      <c r="E444" s="13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1714</v>
      </c>
      <c r="B445" s="2">
        <v>45426</v>
      </c>
      <c r="C445" t="s">
        <v>1715</v>
      </c>
      <c r="D445" t="s">
        <v>41</v>
      </c>
      <c r="E445" s="13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35">
      <c r="A446" t="s">
        <v>1717</v>
      </c>
      <c r="B446" s="2">
        <v>45451</v>
      </c>
      <c r="C446" t="s">
        <v>1718</v>
      </c>
      <c r="D446" t="s">
        <v>48</v>
      </c>
      <c r="E446" s="13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1721</v>
      </c>
      <c r="B447" s="2">
        <v>45374</v>
      </c>
      <c r="C447" t="s">
        <v>1722</v>
      </c>
      <c r="D447" t="s">
        <v>25</v>
      </c>
      <c r="E447" s="13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1725</v>
      </c>
      <c r="B448" s="2">
        <v>45217</v>
      </c>
      <c r="C448" t="s">
        <v>1726</v>
      </c>
      <c r="D448" t="s">
        <v>58</v>
      </c>
      <c r="E448" s="13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1729</v>
      </c>
      <c r="B449" s="2">
        <v>45389</v>
      </c>
      <c r="C449" t="s">
        <v>1730</v>
      </c>
      <c r="D449" t="s">
        <v>48</v>
      </c>
      <c r="E449" s="13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35">
      <c r="A450" t="s">
        <v>1733</v>
      </c>
      <c r="B450" s="2">
        <v>45173</v>
      </c>
      <c r="C450" t="s">
        <v>1734</v>
      </c>
      <c r="D450" t="s">
        <v>58</v>
      </c>
      <c r="E450" s="13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1737</v>
      </c>
      <c r="B451" s="2">
        <v>45530</v>
      </c>
      <c r="C451" t="s">
        <v>1738</v>
      </c>
      <c r="D451" t="s">
        <v>32</v>
      </c>
      <c r="E451" s="13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35">
      <c r="A452" t="s">
        <v>1741</v>
      </c>
      <c r="B452" s="2">
        <v>45306</v>
      </c>
      <c r="C452" t="s">
        <v>1742</v>
      </c>
      <c r="D452" t="s">
        <v>16</v>
      </c>
      <c r="E452" s="13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5">
      <c r="A453" t="s">
        <v>1745</v>
      </c>
      <c r="B453" s="2">
        <v>45017</v>
      </c>
      <c r="C453" t="s">
        <v>1746</v>
      </c>
      <c r="D453" t="s">
        <v>16</v>
      </c>
      <c r="E453" s="1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1748</v>
      </c>
      <c r="B454" s="2">
        <v>45130</v>
      </c>
      <c r="C454" t="s">
        <v>1749</v>
      </c>
      <c r="D454" t="s">
        <v>48</v>
      </c>
      <c r="E454" s="13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5">
      <c r="A455" t="s">
        <v>1752</v>
      </c>
      <c r="B455" s="2">
        <v>45779</v>
      </c>
      <c r="C455" t="s">
        <v>1753</v>
      </c>
      <c r="D455" t="s">
        <v>32</v>
      </c>
      <c r="E455" s="13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5">
      <c r="A456" t="s">
        <v>1756</v>
      </c>
      <c r="B456" s="2">
        <v>45623</v>
      </c>
      <c r="C456" t="s">
        <v>1757</v>
      </c>
      <c r="D456" t="s">
        <v>58</v>
      </c>
      <c r="E456" s="13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5">
      <c r="A457" t="s">
        <v>1760</v>
      </c>
      <c r="B457" s="2">
        <v>45377</v>
      </c>
      <c r="C457" t="s">
        <v>1761</v>
      </c>
      <c r="D457" t="s">
        <v>25</v>
      </c>
      <c r="E457" s="13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1764</v>
      </c>
      <c r="B458" s="2">
        <v>45103</v>
      </c>
      <c r="C458" t="s">
        <v>1765</v>
      </c>
      <c r="D458" t="s">
        <v>73</v>
      </c>
      <c r="E458" s="13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1767</v>
      </c>
      <c r="B459" s="2">
        <v>45802</v>
      </c>
      <c r="C459" t="s">
        <v>1768</v>
      </c>
      <c r="D459" t="s">
        <v>73</v>
      </c>
      <c r="E459" s="13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5">
      <c r="A460" t="s">
        <v>1771</v>
      </c>
      <c r="B460" s="2">
        <v>45475</v>
      </c>
      <c r="C460" t="s">
        <v>1772</v>
      </c>
      <c r="D460" t="s">
        <v>16</v>
      </c>
      <c r="E460" s="13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5">
      <c r="A461" t="s">
        <v>1774</v>
      </c>
      <c r="B461" s="2">
        <v>45497</v>
      </c>
      <c r="C461" t="s">
        <v>1775</v>
      </c>
      <c r="D461" t="s">
        <v>73</v>
      </c>
      <c r="E461" s="13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35">
      <c r="A462" t="s">
        <v>1777</v>
      </c>
      <c r="B462" s="2">
        <v>45571</v>
      </c>
      <c r="C462" t="s">
        <v>1778</v>
      </c>
      <c r="D462" t="s">
        <v>58</v>
      </c>
      <c r="E462" s="13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5">
      <c r="A463" t="s">
        <v>1781</v>
      </c>
      <c r="B463" s="2">
        <v>45451</v>
      </c>
      <c r="C463" t="s">
        <v>1782</v>
      </c>
      <c r="D463" t="s">
        <v>32</v>
      </c>
      <c r="E463" s="1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5">
      <c r="A464" t="s">
        <v>1784</v>
      </c>
      <c r="B464" s="2">
        <v>45747</v>
      </c>
      <c r="C464" t="s">
        <v>1785</v>
      </c>
      <c r="D464" t="s">
        <v>25</v>
      </c>
      <c r="E464" s="13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35">
      <c r="A465" t="s">
        <v>1788</v>
      </c>
      <c r="B465" s="2">
        <v>45072</v>
      </c>
      <c r="C465" t="s">
        <v>1789</v>
      </c>
      <c r="D465" t="s">
        <v>58</v>
      </c>
      <c r="E465" s="13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1792</v>
      </c>
      <c r="B466" s="2">
        <v>44999</v>
      </c>
      <c r="C466" t="s">
        <v>1793</v>
      </c>
      <c r="D466" t="s">
        <v>32</v>
      </c>
      <c r="E466" s="13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5">
      <c r="A467" t="s">
        <v>1796</v>
      </c>
      <c r="B467" s="2">
        <v>45348</v>
      </c>
      <c r="C467" t="s">
        <v>1797</v>
      </c>
      <c r="D467" t="s">
        <v>48</v>
      </c>
      <c r="E467" s="13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35">
      <c r="A468" t="s">
        <v>1800</v>
      </c>
      <c r="B468" s="2">
        <v>45125</v>
      </c>
      <c r="C468" t="s">
        <v>1801</v>
      </c>
      <c r="D468" t="s">
        <v>25</v>
      </c>
      <c r="E468" s="13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1803</v>
      </c>
      <c r="B469" s="2">
        <v>45534</v>
      </c>
      <c r="C469" t="s">
        <v>1804</v>
      </c>
      <c r="D469" t="s">
        <v>73</v>
      </c>
      <c r="E469" s="13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5">
      <c r="A470" t="s">
        <v>1806</v>
      </c>
      <c r="B470" s="2">
        <v>45829</v>
      </c>
      <c r="C470" t="s">
        <v>1807</v>
      </c>
      <c r="D470" t="s">
        <v>25</v>
      </c>
      <c r="E470" s="13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1810</v>
      </c>
      <c r="B471" s="2">
        <v>45256</v>
      </c>
      <c r="C471" t="s">
        <v>1811</v>
      </c>
      <c r="D471" t="s">
        <v>41</v>
      </c>
      <c r="E471" s="13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35">
      <c r="A472" t="s">
        <v>1813</v>
      </c>
      <c r="B472" s="2">
        <v>45198</v>
      </c>
      <c r="C472" t="s">
        <v>1814</v>
      </c>
      <c r="D472" t="s">
        <v>32</v>
      </c>
      <c r="E472" s="13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1817</v>
      </c>
      <c r="B473" s="2">
        <v>45766</v>
      </c>
      <c r="C473" t="s">
        <v>1818</v>
      </c>
      <c r="D473" t="s">
        <v>73</v>
      </c>
      <c r="E473" s="1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1821</v>
      </c>
      <c r="B474" s="2">
        <v>44932</v>
      </c>
      <c r="C474" t="s">
        <v>1822</v>
      </c>
      <c r="D474" t="s">
        <v>41</v>
      </c>
      <c r="E474" s="13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1825</v>
      </c>
      <c r="B475" s="2">
        <v>45713</v>
      </c>
      <c r="C475" t="s">
        <v>1826</v>
      </c>
      <c r="D475" t="s">
        <v>41</v>
      </c>
      <c r="E475" s="13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35">
      <c r="A476" t="s">
        <v>1829</v>
      </c>
      <c r="B476" s="2">
        <v>45245</v>
      </c>
      <c r="C476" t="s">
        <v>1830</v>
      </c>
      <c r="D476" t="s">
        <v>48</v>
      </c>
      <c r="E476" s="13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1832</v>
      </c>
      <c r="B477" s="2">
        <v>45766</v>
      </c>
      <c r="C477" t="s">
        <v>1833</v>
      </c>
      <c r="D477" t="s">
        <v>32</v>
      </c>
      <c r="E477" s="13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1836</v>
      </c>
      <c r="B478" s="2">
        <v>45306</v>
      </c>
      <c r="C478" t="s">
        <v>1837</v>
      </c>
      <c r="D478" t="s">
        <v>25</v>
      </c>
      <c r="E478" s="13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1840</v>
      </c>
      <c r="B479" s="2">
        <v>45721</v>
      </c>
      <c r="C479" t="s">
        <v>1841</v>
      </c>
      <c r="D479" t="s">
        <v>25</v>
      </c>
      <c r="E479" s="13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5">
      <c r="A480" t="s">
        <v>1844</v>
      </c>
      <c r="B480" s="2">
        <v>45597</v>
      </c>
      <c r="C480" t="s">
        <v>1845</v>
      </c>
      <c r="D480" t="s">
        <v>32</v>
      </c>
      <c r="E480" s="13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1847</v>
      </c>
      <c r="B481" s="2">
        <v>44975</v>
      </c>
      <c r="C481" t="s">
        <v>1848</v>
      </c>
      <c r="D481" t="s">
        <v>16</v>
      </c>
      <c r="E481" s="13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35">
      <c r="A482" t="s">
        <v>1851</v>
      </c>
      <c r="B482" s="2">
        <v>45093</v>
      </c>
      <c r="C482" t="s">
        <v>1852</v>
      </c>
      <c r="D482" t="s">
        <v>41</v>
      </c>
      <c r="E482" s="13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1854</v>
      </c>
      <c r="B483" s="2">
        <v>45039</v>
      </c>
      <c r="C483" t="s">
        <v>1855</v>
      </c>
      <c r="D483" t="s">
        <v>58</v>
      </c>
      <c r="E483" s="1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5">
      <c r="A484" t="s">
        <v>1857</v>
      </c>
      <c r="B484" s="2">
        <v>45718</v>
      </c>
      <c r="C484" t="s">
        <v>1858</v>
      </c>
      <c r="D484" t="s">
        <v>16</v>
      </c>
      <c r="E484" s="13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35">
      <c r="A485" t="s">
        <v>1860</v>
      </c>
      <c r="B485" s="2">
        <v>44944</v>
      </c>
      <c r="C485" t="s">
        <v>1861</v>
      </c>
      <c r="D485" t="s">
        <v>25</v>
      </c>
      <c r="E485" s="13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5">
      <c r="A486" t="s">
        <v>1864</v>
      </c>
      <c r="B486" s="2">
        <v>45441</v>
      </c>
      <c r="C486" t="s">
        <v>1865</v>
      </c>
      <c r="D486" t="s">
        <v>41</v>
      </c>
      <c r="E486" s="13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35">
      <c r="A487" t="s">
        <v>1867</v>
      </c>
      <c r="B487" s="2">
        <v>45139</v>
      </c>
      <c r="C487" t="s">
        <v>1868</v>
      </c>
      <c r="D487" t="s">
        <v>41</v>
      </c>
      <c r="E487" s="13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1871</v>
      </c>
      <c r="B488" s="2">
        <v>44960</v>
      </c>
      <c r="C488" t="s">
        <v>1872</v>
      </c>
      <c r="D488" t="s">
        <v>48</v>
      </c>
      <c r="E488" s="13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1874</v>
      </c>
      <c r="B489" s="2">
        <v>44994</v>
      </c>
      <c r="C489" t="s">
        <v>1875</v>
      </c>
      <c r="D489" t="s">
        <v>48</v>
      </c>
      <c r="E489" s="13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5">
      <c r="A490" t="s">
        <v>1878</v>
      </c>
      <c r="B490" s="2">
        <v>45631</v>
      </c>
      <c r="C490" t="s">
        <v>1879</v>
      </c>
      <c r="D490" t="s">
        <v>41</v>
      </c>
      <c r="E490" s="13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5">
      <c r="A491" t="s">
        <v>1882</v>
      </c>
      <c r="B491" s="2">
        <v>45174</v>
      </c>
      <c r="C491" t="s">
        <v>1883</v>
      </c>
      <c r="D491" t="s">
        <v>32</v>
      </c>
      <c r="E491" s="13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5">
      <c r="A492" t="s">
        <v>1885</v>
      </c>
      <c r="B492" s="2">
        <v>45495</v>
      </c>
      <c r="C492" t="s">
        <v>1886</v>
      </c>
      <c r="D492" t="s">
        <v>41</v>
      </c>
      <c r="E492" s="13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35">
      <c r="A493" t="s">
        <v>1889</v>
      </c>
      <c r="B493" s="2">
        <v>44931</v>
      </c>
      <c r="C493" t="s">
        <v>1890</v>
      </c>
      <c r="D493" t="s">
        <v>25</v>
      </c>
      <c r="E493" s="1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5">
      <c r="A494" t="s">
        <v>1892</v>
      </c>
      <c r="B494" s="2">
        <v>45224</v>
      </c>
      <c r="C494" t="s">
        <v>1893</v>
      </c>
      <c r="D494" t="s">
        <v>58</v>
      </c>
      <c r="E494" s="13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1895</v>
      </c>
      <c r="B495" s="2">
        <v>45685</v>
      </c>
      <c r="C495" t="s">
        <v>1896</v>
      </c>
      <c r="D495" t="s">
        <v>25</v>
      </c>
      <c r="E495" s="13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1899</v>
      </c>
      <c r="B496" s="2">
        <v>45126</v>
      </c>
      <c r="C496" t="s">
        <v>1900</v>
      </c>
      <c r="D496" t="s">
        <v>58</v>
      </c>
      <c r="E496" s="13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1903</v>
      </c>
      <c r="B497" s="2">
        <v>45813</v>
      </c>
      <c r="C497" t="s">
        <v>1904</v>
      </c>
      <c r="D497" t="s">
        <v>25</v>
      </c>
      <c r="E497" s="13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1906</v>
      </c>
      <c r="B498" s="2">
        <v>45730</v>
      </c>
      <c r="C498" t="s">
        <v>1907</v>
      </c>
      <c r="D498" t="s">
        <v>48</v>
      </c>
      <c r="E498" s="13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5">
      <c r="A499" t="s">
        <v>1910</v>
      </c>
      <c r="B499" s="2">
        <v>45589</v>
      </c>
      <c r="C499" t="s">
        <v>1911</v>
      </c>
      <c r="D499" t="s">
        <v>48</v>
      </c>
      <c r="E499" s="13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35">
      <c r="A500" t="s">
        <v>1914</v>
      </c>
      <c r="B500" s="2">
        <v>45119</v>
      </c>
      <c r="C500" t="s">
        <v>1915</v>
      </c>
      <c r="D500" t="s">
        <v>32</v>
      </c>
      <c r="E500" s="13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5">
      <c r="A501" t="s">
        <v>1917</v>
      </c>
      <c r="B501" s="2">
        <v>45022</v>
      </c>
      <c r="C501" t="s">
        <v>1918</v>
      </c>
      <c r="D501" t="s">
        <v>48</v>
      </c>
      <c r="E501" s="13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1921</v>
      </c>
      <c r="B502" s="2">
        <v>45389</v>
      </c>
      <c r="C502" t="s">
        <v>1922</v>
      </c>
      <c r="D502" t="s">
        <v>58</v>
      </c>
      <c r="E502" s="13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5">
      <c r="A503" t="s">
        <v>1925</v>
      </c>
      <c r="B503" s="2">
        <v>45326</v>
      </c>
      <c r="C503" t="s">
        <v>1926</v>
      </c>
      <c r="D503" t="s">
        <v>73</v>
      </c>
      <c r="E503" s="1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1928</v>
      </c>
      <c r="B504" s="2">
        <v>45066</v>
      </c>
      <c r="C504" t="s">
        <v>1929</v>
      </c>
      <c r="D504" t="s">
        <v>16</v>
      </c>
      <c r="E504" s="13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1932</v>
      </c>
      <c r="B505" s="2">
        <v>45169</v>
      </c>
      <c r="C505" t="s">
        <v>1933</v>
      </c>
      <c r="D505" t="s">
        <v>32</v>
      </c>
      <c r="E505" s="13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1936</v>
      </c>
      <c r="B506" s="2">
        <v>45819</v>
      </c>
      <c r="C506" t="s">
        <v>1937</v>
      </c>
      <c r="D506" t="s">
        <v>16</v>
      </c>
      <c r="E506" s="13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5">
      <c r="A507" t="s">
        <v>1940</v>
      </c>
      <c r="B507" s="2">
        <v>45088</v>
      </c>
      <c r="C507" t="s">
        <v>1941</v>
      </c>
      <c r="D507" t="s">
        <v>48</v>
      </c>
      <c r="E507" s="13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35">
      <c r="A508" t="s">
        <v>1943</v>
      </c>
      <c r="B508" s="2">
        <v>45132</v>
      </c>
      <c r="C508" t="s">
        <v>1944</v>
      </c>
      <c r="D508" t="s">
        <v>16</v>
      </c>
      <c r="E508" s="13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5">
      <c r="A509" t="s">
        <v>1947</v>
      </c>
      <c r="B509" s="2">
        <v>45112</v>
      </c>
      <c r="C509" t="s">
        <v>1948</v>
      </c>
      <c r="D509" t="s">
        <v>25</v>
      </c>
      <c r="E509" s="13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5">
      <c r="A510" t="s">
        <v>1950</v>
      </c>
      <c r="B510" s="2">
        <v>45791</v>
      </c>
      <c r="C510" t="s">
        <v>1951</v>
      </c>
      <c r="D510" t="s">
        <v>25</v>
      </c>
      <c r="E510" s="13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35">
      <c r="A511" t="s">
        <v>1954</v>
      </c>
      <c r="B511" s="2">
        <v>44972</v>
      </c>
      <c r="C511" t="s">
        <v>1955</v>
      </c>
      <c r="D511" t="s">
        <v>58</v>
      </c>
      <c r="E511" s="13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5">
      <c r="A512" t="s">
        <v>1958</v>
      </c>
      <c r="B512" s="2">
        <v>45642</v>
      </c>
      <c r="C512" t="s">
        <v>1959</v>
      </c>
      <c r="D512" t="s">
        <v>48</v>
      </c>
      <c r="E512" s="13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1962</v>
      </c>
      <c r="B513" s="2">
        <v>45366</v>
      </c>
      <c r="C513" t="s">
        <v>1963</v>
      </c>
      <c r="D513" t="s">
        <v>16</v>
      </c>
      <c r="E513" s="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5">
      <c r="A514" t="s">
        <v>1965</v>
      </c>
      <c r="B514" s="2">
        <v>45562</v>
      </c>
      <c r="C514" t="s">
        <v>1966</v>
      </c>
      <c r="D514" t="s">
        <v>73</v>
      </c>
      <c r="E514" s="13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1968</v>
      </c>
      <c r="B515" s="2">
        <v>45697</v>
      </c>
      <c r="C515" t="s">
        <v>1969</v>
      </c>
      <c r="D515" t="s">
        <v>32</v>
      </c>
      <c r="E515" s="13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35">
      <c r="A516" t="s">
        <v>1971</v>
      </c>
      <c r="B516" s="2">
        <v>45032</v>
      </c>
      <c r="C516" t="s">
        <v>1972</v>
      </c>
      <c r="D516" t="s">
        <v>48</v>
      </c>
      <c r="E516" s="13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35">
      <c r="A517" t="s">
        <v>1974</v>
      </c>
      <c r="B517" s="2">
        <v>44999</v>
      </c>
      <c r="C517" t="s">
        <v>1975</v>
      </c>
      <c r="D517" t="s">
        <v>25</v>
      </c>
      <c r="E517" s="13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1977</v>
      </c>
      <c r="B518" s="2">
        <v>45389</v>
      </c>
      <c r="C518" t="s">
        <v>1978</v>
      </c>
      <c r="D518" t="s">
        <v>16</v>
      </c>
      <c r="E518" s="13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35">
      <c r="A519" t="s">
        <v>1980</v>
      </c>
      <c r="B519" s="2">
        <v>45391</v>
      </c>
      <c r="C519" t="s">
        <v>1981</v>
      </c>
      <c r="D519" t="s">
        <v>32</v>
      </c>
      <c r="E519" s="13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5">
      <c r="A520" t="s">
        <v>1983</v>
      </c>
      <c r="B520" s="2">
        <v>45821</v>
      </c>
      <c r="C520" t="s">
        <v>1984</v>
      </c>
      <c r="D520" t="s">
        <v>48</v>
      </c>
      <c r="E520" s="13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1986</v>
      </c>
      <c r="B521" s="2">
        <v>45787</v>
      </c>
      <c r="C521" t="s">
        <v>1987</v>
      </c>
      <c r="D521" t="s">
        <v>58</v>
      </c>
      <c r="E521" s="13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1990</v>
      </c>
      <c r="B522" s="2">
        <v>44995</v>
      </c>
      <c r="C522" t="s">
        <v>1991</v>
      </c>
      <c r="D522" t="s">
        <v>16</v>
      </c>
      <c r="E522" s="13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35">
      <c r="A523" t="s">
        <v>1994</v>
      </c>
      <c r="B523" s="2">
        <v>45347</v>
      </c>
      <c r="C523" t="s">
        <v>1995</v>
      </c>
      <c r="D523" t="s">
        <v>25</v>
      </c>
      <c r="E523" s="1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35">
      <c r="A524" t="s">
        <v>1998</v>
      </c>
      <c r="B524" s="2">
        <v>45402</v>
      </c>
      <c r="C524" t="s">
        <v>1999</v>
      </c>
      <c r="D524" t="s">
        <v>41</v>
      </c>
      <c r="E524" s="13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2001</v>
      </c>
      <c r="B525" s="2">
        <v>45706</v>
      </c>
      <c r="C525" t="s">
        <v>2002</v>
      </c>
      <c r="D525" t="s">
        <v>73</v>
      </c>
      <c r="E525" s="13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5">
      <c r="A526" t="s">
        <v>2004</v>
      </c>
      <c r="B526" s="2">
        <v>45224</v>
      </c>
      <c r="C526" t="s">
        <v>2005</v>
      </c>
      <c r="D526" t="s">
        <v>25</v>
      </c>
      <c r="E526" s="13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35">
      <c r="A527" t="s">
        <v>2007</v>
      </c>
      <c r="B527" s="2">
        <v>45263</v>
      </c>
      <c r="C527" t="s">
        <v>2008</v>
      </c>
      <c r="D527" t="s">
        <v>16</v>
      </c>
      <c r="E527" s="13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2010</v>
      </c>
      <c r="B528" s="2">
        <v>45351</v>
      </c>
      <c r="C528" t="s">
        <v>2011</v>
      </c>
      <c r="D528" t="s">
        <v>73</v>
      </c>
      <c r="E528" s="13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5">
      <c r="A529" t="s">
        <v>2013</v>
      </c>
      <c r="B529" s="2">
        <v>45523</v>
      </c>
      <c r="C529" t="s">
        <v>2014</v>
      </c>
      <c r="D529" t="s">
        <v>41</v>
      </c>
      <c r="E529" s="13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2016</v>
      </c>
      <c r="B530" s="2">
        <v>45714</v>
      </c>
      <c r="C530" t="s">
        <v>2017</v>
      </c>
      <c r="D530" t="s">
        <v>41</v>
      </c>
      <c r="E530" s="13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2019</v>
      </c>
      <c r="B531" s="2">
        <v>45389</v>
      </c>
      <c r="C531" t="s">
        <v>2020</v>
      </c>
      <c r="D531" t="s">
        <v>32</v>
      </c>
      <c r="E531" s="13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5">
      <c r="A532" t="s">
        <v>2023</v>
      </c>
      <c r="B532" s="2">
        <v>45491</v>
      </c>
      <c r="C532" t="s">
        <v>2024</v>
      </c>
      <c r="D532" t="s">
        <v>41</v>
      </c>
      <c r="E532" s="13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35">
      <c r="A533" t="s">
        <v>2027</v>
      </c>
      <c r="B533" s="2">
        <v>45475</v>
      </c>
      <c r="C533" t="s">
        <v>2028</v>
      </c>
      <c r="D533" t="s">
        <v>73</v>
      </c>
      <c r="E533" s="1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35">
      <c r="A534" t="s">
        <v>2031</v>
      </c>
      <c r="B534" s="2">
        <v>45780</v>
      </c>
      <c r="C534" t="s">
        <v>2032</v>
      </c>
      <c r="D534" t="s">
        <v>58</v>
      </c>
      <c r="E534" s="13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35">
      <c r="A535" t="s">
        <v>2035</v>
      </c>
      <c r="B535" s="2">
        <v>44990</v>
      </c>
      <c r="C535" t="s">
        <v>2036</v>
      </c>
      <c r="D535" t="s">
        <v>73</v>
      </c>
      <c r="E535" s="13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2038</v>
      </c>
      <c r="B536" s="2">
        <v>45449</v>
      </c>
      <c r="C536" t="s">
        <v>2039</v>
      </c>
      <c r="D536" t="s">
        <v>41</v>
      </c>
      <c r="E536" s="13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2042</v>
      </c>
      <c r="B537" s="2">
        <v>45497</v>
      </c>
      <c r="C537" t="s">
        <v>2043</v>
      </c>
      <c r="D537" t="s">
        <v>16</v>
      </c>
      <c r="E537" s="13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2045</v>
      </c>
      <c r="B538" s="2">
        <v>45452</v>
      </c>
      <c r="C538" t="s">
        <v>2046</v>
      </c>
      <c r="D538" t="s">
        <v>41</v>
      </c>
      <c r="E538" s="13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35">
      <c r="A539" t="s">
        <v>2049</v>
      </c>
      <c r="B539" s="2">
        <v>45739</v>
      </c>
      <c r="C539" t="s">
        <v>2050</v>
      </c>
      <c r="D539" t="s">
        <v>32</v>
      </c>
      <c r="E539" s="13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2052</v>
      </c>
      <c r="B540" s="2">
        <v>45436</v>
      </c>
      <c r="C540" t="s">
        <v>2053</v>
      </c>
      <c r="D540" t="s">
        <v>25</v>
      </c>
      <c r="E540" s="13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5">
      <c r="A541" t="s">
        <v>2056</v>
      </c>
      <c r="B541" s="2">
        <v>45706</v>
      </c>
      <c r="C541" t="s">
        <v>2057</v>
      </c>
      <c r="D541" t="s">
        <v>73</v>
      </c>
      <c r="E541" s="13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5">
      <c r="A542" t="s">
        <v>2060</v>
      </c>
      <c r="B542" s="2">
        <v>45320</v>
      </c>
      <c r="C542" t="s">
        <v>2061</v>
      </c>
      <c r="D542" t="s">
        <v>58</v>
      </c>
      <c r="E542" s="13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35">
      <c r="A543" t="s">
        <v>2064</v>
      </c>
      <c r="B543" s="2">
        <v>45145</v>
      </c>
      <c r="C543" t="s">
        <v>2065</v>
      </c>
      <c r="D543" t="s">
        <v>48</v>
      </c>
      <c r="E543" s="1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35">
      <c r="A544" t="s">
        <v>2068</v>
      </c>
      <c r="B544" s="2">
        <v>45244</v>
      </c>
      <c r="C544" t="s">
        <v>2069</v>
      </c>
      <c r="D544" t="s">
        <v>32</v>
      </c>
      <c r="E544" s="13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2071</v>
      </c>
      <c r="B545" s="2">
        <v>45360</v>
      </c>
      <c r="C545" t="s">
        <v>2072</v>
      </c>
      <c r="D545" t="s">
        <v>73</v>
      </c>
      <c r="E545" s="13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5">
      <c r="A546" t="s">
        <v>2074</v>
      </c>
      <c r="B546" s="2">
        <v>45361</v>
      </c>
      <c r="C546" t="s">
        <v>2075</v>
      </c>
      <c r="D546" t="s">
        <v>48</v>
      </c>
      <c r="E546" s="13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2077</v>
      </c>
      <c r="B547" s="2">
        <v>45279</v>
      </c>
      <c r="C547" t="s">
        <v>2078</v>
      </c>
      <c r="D547" t="s">
        <v>16</v>
      </c>
      <c r="E547" s="13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35">
      <c r="A548" t="s">
        <v>2081</v>
      </c>
      <c r="B548" s="2">
        <v>45352</v>
      </c>
      <c r="C548" t="s">
        <v>2082</v>
      </c>
      <c r="D548" t="s">
        <v>16</v>
      </c>
      <c r="E548" s="13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5">
      <c r="A549" t="s">
        <v>2084</v>
      </c>
      <c r="B549" s="2">
        <v>45158</v>
      </c>
      <c r="C549" t="s">
        <v>2085</v>
      </c>
      <c r="D549" t="s">
        <v>25</v>
      </c>
      <c r="E549" s="13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2088</v>
      </c>
      <c r="B550" s="2">
        <v>45296</v>
      </c>
      <c r="C550" t="s">
        <v>2089</v>
      </c>
      <c r="D550" t="s">
        <v>48</v>
      </c>
      <c r="E550" s="13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5">
      <c r="A551" t="s">
        <v>2091</v>
      </c>
      <c r="B551" s="2">
        <v>45713</v>
      </c>
      <c r="C551" t="s">
        <v>2092</v>
      </c>
      <c r="D551" t="s">
        <v>16</v>
      </c>
      <c r="E551" s="13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5">
      <c r="A552" t="s">
        <v>2095</v>
      </c>
      <c r="B552" s="2">
        <v>45228</v>
      </c>
      <c r="C552" t="s">
        <v>2096</v>
      </c>
      <c r="D552" t="s">
        <v>58</v>
      </c>
      <c r="E552" s="13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5">
      <c r="A553" t="s">
        <v>2098</v>
      </c>
      <c r="B553" s="2">
        <v>45064</v>
      </c>
      <c r="C553" t="s">
        <v>2099</v>
      </c>
      <c r="D553" t="s">
        <v>58</v>
      </c>
      <c r="E553" s="1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5">
      <c r="A554" t="s">
        <v>2101</v>
      </c>
      <c r="B554" s="2">
        <v>45199</v>
      </c>
      <c r="C554" t="s">
        <v>2102</v>
      </c>
      <c r="D554" t="s">
        <v>41</v>
      </c>
      <c r="E554" s="13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5">
      <c r="A555" t="s">
        <v>2104</v>
      </c>
      <c r="B555" s="2">
        <v>45161</v>
      </c>
      <c r="C555" t="s">
        <v>2105</v>
      </c>
      <c r="D555" t="s">
        <v>25</v>
      </c>
      <c r="E555" s="13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2108</v>
      </c>
      <c r="B556" s="2">
        <v>45807</v>
      </c>
      <c r="C556" t="s">
        <v>2109</v>
      </c>
      <c r="D556" t="s">
        <v>58</v>
      </c>
      <c r="E556" s="13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2111</v>
      </c>
      <c r="B557" s="2">
        <v>44933</v>
      </c>
      <c r="C557" t="s">
        <v>2112</v>
      </c>
      <c r="D557" t="s">
        <v>32</v>
      </c>
      <c r="E557" s="13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35">
      <c r="A558" t="s">
        <v>2114</v>
      </c>
      <c r="B558" s="2">
        <v>44954</v>
      </c>
      <c r="C558" t="s">
        <v>2115</v>
      </c>
      <c r="D558" t="s">
        <v>58</v>
      </c>
      <c r="E558" s="13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2118</v>
      </c>
      <c r="B559" s="2">
        <v>45106</v>
      </c>
      <c r="C559" t="s">
        <v>2119</v>
      </c>
      <c r="D559" t="s">
        <v>32</v>
      </c>
      <c r="E559" s="13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5">
      <c r="A560" t="s">
        <v>2122</v>
      </c>
      <c r="B560" s="2">
        <v>45489</v>
      </c>
      <c r="C560" t="s">
        <v>2123</v>
      </c>
      <c r="D560" t="s">
        <v>25</v>
      </c>
      <c r="E560" s="13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5">
      <c r="A561" t="s">
        <v>2126</v>
      </c>
      <c r="B561" s="2">
        <v>45397</v>
      </c>
      <c r="C561" t="s">
        <v>2127</v>
      </c>
      <c r="D561" t="s">
        <v>73</v>
      </c>
      <c r="E561" s="13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5">
      <c r="A562" t="s">
        <v>2129</v>
      </c>
      <c r="B562" s="2">
        <v>44957</v>
      </c>
      <c r="C562" t="s">
        <v>2130</v>
      </c>
      <c r="D562" t="s">
        <v>16</v>
      </c>
      <c r="E562" s="13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35">
      <c r="A563" t="s">
        <v>2133</v>
      </c>
      <c r="B563" s="2">
        <v>44957</v>
      </c>
      <c r="C563" t="s">
        <v>2134</v>
      </c>
      <c r="D563" t="s">
        <v>48</v>
      </c>
      <c r="E563" s="1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35">
      <c r="A564" t="s">
        <v>2137</v>
      </c>
      <c r="B564" s="2">
        <v>45205</v>
      </c>
      <c r="C564" t="s">
        <v>2138</v>
      </c>
      <c r="D564" t="s">
        <v>58</v>
      </c>
      <c r="E564" s="13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2140</v>
      </c>
      <c r="B565" s="2">
        <v>45272</v>
      </c>
      <c r="C565" t="s">
        <v>2141</v>
      </c>
      <c r="D565" t="s">
        <v>58</v>
      </c>
      <c r="E565" s="13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2144</v>
      </c>
      <c r="B566" s="2">
        <v>45755</v>
      </c>
      <c r="C566" t="s">
        <v>2145</v>
      </c>
      <c r="D566" t="s">
        <v>73</v>
      </c>
      <c r="E566" s="13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5">
      <c r="A567" t="s">
        <v>2148</v>
      </c>
      <c r="B567" s="2">
        <v>45060</v>
      </c>
      <c r="C567" t="s">
        <v>2149</v>
      </c>
      <c r="D567" t="s">
        <v>32</v>
      </c>
      <c r="E567" s="13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35">
      <c r="A568" t="s">
        <v>2151</v>
      </c>
      <c r="B568" s="2">
        <v>45400</v>
      </c>
      <c r="C568" t="s">
        <v>2152</v>
      </c>
      <c r="D568" t="s">
        <v>25</v>
      </c>
      <c r="E568" s="13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2155</v>
      </c>
      <c r="B569" s="2">
        <v>45565</v>
      </c>
      <c r="C569" t="s">
        <v>2156</v>
      </c>
      <c r="D569" t="s">
        <v>41</v>
      </c>
      <c r="E569" s="13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2158</v>
      </c>
      <c r="B570" s="2">
        <v>44995</v>
      </c>
      <c r="C570" t="s">
        <v>2159</v>
      </c>
      <c r="D570" t="s">
        <v>58</v>
      </c>
      <c r="E570" s="13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35">
      <c r="A571" t="s">
        <v>2161</v>
      </c>
      <c r="B571" s="2">
        <v>45738</v>
      </c>
      <c r="C571" t="s">
        <v>2162</v>
      </c>
      <c r="D571" t="s">
        <v>73</v>
      </c>
      <c r="E571" s="13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2164</v>
      </c>
      <c r="B572" s="2">
        <v>45653</v>
      </c>
      <c r="C572" t="s">
        <v>2165</v>
      </c>
      <c r="D572" t="s">
        <v>73</v>
      </c>
      <c r="E572" s="13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2167</v>
      </c>
      <c r="B573" s="2">
        <v>45619</v>
      </c>
      <c r="C573" t="s">
        <v>2168</v>
      </c>
      <c r="D573" t="s">
        <v>32</v>
      </c>
      <c r="E573" s="1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5">
      <c r="A574" t="s">
        <v>2170</v>
      </c>
      <c r="B574" s="2">
        <v>45241</v>
      </c>
      <c r="C574" t="s">
        <v>2171</v>
      </c>
      <c r="D574" t="s">
        <v>48</v>
      </c>
      <c r="E574" s="13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5">
      <c r="A575" t="s">
        <v>2173</v>
      </c>
      <c r="B575" s="2">
        <v>44951</v>
      </c>
      <c r="C575" t="s">
        <v>2174</v>
      </c>
      <c r="D575" t="s">
        <v>41</v>
      </c>
      <c r="E575" s="13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35">
      <c r="A576" t="s">
        <v>2176</v>
      </c>
      <c r="B576" s="2">
        <v>45315</v>
      </c>
      <c r="C576" t="s">
        <v>2177</v>
      </c>
      <c r="D576" t="s">
        <v>41</v>
      </c>
      <c r="E576" s="13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2179</v>
      </c>
      <c r="B577" s="2">
        <v>45084</v>
      </c>
      <c r="C577" t="s">
        <v>2180</v>
      </c>
      <c r="D577" t="s">
        <v>41</v>
      </c>
      <c r="E577" s="13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5">
      <c r="A578" t="s">
        <v>2183</v>
      </c>
      <c r="B578" s="2">
        <v>45441</v>
      </c>
      <c r="C578" t="s">
        <v>2184</v>
      </c>
      <c r="D578" t="s">
        <v>58</v>
      </c>
      <c r="E578" s="13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35">
      <c r="A579" t="s">
        <v>2186</v>
      </c>
      <c r="B579" s="2">
        <v>44948</v>
      </c>
      <c r="C579" t="s">
        <v>2187</v>
      </c>
      <c r="D579" t="s">
        <v>32</v>
      </c>
      <c r="E579" s="13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5">
      <c r="A580" t="s">
        <v>2189</v>
      </c>
      <c r="B580" s="2">
        <v>45575</v>
      </c>
      <c r="C580" t="s">
        <v>2190</v>
      </c>
      <c r="D580" t="s">
        <v>16</v>
      </c>
      <c r="E580" s="13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2192</v>
      </c>
      <c r="B581" s="2">
        <v>45081</v>
      </c>
      <c r="C581" t="s">
        <v>2193</v>
      </c>
      <c r="D581" t="s">
        <v>32</v>
      </c>
      <c r="E581" s="13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5">
      <c r="A582" t="s">
        <v>2195</v>
      </c>
      <c r="B582" s="2">
        <v>45244</v>
      </c>
      <c r="C582" t="s">
        <v>2196</v>
      </c>
      <c r="D582" t="s">
        <v>16</v>
      </c>
      <c r="E582" s="13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2199</v>
      </c>
      <c r="B583" s="2">
        <v>45607</v>
      </c>
      <c r="C583" t="s">
        <v>2200</v>
      </c>
      <c r="D583" t="s">
        <v>58</v>
      </c>
      <c r="E583" s="1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35">
      <c r="A584" t="s">
        <v>2202</v>
      </c>
      <c r="B584" s="2">
        <v>45341</v>
      </c>
      <c r="C584" t="s">
        <v>2203</v>
      </c>
      <c r="D584" t="s">
        <v>32</v>
      </c>
      <c r="E584" s="13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5">
      <c r="A585" t="s">
        <v>2205</v>
      </c>
      <c r="B585" s="2">
        <v>45823</v>
      </c>
      <c r="C585" t="s">
        <v>2206</v>
      </c>
      <c r="D585" t="s">
        <v>41</v>
      </c>
      <c r="E585" s="13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35">
      <c r="A586" t="s">
        <v>2208</v>
      </c>
      <c r="B586" s="2">
        <v>45737</v>
      </c>
      <c r="C586" t="s">
        <v>2209</v>
      </c>
      <c r="D586" t="s">
        <v>41</v>
      </c>
      <c r="E586" s="13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5">
      <c r="A587" t="s">
        <v>2212</v>
      </c>
      <c r="B587" s="2">
        <v>45158</v>
      </c>
      <c r="C587" t="s">
        <v>2213</v>
      </c>
      <c r="D587" t="s">
        <v>32</v>
      </c>
      <c r="E587" s="13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5">
      <c r="A588" t="s">
        <v>2215</v>
      </c>
      <c r="B588" s="2">
        <v>45606</v>
      </c>
      <c r="C588" t="s">
        <v>2216</v>
      </c>
      <c r="D588" t="s">
        <v>16</v>
      </c>
      <c r="E588" s="13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2219</v>
      </c>
      <c r="B589" s="2">
        <v>45089</v>
      </c>
      <c r="C589" t="s">
        <v>2220</v>
      </c>
      <c r="D589" t="s">
        <v>16</v>
      </c>
      <c r="E589" s="13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2223</v>
      </c>
      <c r="B590" s="2">
        <v>45636</v>
      </c>
      <c r="C590" t="s">
        <v>2224</v>
      </c>
      <c r="D590" t="s">
        <v>16</v>
      </c>
      <c r="E590" s="13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35">
      <c r="A591" t="s">
        <v>2226</v>
      </c>
      <c r="B591" s="2">
        <v>45698</v>
      </c>
      <c r="C591" t="s">
        <v>2227</v>
      </c>
      <c r="D591" t="s">
        <v>58</v>
      </c>
      <c r="E591" s="13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2230</v>
      </c>
      <c r="B592" s="2">
        <v>45179</v>
      </c>
      <c r="C592" t="s">
        <v>2231</v>
      </c>
      <c r="D592" t="s">
        <v>48</v>
      </c>
      <c r="E592" s="13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35">
      <c r="A593" t="s">
        <v>2234</v>
      </c>
      <c r="B593" s="2">
        <v>45614</v>
      </c>
      <c r="C593" t="s">
        <v>2235</v>
      </c>
      <c r="D593" t="s">
        <v>58</v>
      </c>
      <c r="E593" s="1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2238</v>
      </c>
      <c r="B594" s="2">
        <v>45405</v>
      </c>
      <c r="C594" t="s">
        <v>2239</v>
      </c>
      <c r="D594" t="s">
        <v>25</v>
      </c>
      <c r="E594" s="13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35">
      <c r="A595" t="s">
        <v>2241</v>
      </c>
      <c r="B595" s="2">
        <v>45140</v>
      </c>
      <c r="C595" t="s">
        <v>2242</v>
      </c>
      <c r="D595" t="s">
        <v>16</v>
      </c>
      <c r="E595" s="13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2244</v>
      </c>
      <c r="B596" s="2">
        <v>45343</v>
      </c>
      <c r="C596" t="s">
        <v>2245</v>
      </c>
      <c r="D596" t="s">
        <v>25</v>
      </c>
      <c r="E596" s="13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35">
      <c r="A597" t="s">
        <v>2247</v>
      </c>
      <c r="B597" s="2">
        <v>45667</v>
      </c>
      <c r="C597" t="s">
        <v>2248</v>
      </c>
      <c r="D597" t="s">
        <v>48</v>
      </c>
      <c r="E597" s="13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2251</v>
      </c>
      <c r="B598" s="2">
        <v>45089</v>
      </c>
      <c r="C598" t="s">
        <v>2252</v>
      </c>
      <c r="D598" t="s">
        <v>73</v>
      </c>
      <c r="E598" s="13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2255</v>
      </c>
      <c r="B599" s="2">
        <v>45621</v>
      </c>
      <c r="C599" t="s">
        <v>2256</v>
      </c>
      <c r="D599" t="s">
        <v>73</v>
      </c>
      <c r="E599" s="13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5">
      <c r="A600" t="s">
        <v>2259</v>
      </c>
      <c r="B600" s="2">
        <v>45408</v>
      </c>
      <c r="C600" t="s">
        <v>2260</v>
      </c>
      <c r="D600" t="s">
        <v>73</v>
      </c>
      <c r="E600" s="13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35">
      <c r="A601" t="s">
        <v>2262</v>
      </c>
      <c r="B601" s="2">
        <v>45107</v>
      </c>
      <c r="C601" t="s">
        <v>2263</v>
      </c>
      <c r="D601" t="s">
        <v>41</v>
      </c>
      <c r="E601" s="13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2265</v>
      </c>
      <c r="B602" s="2">
        <v>45072</v>
      </c>
      <c r="C602" t="s">
        <v>2266</v>
      </c>
      <c r="D602" t="s">
        <v>48</v>
      </c>
      <c r="E602" s="13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2268</v>
      </c>
      <c r="B603" s="2">
        <v>45201</v>
      </c>
      <c r="C603" t="s">
        <v>2269</v>
      </c>
      <c r="D603" t="s">
        <v>16</v>
      </c>
      <c r="E603" s="1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35">
      <c r="A604" t="s">
        <v>2272</v>
      </c>
      <c r="B604" s="2">
        <v>45356</v>
      </c>
      <c r="C604" t="s">
        <v>1858</v>
      </c>
      <c r="D604" t="s">
        <v>32</v>
      </c>
      <c r="E604" s="13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2274</v>
      </c>
      <c r="B605" s="2">
        <v>45569</v>
      </c>
      <c r="C605" t="s">
        <v>2275</v>
      </c>
      <c r="D605" t="s">
        <v>32</v>
      </c>
      <c r="E605" s="13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5">
      <c r="A606" t="s">
        <v>2278</v>
      </c>
      <c r="B606" s="2">
        <v>45830</v>
      </c>
      <c r="C606" t="s">
        <v>2279</v>
      </c>
      <c r="D606" t="s">
        <v>41</v>
      </c>
      <c r="E606" s="13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35">
      <c r="A607" t="s">
        <v>2281</v>
      </c>
      <c r="B607" s="2">
        <v>45422</v>
      </c>
      <c r="C607" t="s">
        <v>2282</v>
      </c>
      <c r="D607" t="s">
        <v>16</v>
      </c>
      <c r="E607" s="13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2285</v>
      </c>
      <c r="B608" s="2">
        <v>45602</v>
      </c>
      <c r="C608" t="s">
        <v>2286</v>
      </c>
      <c r="D608" t="s">
        <v>58</v>
      </c>
      <c r="E608" s="13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5">
      <c r="A609" t="s">
        <v>2288</v>
      </c>
      <c r="B609" s="2">
        <v>45808</v>
      </c>
      <c r="C609" t="s">
        <v>2289</v>
      </c>
      <c r="D609" t="s">
        <v>48</v>
      </c>
      <c r="E609" s="13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5">
      <c r="A610" t="s">
        <v>2292</v>
      </c>
      <c r="B610" s="2">
        <v>45497</v>
      </c>
      <c r="C610" t="s">
        <v>2293</v>
      </c>
      <c r="D610" t="s">
        <v>58</v>
      </c>
      <c r="E610" s="13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2296</v>
      </c>
      <c r="B611" s="2">
        <v>45684</v>
      </c>
      <c r="C611" t="s">
        <v>2297</v>
      </c>
      <c r="D611" t="s">
        <v>41</v>
      </c>
      <c r="E611" s="13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5">
      <c r="A612" t="s">
        <v>2300</v>
      </c>
      <c r="B612" s="2">
        <v>45459</v>
      </c>
      <c r="C612" t="s">
        <v>2301</v>
      </c>
      <c r="D612" t="s">
        <v>73</v>
      </c>
      <c r="E612" s="13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2303</v>
      </c>
      <c r="B613" s="2">
        <v>45037</v>
      </c>
      <c r="C613" t="s">
        <v>2304</v>
      </c>
      <c r="D613" t="s">
        <v>73</v>
      </c>
      <c r="E613" s="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5">
      <c r="A614" t="s">
        <v>2306</v>
      </c>
      <c r="B614" s="2">
        <v>45079</v>
      </c>
      <c r="C614" t="s">
        <v>2307</v>
      </c>
      <c r="D614" t="s">
        <v>41</v>
      </c>
      <c r="E614" s="13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35">
      <c r="A615" t="s">
        <v>2309</v>
      </c>
      <c r="B615" s="2">
        <v>45645</v>
      </c>
      <c r="C615" t="s">
        <v>2310</v>
      </c>
      <c r="D615" t="s">
        <v>58</v>
      </c>
      <c r="E615" s="13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5">
      <c r="A616" t="s">
        <v>2313</v>
      </c>
      <c r="B616" s="2">
        <v>45359</v>
      </c>
      <c r="C616" t="s">
        <v>2314</v>
      </c>
      <c r="D616" t="s">
        <v>25</v>
      </c>
      <c r="E616" s="13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35">
      <c r="A617" t="s">
        <v>2316</v>
      </c>
      <c r="B617" s="2">
        <v>45723</v>
      </c>
      <c r="C617" t="s">
        <v>2317</v>
      </c>
      <c r="D617" t="s">
        <v>16</v>
      </c>
      <c r="E617" s="13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5">
      <c r="A618" t="s">
        <v>2319</v>
      </c>
      <c r="B618" s="2">
        <v>45582</v>
      </c>
      <c r="C618" t="s">
        <v>2320</v>
      </c>
      <c r="D618" t="s">
        <v>32</v>
      </c>
      <c r="E618" s="13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2323</v>
      </c>
      <c r="B619" s="2">
        <v>45330</v>
      </c>
      <c r="C619" t="s">
        <v>2324</v>
      </c>
      <c r="D619" t="s">
        <v>32</v>
      </c>
      <c r="E619" s="13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35">
      <c r="A620" t="s">
        <v>2327</v>
      </c>
      <c r="B620" s="2">
        <v>45538</v>
      </c>
      <c r="C620" t="s">
        <v>2328</v>
      </c>
      <c r="D620" t="s">
        <v>32</v>
      </c>
      <c r="E620" s="13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35">
      <c r="A621" t="s">
        <v>2331</v>
      </c>
      <c r="B621" s="2">
        <v>45489</v>
      </c>
      <c r="C621" t="s">
        <v>2332</v>
      </c>
      <c r="D621" t="s">
        <v>58</v>
      </c>
      <c r="E621" s="13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35">
      <c r="A622" t="s">
        <v>2334</v>
      </c>
      <c r="B622" s="2">
        <v>45378</v>
      </c>
      <c r="C622" t="s">
        <v>2335</v>
      </c>
      <c r="D622" t="s">
        <v>32</v>
      </c>
      <c r="E622" s="13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2338</v>
      </c>
      <c r="B623" s="2">
        <v>45221</v>
      </c>
      <c r="C623" t="s">
        <v>2339</v>
      </c>
      <c r="D623" t="s">
        <v>25</v>
      </c>
      <c r="E623" s="1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5">
      <c r="A624" t="s">
        <v>2341</v>
      </c>
      <c r="B624" s="2">
        <v>45598</v>
      </c>
      <c r="C624" t="s">
        <v>2342</v>
      </c>
      <c r="D624" t="s">
        <v>73</v>
      </c>
      <c r="E624" s="13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35">
      <c r="A625" t="s">
        <v>2344</v>
      </c>
      <c r="B625" s="2">
        <v>45093</v>
      </c>
      <c r="C625" t="s">
        <v>2345</v>
      </c>
      <c r="D625" t="s">
        <v>48</v>
      </c>
      <c r="E625" s="13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2348</v>
      </c>
      <c r="B626" s="2">
        <v>45307</v>
      </c>
      <c r="C626" t="s">
        <v>2349</v>
      </c>
      <c r="D626" t="s">
        <v>32</v>
      </c>
      <c r="E626" s="13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35">
      <c r="A627" t="s">
        <v>2351</v>
      </c>
      <c r="B627" s="2">
        <v>45193</v>
      </c>
      <c r="C627" t="s">
        <v>2352</v>
      </c>
      <c r="D627" t="s">
        <v>32</v>
      </c>
      <c r="E627" s="13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5">
      <c r="A628" t="s">
        <v>2355</v>
      </c>
      <c r="B628" s="2">
        <v>45352</v>
      </c>
      <c r="C628" t="s">
        <v>2356</v>
      </c>
      <c r="D628" t="s">
        <v>32</v>
      </c>
      <c r="E628" s="13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2358</v>
      </c>
      <c r="B629" s="2">
        <v>45144</v>
      </c>
      <c r="C629" t="s">
        <v>2359</v>
      </c>
      <c r="D629" t="s">
        <v>41</v>
      </c>
      <c r="E629" s="13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2361</v>
      </c>
      <c r="B630" s="2">
        <v>45011</v>
      </c>
      <c r="C630" t="s">
        <v>2362</v>
      </c>
      <c r="D630" t="s">
        <v>48</v>
      </c>
      <c r="E630" s="13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2365</v>
      </c>
      <c r="B631" s="2">
        <v>45114</v>
      </c>
      <c r="C631" t="s">
        <v>2366</v>
      </c>
      <c r="D631" t="s">
        <v>25</v>
      </c>
      <c r="E631" s="13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35">
      <c r="A632" t="s">
        <v>2369</v>
      </c>
      <c r="B632" s="2">
        <v>45100</v>
      </c>
      <c r="C632" t="s">
        <v>2370</v>
      </c>
      <c r="D632" t="s">
        <v>16</v>
      </c>
      <c r="E632" s="13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35">
      <c r="A633" t="s">
        <v>2373</v>
      </c>
      <c r="B633" s="2">
        <v>45535</v>
      </c>
      <c r="C633" t="s">
        <v>2374</v>
      </c>
      <c r="D633" t="s">
        <v>41</v>
      </c>
      <c r="E633" s="1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5">
      <c r="A634" t="s">
        <v>2376</v>
      </c>
      <c r="B634" s="2">
        <v>45048</v>
      </c>
      <c r="C634" t="s">
        <v>2377</v>
      </c>
      <c r="D634" t="s">
        <v>58</v>
      </c>
      <c r="E634" s="13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5">
      <c r="A635" t="s">
        <v>2379</v>
      </c>
      <c r="B635" s="2">
        <v>45392</v>
      </c>
      <c r="C635" t="s">
        <v>2380</v>
      </c>
      <c r="D635" t="s">
        <v>58</v>
      </c>
      <c r="E635" s="13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5">
      <c r="A636" t="s">
        <v>2382</v>
      </c>
      <c r="B636" s="2">
        <v>45407</v>
      </c>
      <c r="C636" t="s">
        <v>2383</v>
      </c>
      <c r="D636" t="s">
        <v>48</v>
      </c>
      <c r="E636" s="13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5">
      <c r="A637" t="s">
        <v>2386</v>
      </c>
      <c r="B637" s="2">
        <v>45273</v>
      </c>
      <c r="C637" t="s">
        <v>2387</v>
      </c>
      <c r="D637" t="s">
        <v>41</v>
      </c>
      <c r="E637" s="13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35">
      <c r="A638" t="s">
        <v>2389</v>
      </c>
      <c r="B638" s="2">
        <v>45204</v>
      </c>
      <c r="C638" t="s">
        <v>2390</v>
      </c>
      <c r="D638" t="s">
        <v>58</v>
      </c>
      <c r="E638" s="13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5">
      <c r="A639" t="s">
        <v>2392</v>
      </c>
      <c r="B639" s="2">
        <v>45564</v>
      </c>
      <c r="C639" t="s">
        <v>2393</v>
      </c>
      <c r="D639" t="s">
        <v>41</v>
      </c>
      <c r="E639" s="13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5">
      <c r="A640" t="s">
        <v>2396</v>
      </c>
      <c r="B640" s="2">
        <v>45214</v>
      </c>
      <c r="C640" t="s">
        <v>2397</v>
      </c>
      <c r="D640" t="s">
        <v>32</v>
      </c>
      <c r="E640" s="13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5">
      <c r="A641" t="s">
        <v>2400</v>
      </c>
      <c r="B641" s="2">
        <v>44946</v>
      </c>
      <c r="C641" t="s">
        <v>2401</v>
      </c>
      <c r="D641" t="s">
        <v>41</v>
      </c>
      <c r="E641" s="13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35">
      <c r="A642" t="s">
        <v>2403</v>
      </c>
      <c r="B642" s="2">
        <v>45349</v>
      </c>
      <c r="C642" t="s">
        <v>2404</v>
      </c>
      <c r="D642" t="s">
        <v>41</v>
      </c>
      <c r="E642" s="13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2406</v>
      </c>
      <c r="B643" s="2">
        <v>45473</v>
      </c>
      <c r="C643" t="s">
        <v>2407</v>
      </c>
      <c r="D643" t="s">
        <v>48</v>
      </c>
      <c r="E643" s="1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5">
      <c r="A644" t="s">
        <v>2409</v>
      </c>
      <c r="B644" s="2">
        <v>45411</v>
      </c>
      <c r="C644" t="s">
        <v>2410</v>
      </c>
      <c r="D644" t="s">
        <v>41</v>
      </c>
      <c r="E644" s="13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2413</v>
      </c>
      <c r="B645" s="2">
        <v>45530</v>
      </c>
      <c r="C645" t="s">
        <v>2414</v>
      </c>
      <c r="D645" t="s">
        <v>58</v>
      </c>
      <c r="E645" s="13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2416</v>
      </c>
      <c r="B646" s="2">
        <v>45245</v>
      </c>
      <c r="C646" t="s">
        <v>2417</v>
      </c>
      <c r="D646" t="s">
        <v>41</v>
      </c>
      <c r="E646" s="13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5">
      <c r="A647" t="s">
        <v>2420</v>
      </c>
      <c r="B647" s="2">
        <v>44928</v>
      </c>
      <c r="C647" t="s">
        <v>2421</v>
      </c>
      <c r="D647" t="s">
        <v>58</v>
      </c>
      <c r="E647" s="13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2423</v>
      </c>
      <c r="B648" s="2">
        <v>45226</v>
      </c>
      <c r="C648" t="s">
        <v>2424</v>
      </c>
      <c r="D648" t="s">
        <v>41</v>
      </c>
      <c r="E648" s="13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5">
      <c r="A649" t="s">
        <v>2427</v>
      </c>
      <c r="B649" s="2">
        <v>45771</v>
      </c>
      <c r="C649" t="s">
        <v>2428</v>
      </c>
      <c r="D649" t="s">
        <v>73</v>
      </c>
      <c r="E649" s="13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5">
      <c r="A650" t="s">
        <v>2430</v>
      </c>
      <c r="B650" s="2">
        <v>45675</v>
      </c>
      <c r="C650" t="s">
        <v>2431</v>
      </c>
      <c r="D650" t="s">
        <v>16</v>
      </c>
      <c r="E650" s="13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5">
      <c r="A651" t="s">
        <v>2434</v>
      </c>
      <c r="B651" s="2">
        <v>45283</v>
      </c>
      <c r="C651" t="s">
        <v>2435</v>
      </c>
      <c r="D651" t="s">
        <v>16</v>
      </c>
      <c r="E651" s="13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2437</v>
      </c>
      <c r="B652" s="2">
        <v>45064</v>
      </c>
      <c r="C652" t="s">
        <v>2438</v>
      </c>
      <c r="D652" t="s">
        <v>73</v>
      </c>
      <c r="E652" s="13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2441</v>
      </c>
      <c r="B653" s="2">
        <v>45608</v>
      </c>
      <c r="C653" t="s">
        <v>2442</v>
      </c>
      <c r="D653" t="s">
        <v>41</v>
      </c>
      <c r="E653" s="1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35">
      <c r="A654" t="s">
        <v>2444</v>
      </c>
      <c r="B654" s="2">
        <v>45448</v>
      </c>
      <c r="C654" t="s">
        <v>2445</v>
      </c>
      <c r="D654" t="s">
        <v>41</v>
      </c>
      <c r="E654" s="13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2448</v>
      </c>
      <c r="B655" s="2">
        <v>45347</v>
      </c>
      <c r="C655" t="s">
        <v>2449</v>
      </c>
      <c r="D655" t="s">
        <v>48</v>
      </c>
      <c r="E655" s="13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5">
      <c r="A656" t="s">
        <v>2451</v>
      </c>
      <c r="B656" s="2">
        <v>45089</v>
      </c>
      <c r="C656" t="s">
        <v>2452</v>
      </c>
      <c r="D656" t="s">
        <v>32</v>
      </c>
      <c r="E656" s="13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35">
      <c r="A657" t="s">
        <v>2455</v>
      </c>
      <c r="B657" s="2">
        <v>44999</v>
      </c>
      <c r="C657" t="s">
        <v>2456</v>
      </c>
      <c r="D657" t="s">
        <v>41</v>
      </c>
      <c r="E657" s="13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5">
      <c r="A658" t="s">
        <v>2458</v>
      </c>
      <c r="B658" s="2">
        <v>45309</v>
      </c>
      <c r="C658" t="s">
        <v>2459</v>
      </c>
      <c r="D658" t="s">
        <v>16</v>
      </c>
      <c r="E658" s="13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2462</v>
      </c>
      <c r="B659" s="2">
        <v>45284</v>
      </c>
      <c r="C659" t="s">
        <v>2463</v>
      </c>
      <c r="D659" t="s">
        <v>32</v>
      </c>
      <c r="E659" s="13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2465</v>
      </c>
      <c r="B660" s="2">
        <v>45765</v>
      </c>
      <c r="C660" t="s">
        <v>2466</v>
      </c>
      <c r="D660" t="s">
        <v>48</v>
      </c>
      <c r="E660" s="13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5">
      <c r="A661" t="s">
        <v>2468</v>
      </c>
      <c r="B661" s="2">
        <v>45591</v>
      </c>
      <c r="C661" t="s">
        <v>2469</v>
      </c>
      <c r="D661" t="s">
        <v>25</v>
      </c>
      <c r="E661" s="13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5">
      <c r="A662" t="s">
        <v>2471</v>
      </c>
      <c r="B662" s="2">
        <v>45584</v>
      </c>
      <c r="C662" t="s">
        <v>2472</v>
      </c>
      <c r="D662" t="s">
        <v>41</v>
      </c>
      <c r="E662" s="13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5">
      <c r="A663" t="s">
        <v>2474</v>
      </c>
      <c r="B663" s="2">
        <v>45716</v>
      </c>
      <c r="C663" t="s">
        <v>2475</v>
      </c>
      <c r="D663" t="s">
        <v>32</v>
      </c>
      <c r="E663" s="1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5">
      <c r="A664" t="s">
        <v>2478</v>
      </c>
      <c r="B664" s="2">
        <v>44954</v>
      </c>
      <c r="C664" t="s">
        <v>2479</v>
      </c>
      <c r="D664" t="s">
        <v>58</v>
      </c>
      <c r="E664" s="13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35">
      <c r="A665" t="s">
        <v>2482</v>
      </c>
      <c r="B665" s="2">
        <v>45397</v>
      </c>
      <c r="C665" t="s">
        <v>2483</v>
      </c>
      <c r="D665" t="s">
        <v>16</v>
      </c>
      <c r="E665" s="13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2485</v>
      </c>
      <c r="B666" s="2">
        <v>45645</v>
      </c>
      <c r="C666" t="s">
        <v>951</v>
      </c>
      <c r="D666" t="s">
        <v>58</v>
      </c>
      <c r="E666" s="13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35">
      <c r="A667" t="s">
        <v>2488</v>
      </c>
      <c r="B667" s="2">
        <v>45048</v>
      </c>
      <c r="C667" t="s">
        <v>2489</v>
      </c>
      <c r="D667" t="s">
        <v>32</v>
      </c>
      <c r="E667" s="13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5">
      <c r="A668" t="s">
        <v>2492</v>
      </c>
      <c r="B668" s="2">
        <v>45535</v>
      </c>
      <c r="C668" t="s">
        <v>2493</v>
      </c>
      <c r="D668" t="s">
        <v>16</v>
      </c>
      <c r="E668" s="13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35">
      <c r="A669" t="s">
        <v>2495</v>
      </c>
      <c r="B669" s="2">
        <v>45049</v>
      </c>
      <c r="C669" t="s">
        <v>2496</v>
      </c>
      <c r="D669" t="s">
        <v>58</v>
      </c>
      <c r="E669" s="13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2498</v>
      </c>
      <c r="B670" s="2">
        <v>45478</v>
      </c>
      <c r="C670" t="s">
        <v>2499</v>
      </c>
      <c r="D670" t="s">
        <v>16</v>
      </c>
      <c r="E670" s="13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5">
      <c r="A671" t="s">
        <v>2501</v>
      </c>
      <c r="B671" s="2">
        <v>44962</v>
      </c>
      <c r="C671" t="s">
        <v>2502</v>
      </c>
      <c r="D671" t="s">
        <v>73</v>
      </c>
      <c r="E671" s="13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35">
      <c r="A672" t="s">
        <v>2505</v>
      </c>
      <c r="B672" s="2">
        <v>45400</v>
      </c>
      <c r="C672" t="s">
        <v>2506</v>
      </c>
      <c r="D672" t="s">
        <v>73</v>
      </c>
      <c r="E672" s="13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5">
      <c r="A673" t="s">
        <v>2508</v>
      </c>
      <c r="B673" s="2">
        <v>45092</v>
      </c>
      <c r="C673" t="s">
        <v>2509</v>
      </c>
      <c r="D673" t="s">
        <v>41</v>
      </c>
      <c r="E673" s="1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5">
      <c r="A674" t="s">
        <v>2511</v>
      </c>
      <c r="B674" s="2">
        <v>45055</v>
      </c>
      <c r="C674" t="s">
        <v>2512</v>
      </c>
      <c r="D674" t="s">
        <v>25</v>
      </c>
      <c r="E674" s="13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2514</v>
      </c>
      <c r="B675" s="2">
        <v>44978</v>
      </c>
      <c r="C675" t="s">
        <v>2515</v>
      </c>
      <c r="D675" t="s">
        <v>32</v>
      </c>
      <c r="E675" s="13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2517</v>
      </c>
      <c r="B676" s="2">
        <v>45300</v>
      </c>
      <c r="C676" t="s">
        <v>2518</v>
      </c>
      <c r="D676" t="s">
        <v>58</v>
      </c>
      <c r="E676" s="13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2521</v>
      </c>
      <c r="B677" s="2">
        <v>45510</v>
      </c>
      <c r="C677" t="s">
        <v>2522</v>
      </c>
      <c r="D677" t="s">
        <v>73</v>
      </c>
      <c r="E677" s="13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35">
      <c r="A678" t="s">
        <v>2524</v>
      </c>
      <c r="B678" s="2">
        <v>45831</v>
      </c>
      <c r="C678" t="s">
        <v>2525</v>
      </c>
      <c r="D678" t="s">
        <v>58</v>
      </c>
      <c r="E678" s="13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2527</v>
      </c>
      <c r="B679" s="2">
        <v>45750</v>
      </c>
      <c r="C679" t="s">
        <v>2528</v>
      </c>
      <c r="D679" t="s">
        <v>32</v>
      </c>
      <c r="E679" s="13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2530</v>
      </c>
      <c r="B680" s="2">
        <v>45620</v>
      </c>
      <c r="C680" t="s">
        <v>2531</v>
      </c>
      <c r="D680" t="s">
        <v>41</v>
      </c>
      <c r="E680" s="13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5">
      <c r="A681" t="s">
        <v>2533</v>
      </c>
      <c r="B681" s="2">
        <v>44959</v>
      </c>
      <c r="C681" t="s">
        <v>2534</v>
      </c>
      <c r="D681" t="s">
        <v>32</v>
      </c>
      <c r="E681" s="13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2536</v>
      </c>
      <c r="B682" s="2">
        <v>45165</v>
      </c>
      <c r="C682" t="s">
        <v>2537</v>
      </c>
      <c r="D682" t="s">
        <v>16</v>
      </c>
      <c r="E682" s="13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35">
      <c r="A683" t="s">
        <v>2540</v>
      </c>
      <c r="B683" s="2">
        <v>45321</v>
      </c>
      <c r="C683" t="s">
        <v>2541</v>
      </c>
      <c r="D683" t="s">
        <v>32</v>
      </c>
      <c r="E683" s="1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35">
      <c r="A684" t="s">
        <v>2544</v>
      </c>
      <c r="B684" s="2">
        <v>45130</v>
      </c>
      <c r="C684" t="s">
        <v>2545</v>
      </c>
      <c r="D684" t="s">
        <v>16</v>
      </c>
      <c r="E684" s="13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5">
      <c r="A685" t="s">
        <v>2547</v>
      </c>
      <c r="B685" s="2">
        <v>45795</v>
      </c>
      <c r="C685" t="s">
        <v>2548</v>
      </c>
      <c r="D685" t="s">
        <v>73</v>
      </c>
      <c r="E685" s="13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2551</v>
      </c>
      <c r="B686" s="2">
        <v>45557</v>
      </c>
      <c r="C686" t="s">
        <v>2552</v>
      </c>
      <c r="D686" t="s">
        <v>48</v>
      </c>
      <c r="E686" s="13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35">
      <c r="A687" t="s">
        <v>2555</v>
      </c>
      <c r="B687" s="2">
        <v>45695</v>
      </c>
      <c r="C687" t="s">
        <v>2556</v>
      </c>
      <c r="D687" t="s">
        <v>73</v>
      </c>
      <c r="E687" s="13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2559</v>
      </c>
      <c r="B688" s="2">
        <v>45208</v>
      </c>
      <c r="C688" t="s">
        <v>2560</v>
      </c>
      <c r="D688" t="s">
        <v>73</v>
      </c>
      <c r="E688" s="13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5">
      <c r="A689" t="s">
        <v>2563</v>
      </c>
      <c r="B689" s="2">
        <v>45182</v>
      </c>
      <c r="C689" t="s">
        <v>2564</v>
      </c>
      <c r="D689" t="s">
        <v>32</v>
      </c>
      <c r="E689" s="13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2567</v>
      </c>
      <c r="B690" s="2">
        <v>45357</v>
      </c>
      <c r="C690" t="s">
        <v>2568</v>
      </c>
      <c r="D690" t="s">
        <v>16</v>
      </c>
      <c r="E690" s="13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5">
      <c r="A691" t="s">
        <v>2570</v>
      </c>
      <c r="B691" s="2">
        <v>45167</v>
      </c>
      <c r="C691" t="s">
        <v>2571</v>
      </c>
      <c r="D691" t="s">
        <v>32</v>
      </c>
      <c r="E691" s="13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35">
      <c r="A692" t="s">
        <v>2574</v>
      </c>
      <c r="B692" s="2">
        <v>45485</v>
      </c>
      <c r="C692" t="s">
        <v>2575</v>
      </c>
      <c r="D692" t="s">
        <v>16</v>
      </c>
      <c r="E692" s="13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35">
      <c r="A693" t="s">
        <v>2577</v>
      </c>
      <c r="B693" s="2">
        <v>45620</v>
      </c>
      <c r="C693" t="s">
        <v>2578</v>
      </c>
      <c r="D693" t="s">
        <v>58</v>
      </c>
      <c r="E693" s="1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35">
      <c r="A694" t="s">
        <v>2581</v>
      </c>
      <c r="B694" s="2">
        <v>44949</v>
      </c>
      <c r="C694" t="s">
        <v>2582</v>
      </c>
      <c r="D694" t="s">
        <v>73</v>
      </c>
      <c r="E694" s="13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5">
      <c r="A695" t="s">
        <v>2584</v>
      </c>
      <c r="B695" s="2">
        <v>45728</v>
      </c>
      <c r="C695" t="s">
        <v>2585</v>
      </c>
      <c r="D695" t="s">
        <v>16</v>
      </c>
      <c r="E695" s="13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35">
      <c r="A696" t="s">
        <v>2588</v>
      </c>
      <c r="B696" s="2">
        <v>45201</v>
      </c>
      <c r="C696" t="s">
        <v>2589</v>
      </c>
      <c r="D696" t="s">
        <v>48</v>
      </c>
      <c r="E696" s="13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2591</v>
      </c>
      <c r="B697" s="2">
        <v>45619</v>
      </c>
      <c r="C697" t="s">
        <v>2592</v>
      </c>
      <c r="D697" t="s">
        <v>48</v>
      </c>
      <c r="E697" s="13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2594</v>
      </c>
      <c r="B698" s="2">
        <v>45109</v>
      </c>
      <c r="C698" t="s">
        <v>2595</v>
      </c>
      <c r="D698" t="s">
        <v>41</v>
      </c>
      <c r="E698" s="13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5">
      <c r="A699" t="s">
        <v>2598</v>
      </c>
      <c r="B699" s="2">
        <v>45692</v>
      </c>
      <c r="C699" t="s">
        <v>2599</v>
      </c>
      <c r="D699" t="s">
        <v>48</v>
      </c>
      <c r="E699" s="13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5">
      <c r="A700" t="s">
        <v>2601</v>
      </c>
      <c r="B700" s="2">
        <v>44930</v>
      </c>
      <c r="C700" t="s">
        <v>2602</v>
      </c>
      <c r="D700" t="s">
        <v>58</v>
      </c>
      <c r="E700" s="13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5">
      <c r="A701" t="s">
        <v>2604</v>
      </c>
      <c r="B701" s="2">
        <v>45243</v>
      </c>
      <c r="C701" t="s">
        <v>2605</v>
      </c>
      <c r="D701" t="s">
        <v>58</v>
      </c>
      <c r="E701" s="13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35">
      <c r="A702" t="s">
        <v>2608</v>
      </c>
      <c r="B702" s="2">
        <v>45560</v>
      </c>
      <c r="C702" t="s">
        <v>2609</v>
      </c>
      <c r="D702" t="s">
        <v>58</v>
      </c>
      <c r="E702" s="13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5">
      <c r="A703" t="s">
        <v>2612</v>
      </c>
      <c r="B703" s="2">
        <v>45466</v>
      </c>
      <c r="C703" t="s">
        <v>2613</v>
      </c>
      <c r="D703" t="s">
        <v>16</v>
      </c>
      <c r="E703" s="1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2615</v>
      </c>
      <c r="B704" s="2">
        <v>45452</v>
      </c>
      <c r="C704" t="s">
        <v>2616</v>
      </c>
      <c r="D704" t="s">
        <v>48</v>
      </c>
      <c r="E704" s="13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35">
      <c r="A705" t="s">
        <v>2618</v>
      </c>
      <c r="B705" s="2">
        <v>45007</v>
      </c>
      <c r="C705" t="s">
        <v>2619</v>
      </c>
      <c r="D705" t="s">
        <v>73</v>
      </c>
      <c r="E705" s="13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5">
      <c r="A706" t="s">
        <v>2622</v>
      </c>
      <c r="B706" s="2">
        <v>45080</v>
      </c>
      <c r="C706" t="s">
        <v>2623</v>
      </c>
      <c r="D706" t="s">
        <v>73</v>
      </c>
      <c r="E706" s="13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5">
      <c r="A707" t="s">
        <v>2625</v>
      </c>
      <c r="B707" s="2">
        <v>45746</v>
      </c>
      <c r="C707" t="s">
        <v>2626</v>
      </c>
      <c r="D707" t="s">
        <v>16</v>
      </c>
      <c r="E707" s="13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2629</v>
      </c>
      <c r="B708" s="2">
        <v>45718</v>
      </c>
      <c r="C708" t="s">
        <v>2630</v>
      </c>
      <c r="D708" t="s">
        <v>73</v>
      </c>
      <c r="E708" s="13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2632</v>
      </c>
      <c r="B709" s="2">
        <v>45597</v>
      </c>
      <c r="C709" t="s">
        <v>2633</v>
      </c>
      <c r="D709" t="s">
        <v>41</v>
      </c>
      <c r="E709" s="13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2635</v>
      </c>
      <c r="B710" s="2">
        <v>45720</v>
      </c>
      <c r="C710" t="s">
        <v>2636</v>
      </c>
      <c r="D710" t="s">
        <v>48</v>
      </c>
      <c r="E710" s="13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2638</v>
      </c>
      <c r="B711" s="2">
        <v>45633</v>
      </c>
      <c r="C711" t="s">
        <v>2639</v>
      </c>
      <c r="D711" t="s">
        <v>73</v>
      </c>
      <c r="E711" s="13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5">
      <c r="A712" t="s">
        <v>2642</v>
      </c>
      <c r="B712" s="2">
        <v>45495</v>
      </c>
      <c r="C712" t="s">
        <v>2643</v>
      </c>
      <c r="D712" t="s">
        <v>58</v>
      </c>
      <c r="E712" s="13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35">
      <c r="A713" t="s">
        <v>2646</v>
      </c>
      <c r="B713" s="2">
        <v>45477</v>
      </c>
      <c r="C713" t="s">
        <v>2647</v>
      </c>
      <c r="D713" t="s">
        <v>32</v>
      </c>
      <c r="E713" s="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5">
      <c r="A714" t="s">
        <v>2650</v>
      </c>
      <c r="B714" s="2">
        <v>45300</v>
      </c>
      <c r="C714" t="s">
        <v>2119</v>
      </c>
      <c r="D714" t="s">
        <v>32</v>
      </c>
      <c r="E714" s="13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2653</v>
      </c>
      <c r="B715" s="2">
        <v>45829</v>
      </c>
      <c r="C715" t="s">
        <v>2654</v>
      </c>
      <c r="D715" t="s">
        <v>32</v>
      </c>
      <c r="E715" s="13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2656</v>
      </c>
      <c r="B716" s="2">
        <v>45037</v>
      </c>
      <c r="C716" t="s">
        <v>2657</v>
      </c>
      <c r="D716" t="s">
        <v>58</v>
      </c>
      <c r="E716" s="13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2659</v>
      </c>
      <c r="B717" s="2">
        <v>45499</v>
      </c>
      <c r="C717" t="s">
        <v>2660</v>
      </c>
      <c r="D717" t="s">
        <v>48</v>
      </c>
      <c r="E717" s="13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2663</v>
      </c>
      <c r="B718" s="2">
        <v>45456</v>
      </c>
      <c r="C718" t="s">
        <v>2664</v>
      </c>
      <c r="D718" t="s">
        <v>41</v>
      </c>
      <c r="E718" s="13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5">
      <c r="A719" t="s">
        <v>2666</v>
      </c>
      <c r="B719" s="2">
        <v>45215</v>
      </c>
      <c r="C719" t="s">
        <v>2667</v>
      </c>
      <c r="D719" t="s">
        <v>41</v>
      </c>
      <c r="E719" s="13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5">
      <c r="A720" t="s">
        <v>2670</v>
      </c>
      <c r="B720" s="2">
        <v>45024</v>
      </c>
      <c r="C720" t="s">
        <v>2671</v>
      </c>
      <c r="D720" t="s">
        <v>58</v>
      </c>
      <c r="E720" s="13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5">
      <c r="A721" t="s">
        <v>2674</v>
      </c>
      <c r="B721" s="2">
        <v>45312</v>
      </c>
      <c r="C721" t="s">
        <v>2675</v>
      </c>
      <c r="D721" t="s">
        <v>58</v>
      </c>
      <c r="E721" s="13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2678</v>
      </c>
      <c r="B722" s="2">
        <v>45190</v>
      </c>
      <c r="C722" t="s">
        <v>2679</v>
      </c>
      <c r="D722" t="s">
        <v>73</v>
      </c>
      <c r="E722" s="13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2682</v>
      </c>
      <c r="B723" s="2">
        <v>45369</v>
      </c>
      <c r="C723" t="s">
        <v>2683</v>
      </c>
      <c r="D723" t="s">
        <v>73</v>
      </c>
      <c r="E723" s="1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35">
      <c r="A724" t="s">
        <v>2686</v>
      </c>
      <c r="B724" s="2">
        <v>45611</v>
      </c>
      <c r="C724" t="s">
        <v>2687</v>
      </c>
      <c r="D724" t="s">
        <v>48</v>
      </c>
      <c r="E724" s="13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5">
      <c r="A725" t="s">
        <v>2689</v>
      </c>
      <c r="B725" s="2">
        <v>45269</v>
      </c>
      <c r="C725" t="s">
        <v>2690</v>
      </c>
      <c r="D725" t="s">
        <v>73</v>
      </c>
      <c r="E725" s="13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2692</v>
      </c>
      <c r="B726" s="2">
        <v>45583</v>
      </c>
      <c r="C726" t="s">
        <v>2693</v>
      </c>
      <c r="D726" t="s">
        <v>48</v>
      </c>
      <c r="E726" s="13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2695</v>
      </c>
      <c r="B727" s="2">
        <v>44997</v>
      </c>
      <c r="C727" t="s">
        <v>2696</v>
      </c>
      <c r="D727" t="s">
        <v>41</v>
      </c>
      <c r="E727" s="13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35">
      <c r="A728" t="s">
        <v>2698</v>
      </c>
      <c r="B728" s="2">
        <v>45590</v>
      </c>
      <c r="C728" t="s">
        <v>2699</v>
      </c>
      <c r="D728" t="s">
        <v>58</v>
      </c>
      <c r="E728" s="13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2702</v>
      </c>
      <c r="B729" s="2">
        <v>45564</v>
      </c>
      <c r="C729" t="s">
        <v>2703</v>
      </c>
      <c r="D729" t="s">
        <v>41</v>
      </c>
      <c r="E729" s="13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2705</v>
      </c>
      <c r="B730" s="2">
        <v>45502</v>
      </c>
      <c r="C730" t="s">
        <v>2706</v>
      </c>
      <c r="D730" t="s">
        <v>73</v>
      </c>
      <c r="E730" s="13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5">
      <c r="A731" t="s">
        <v>2709</v>
      </c>
      <c r="B731" s="2">
        <v>45177</v>
      </c>
      <c r="C731" t="s">
        <v>2710</v>
      </c>
      <c r="D731" t="s">
        <v>25</v>
      </c>
      <c r="E731" s="13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5">
      <c r="A732" t="s">
        <v>2712</v>
      </c>
      <c r="B732" s="2">
        <v>45710</v>
      </c>
      <c r="C732" t="s">
        <v>2713</v>
      </c>
      <c r="D732" t="s">
        <v>25</v>
      </c>
      <c r="E732" s="13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2715</v>
      </c>
      <c r="B733" s="2">
        <v>45450</v>
      </c>
      <c r="C733" t="s">
        <v>2716</v>
      </c>
      <c r="D733" t="s">
        <v>48</v>
      </c>
      <c r="E733" s="1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35">
      <c r="A734" t="s">
        <v>2719</v>
      </c>
      <c r="B734" s="2">
        <v>45723</v>
      </c>
      <c r="C734" t="s">
        <v>2720</v>
      </c>
      <c r="D734" t="s">
        <v>58</v>
      </c>
      <c r="E734" s="13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35">
      <c r="A735" t="s">
        <v>2722</v>
      </c>
      <c r="B735" s="2">
        <v>45264</v>
      </c>
      <c r="C735" t="s">
        <v>2723</v>
      </c>
      <c r="D735" t="s">
        <v>32</v>
      </c>
      <c r="E735" s="13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2725</v>
      </c>
      <c r="B736" s="2">
        <v>45314</v>
      </c>
      <c r="C736" t="s">
        <v>2726</v>
      </c>
      <c r="D736" t="s">
        <v>48</v>
      </c>
      <c r="E736" s="13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5">
      <c r="A737" t="s">
        <v>2728</v>
      </c>
      <c r="B737" s="2">
        <v>45471</v>
      </c>
      <c r="C737" t="s">
        <v>2729</v>
      </c>
      <c r="D737" t="s">
        <v>16</v>
      </c>
      <c r="E737" s="13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35">
      <c r="A738" t="s">
        <v>2731</v>
      </c>
      <c r="B738" s="2">
        <v>45331</v>
      </c>
      <c r="C738" t="s">
        <v>2732</v>
      </c>
      <c r="D738" t="s">
        <v>16</v>
      </c>
      <c r="E738" s="13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5">
      <c r="A739" t="s">
        <v>2734</v>
      </c>
      <c r="B739" s="2">
        <v>45294</v>
      </c>
      <c r="C739" t="s">
        <v>2735</v>
      </c>
      <c r="D739" t="s">
        <v>25</v>
      </c>
      <c r="E739" s="13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2738</v>
      </c>
      <c r="B740" s="2">
        <v>45812</v>
      </c>
      <c r="C740" t="s">
        <v>2739</v>
      </c>
      <c r="D740" t="s">
        <v>25</v>
      </c>
      <c r="E740" s="13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2742</v>
      </c>
      <c r="B741" s="2">
        <v>45456</v>
      </c>
      <c r="C741" t="s">
        <v>2743</v>
      </c>
      <c r="D741" t="s">
        <v>25</v>
      </c>
      <c r="E741" s="13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2745</v>
      </c>
      <c r="B742" s="2">
        <v>45493</v>
      </c>
      <c r="C742" t="s">
        <v>2746</v>
      </c>
      <c r="D742" t="s">
        <v>73</v>
      </c>
      <c r="E742" s="13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35">
      <c r="A743" t="s">
        <v>2748</v>
      </c>
      <c r="B743" s="2">
        <v>45680</v>
      </c>
      <c r="C743" t="s">
        <v>2749</v>
      </c>
      <c r="D743" t="s">
        <v>16</v>
      </c>
      <c r="E743" s="1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35">
      <c r="A744" t="s">
        <v>2752</v>
      </c>
      <c r="B744" s="2">
        <v>45626</v>
      </c>
      <c r="C744" t="s">
        <v>2753</v>
      </c>
      <c r="D744" t="s">
        <v>58</v>
      </c>
      <c r="E744" s="13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5">
      <c r="A745" t="s">
        <v>2755</v>
      </c>
      <c r="B745" s="2">
        <v>45565</v>
      </c>
      <c r="C745" t="s">
        <v>2756</v>
      </c>
      <c r="D745" t="s">
        <v>16</v>
      </c>
      <c r="E745" s="13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5">
      <c r="A746" t="s">
        <v>2758</v>
      </c>
      <c r="B746" s="2">
        <v>45455</v>
      </c>
      <c r="C746" t="s">
        <v>2759</v>
      </c>
      <c r="D746" t="s">
        <v>32</v>
      </c>
      <c r="E746" s="13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5">
      <c r="A747" t="s">
        <v>2762</v>
      </c>
      <c r="B747" s="2">
        <v>44987</v>
      </c>
      <c r="C747" t="s">
        <v>2763</v>
      </c>
      <c r="D747" t="s">
        <v>48</v>
      </c>
      <c r="E747" s="13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2766</v>
      </c>
      <c r="B748" s="2">
        <v>45712</v>
      </c>
      <c r="C748" t="s">
        <v>2767</v>
      </c>
      <c r="D748" t="s">
        <v>73</v>
      </c>
      <c r="E748" s="13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5">
      <c r="A749" t="s">
        <v>2770</v>
      </c>
      <c r="B749" s="2">
        <v>45728</v>
      </c>
      <c r="C749" t="s">
        <v>2771</v>
      </c>
      <c r="D749" t="s">
        <v>32</v>
      </c>
      <c r="E749" s="13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2774</v>
      </c>
      <c r="B750" s="2">
        <v>45488</v>
      </c>
      <c r="C750" t="s">
        <v>2775</v>
      </c>
      <c r="D750" t="s">
        <v>32</v>
      </c>
      <c r="E750" s="13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2777</v>
      </c>
      <c r="B751" s="2">
        <v>45760</v>
      </c>
      <c r="C751" t="s">
        <v>2778</v>
      </c>
      <c r="D751" t="s">
        <v>58</v>
      </c>
      <c r="E751" s="13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2781</v>
      </c>
      <c r="B752" s="2">
        <v>44940</v>
      </c>
      <c r="C752" t="s">
        <v>2782</v>
      </c>
      <c r="D752" t="s">
        <v>32</v>
      </c>
      <c r="E752" s="13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2785</v>
      </c>
      <c r="B753" s="2">
        <v>44950</v>
      </c>
      <c r="C753" t="s">
        <v>2786</v>
      </c>
      <c r="D753" t="s">
        <v>32</v>
      </c>
      <c r="E753" s="1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2789</v>
      </c>
      <c r="B754" s="2">
        <v>45568</v>
      </c>
      <c r="C754" t="s">
        <v>2790</v>
      </c>
      <c r="D754" t="s">
        <v>25</v>
      </c>
      <c r="E754" s="13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5">
      <c r="A755" t="s">
        <v>2792</v>
      </c>
      <c r="B755" s="2">
        <v>45406</v>
      </c>
      <c r="C755" t="s">
        <v>2793</v>
      </c>
      <c r="D755" t="s">
        <v>25</v>
      </c>
      <c r="E755" s="13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2796</v>
      </c>
      <c r="B756" s="2">
        <v>45808</v>
      </c>
      <c r="C756" t="s">
        <v>2797</v>
      </c>
      <c r="D756" t="s">
        <v>48</v>
      </c>
      <c r="E756" s="13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5">
      <c r="A757" t="s">
        <v>2800</v>
      </c>
      <c r="B757" s="2">
        <v>45090</v>
      </c>
      <c r="C757" t="s">
        <v>2801</v>
      </c>
      <c r="D757" t="s">
        <v>73</v>
      </c>
      <c r="E757" s="13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35">
      <c r="A758" t="s">
        <v>2804</v>
      </c>
      <c r="B758" s="2">
        <v>45470</v>
      </c>
      <c r="C758" t="s">
        <v>2805</v>
      </c>
      <c r="D758" t="s">
        <v>25</v>
      </c>
      <c r="E758" s="13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35">
      <c r="A759" t="s">
        <v>2807</v>
      </c>
      <c r="B759" s="2">
        <v>45344</v>
      </c>
      <c r="C759" t="s">
        <v>2808</v>
      </c>
      <c r="D759" t="s">
        <v>73</v>
      </c>
      <c r="E759" s="13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5">
      <c r="A760" t="s">
        <v>2810</v>
      </c>
      <c r="B760" s="2">
        <v>45011</v>
      </c>
      <c r="C760" t="s">
        <v>2811</v>
      </c>
      <c r="D760" t="s">
        <v>32</v>
      </c>
      <c r="E760" s="13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5">
      <c r="A761" t="s">
        <v>2813</v>
      </c>
      <c r="B761" s="2">
        <v>45131</v>
      </c>
      <c r="C761" t="s">
        <v>2814</v>
      </c>
      <c r="D761" t="s">
        <v>73</v>
      </c>
      <c r="E761" s="13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2817</v>
      </c>
      <c r="B762" s="2">
        <v>45706</v>
      </c>
      <c r="C762" t="s">
        <v>2818</v>
      </c>
      <c r="D762" t="s">
        <v>73</v>
      </c>
      <c r="E762" s="13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35">
      <c r="A763" t="s">
        <v>2820</v>
      </c>
      <c r="B763" s="2">
        <v>45079</v>
      </c>
      <c r="C763" t="s">
        <v>2821</v>
      </c>
      <c r="D763" t="s">
        <v>73</v>
      </c>
      <c r="E763" s="1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35">
      <c r="A764" t="s">
        <v>2824</v>
      </c>
      <c r="B764" s="2">
        <v>45552</v>
      </c>
      <c r="C764" t="s">
        <v>2825</v>
      </c>
      <c r="D764" t="s">
        <v>25</v>
      </c>
      <c r="E764" s="13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2827</v>
      </c>
      <c r="B765" s="2">
        <v>45022</v>
      </c>
      <c r="C765" t="s">
        <v>2828</v>
      </c>
      <c r="D765" t="s">
        <v>58</v>
      </c>
      <c r="E765" s="13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2830</v>
      </c>
      <c r="B766" s="2">
        <v>45361</v>
      </c>
      <c r="C766" t="s">
        <v>2831</v>
      </c>
      <c r="D766" t="s">
        <v>58</v>
      </c>
      <c r="E766" s="13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2833</v>
      </c>
      <c r="B767" s="2">
        <v>45205</v>
      </c>
      <c r="C767" t="s">
        <v>2834</v>
      </c>
      <c r="D767" t="s">
        <v>58</v>
      </c>
      <c r="E767" s="13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5">
      <c r="A768" t="s">
        <v>2836</v>
      </c>
      <c r="B768" s="2">
        <v>44948</v>
      </c>
      <c r="C768" t="s">
        <v>2837</v>
      </c>
      <c r="D768" t="s">
        <v>48</v>
      </c>
      <c r="E768" s="13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2839</v>
      </c>
      <c r="B769" s="2">
        <v>45765</v>
      </c>
      <c r="C769" t="s">
        <v>2840</v>
      </c>
      <c r="D769" t="s">
        <v>32</v>
      </c>
      <c r="E769" s="13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35">
      <c r="A770" t="s">
        <v>2843</v>
      </c>
      <c r="B770" s="2">
        <v>45173</v>
      </c>
      <c r="C770" t="s">
        <v>2844</v>
      </c>
      <c r="D770" t="s">
        <v>32</v>
      </c>
      <c r="E770" s="13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5">
      <c r="A771" t="s">
        <v>2847</v>
      </c>
      <c r="B771" s="2">
        <v>45113</v>
      </c>
      <c r="C771" t="s">
        <v>2848</v>
      </c>
      <c r="D771" t="s">
        <v>48</v>
      </c>
      <c r="E771" s="13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35">
      <c r="A772" t="s">
        <v>2850</v>
      </c>
      <c r="B772" s="2">
        <v>45333</v>
      </c>
      <c r="C772" t="s">
        <v>2851</v>
      </c>
      <c r="D772" t="s">
        <v>73</v>
      </c>
      <c r="E772" s="13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35">
      <c r="A773" t="s">
        <v>2853</v>
      </c>
      <c r="B773" s="2">
        <v>45455</v>
      </c>
      <c r="C773" t="s">
        <v>2854</v>
      </c>
      <c r="D773" t="s">
        <v>25</v>
      </c>
      <c r="E773" s="1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5">
      <c r="A774" t="s">
        <v>2856</v>
      </c>
      <c r="B774" s="2">
        <v>45501</v>
      </c>
      <c r="C774" t="s">
        <v>2857</v>
      </c>
      <c r="D774" t="s">
        <v>16</v>
      </c>
      <c r="E774" s="13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35">
      <c r="A775" t="s">
        <v>2860</v>
      </c>
      <c r="B775" s="2">
        <v>45836</v>
      </c>
      <c r="C775" t="s">
        <v>2861</v>
      </c>
      <c r="D775" t="s">
        <v>25</v>
      </c>
      <c r="E775" s="13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35">
      <c r="A776" t="s">
        <v>2864</v>
      </c>
      <c r="B776" s="2">
        <v>45762</v>
      </c>
      <c r="C776" t="s">
        <v>2865</v>
      </c>
      <c r="D776" t="s">
        <v>41</v>
      </c>
      <c r="E776" s="13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2868</v>
      </c>
      <c r="B777" s="2">
        <v>44989</v>
      </c>
      <c r="C777" t="s">
        <v>2869</v>
      </c>
      <c r="D777" t="s">
        <v>25</v>
      </c>
      <c r="E777" s="13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35">
      <c r="A778" t="s">
        <v>2871</v>
      </c>
      <c r="B778" s="2">
        <v>45159</v>
      </c>
      <c r="C778" t="s">
        <v>2872</v>
      </c>
      <c r="D778" t="s">
        <v>32</v>
      </c>
      <c r="E778" s="13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5">
      <c r="A779" t="s">
        <v>2875</v>
      </c>
      <c r="B779" s="2">
        <v>45737</v>
      </c>
      <c r="C779" t="s">
        <v>2876</v>
      </c>
      <c r="D779" t="s">
        <v>41</v>
      </c>
      <c r="E779" s="13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35">
      <c r="A780" t="s">
        <v>2878</v>
      </c>
      <c r="B780" s="2">
        <v>45044</v>
      </c>
      <c r="C780" t="s">
        <v>2879</v>
      </c>
      <c r="D780" t="s">
        <v>58</v>
      </c>
      <c r="E780" s="13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5">
      <c r="A781" t="s">
        <v>2882</v>
      </c>
      <c r="B781" s="2">
        <v>45261</v>
      </c>
      <c r="C781" t="s">
        <v>2883</v>
      </c>
      <c r="D781" t="s">
        <v>25</v>
      </c>
      <c r="E781" s="13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2886</v>
      </c>
      <c r="B782" s="2">
        <v>45382</v>
      </c>
      <c r="C782" t="s">
        <v>2887</v>
      </c>
      <c r="D782" t="s">
        <v>58</v>
      </c>
      <c r="E782" s="13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5">
      <c r="A783" t="s">
        <v>2889</v>
      </c>
      <c r="B783" s="2">
        <v>45301</v>
      </c>
      <c r="C783" t="s">
        <v>2890</v>
      </c>
      <c r="D783" t="s">
        <v>25</v>
      </c>
      <c r="E783" s="1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2892</v>
      </c>
      <c r="B784" s="2">
        <v>45515</v>
      </c>
      <c r="C784" t="s">
        <v>2893</v>
      </c>
      <c r="D784" t="s">
        <v>16</v>
      </c>
      <c r="E784" s="13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2895</v>
      </c>
      <c r="B785" s="2">
        <v>45803</v>
      </c>
      <c r="C785" t="s">
        <v>2896</v>
      </c>
      <c r="D785" t="s">
        <v>48</v>
      </c>
      <c r="E785" s="13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2898</v>
      </c>
      <c r="B786" s="2">
        <v>45793</v>
      </c>
      <c r="C786" t="s">
        <v>2899</v>
      </c>
      <c r="D786" t="s">
        <v>58</v>
      </c>
      <c r="E786" s="13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5">
      <c r="A787" t="s">
        <v>2901</v>
      </c>
      <c r="B787" s="2">
        <v>45136</v>
      </c>
      <c r="C787" t="s">
        <v>2902</v>
      </c>
      <c r="D787" t="s">
        <v>41</v>
      </c>
      <c r="E787" s="13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2905</v>
      </c>
      <c r="B788" s="2">
        <v>45161</v>
      </c>
      <c r="C788" t="s">
        <v>2906</v>
      </c>
      <c r="D788" t="s">
        <v>41</v>
      </c>
      <c r="E788" s="13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35">
      <c r="A789" t="s">
        <v>2909</v>
      </c>
      <c r="B789" s="2">
        <v>45368</v>
      </c>
      <c r="C789" t="s">
        <v>2910</v>
      </c>
      <c r="D789" t="s">
        <v>73</v>
      </c>
      <c r="E789" s="13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35">
      <c r="A790" t="s">
        <v>2913</v>
      </c>
      <c r="B790" s="2">
        <v>45232</v>
      </c>
      <c r="C790" t="s">
        <v>2914</v>
      </c>
      <c r="D790" t="s">
        <v>41</v>
      </c>
      <c r="E790" s="13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2917</v>
      </c>
      <c r="B791" s="2">
        <v>45155</v>
      </c>
      <c r="C791" t="s">
        <v>2918</v>
      </c>
      <c r="D791" t="s">
        <v>32</v>
      </c>
      <c r="E791" s="13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2921</v>
      </c>
      <c r="B792" s="2">
        <v>45549</v>
      </c>
      <c r="C792" t="s">
        <v>2922</v>
      </c>
      <c r="D792" t="s">
        <v>58</v>
      </c>
      <c r="E792" s="13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35">
      <c r="A793" t="s">
        <v>2925</v>
      </c>
      <c r="B793" s="2">
        <v>45304</v>
      </c>
      <c r="C793" t="s">
        <v>2926</v>
      </c>
      <c r="D793" t="s">
        <v>41</v>
      </c>
      <c r="E793" s="1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35">
      <c r="A794" t="s">
        <v>2928</v>
      </c>
      <c r="B794" s="2">
        <v>45093</v>
      </c>
      <c r="C794" t="s">
        <v>2929</v>
      </c>
      <c r="D794" t="s">
        <v>73</v>
      </c>
      <c r="E794" s="13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5">
      <c r="A795" t="s">
        <v>2932</v>
      </c>
      <c r="B795" s="2">
        <v>45397</v>
      </c>
      <c r="C795" t="s">
        <v>2933</v>
      </c>
      <c r="D795" t="s">
        <v>41</v>
      </c>
      <c r="E795" s="13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35">
      <c r="A796" t="s">
        <v>2935</v>
      </c>
      <c r="B796" s="2">
        <v>44994</v>
      </c>
      <c r="C796" t="s">
        <v>2936</v>
      </c>
      <c r="D796" t="s">
        <v>48</v>
      </c>
      <c r="E796" s="13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2939</v>
      </c>
      <c r="B797" s="2">
        <v>45616</v>
      </c>
      <c r="C797" t="s">
        <v>2940</v>
      </c>
      <c r="D797" t="s">
        <v>58</v>
      </c>
      <c r="E797" s="13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2943</v>
      </c>
      <c r="B798" s="2">
        <v>45776</v>
      </c>
      <c r="C798" t="s">
        <v>2944</v>
      </c>
      <c r="D798" t="s">
        <v>25</v>
      </c>
      <c r="E798" s="13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5">
      <c r="A799" t="s">
        <v>2946</v>
      </c>
      <c r="B799" s="2">
        <v>44984</v>
      </c>
      <c r="C799" t="s">
        <v>2947</v>
      </c>
      <c r="D799" t="s">
        <v>58</v>
      </c>
      <c r="E799" s="13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35">
      <c r="A800" t="s">
        <v>2950</v>
      </c>
      <c r="B800" s="2">
        <v>45796</v>
      </c>
      <c r="C800" t="s">
        <v>2951</v>
      </c>
      <c r="D800" t="s">
        <v>25</v>
      </c>
      <c r="E800" s="13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2953</v>
      </c>
      <c r="B801" s="2">
        <v>45032</v>
      </c>
      <c r="C801" t="s">
        <v>2954</v>
      </c>
      <c r="D801" t="s">
        <v>58</v>
      </c>
      <c r="E801" s="13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2956</v>
      </c>
      <c r="B802" s="2">
        <v>45744</v>
      </c>
      <c r="C802" t="s">
        <v>2957</v>
      </c>
      <c r="D802" t="s">
        <v>32</v>
      </c>
      <c r="E802" s="13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5">
      <c r="A803" t="s">
        <v>2960</v>
      </c>
      <c r="B803" s="2">
        <v>45049</v>
      </c>
      <c r="C803" t="s">
        <v>148</v>
      </c>
      <c r="D803" t="s">
        <v>48</v>
      </c>
      <c r="E803" s="1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2963</v>
      </c>
      <c r="B804" s="2">
        <v>45339</v>
      </c>
      <c r="C804" t="s">
        <v>2964</v>
      </c>
      <c r="D804" t="s">
        <v>41</v>
      </c>
      <c r="E804" s="13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2967</v>
      </c>
      <c r="B805" s="2">
        <v>45158</v>
      </c>
      <c r="C805" t="s">
        <v>2968</v>
      </c>
      <c r="D805" t="s">
        <v>16</v>
      </c>
      <c r="E805" s="13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2970</v>
      </c>
      <c r="B806" s="2">
        <v>45292</v>
      </c>
      <c r="C806" t="s">
        <v>2971</v>
      </c>
      <c r="D806" t="s">
        <v>41</v>
      </c>
      <c r="E806" s="13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2974</v>
      </c>
      <c r="B807" s="2">
        <v>45580</v>
      </c>
      <c r="C807" t="s">
        <v>2975</v>
      </c>
      <c r="D807" t="s">
        <v>58</v>
      </c>
      <c r="E807" s="13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2978</v>
      </c>
      <c r="B808" s="2">
        <v>45170</v>
      </c>
      <c r="C808" t="s">
        <v>2979</v>
      </c>
      <c r="D808" t="s">
        <v>41</v>
      </c>
      <c r="E808" s="13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5">
      <c r="A809" t="s">
        <v>2981</v>
      </c>
      <c r="B809" s="2">
        <v>45606</v>
      </c>
      <c r="C809" t="s">
        <v>2982</v>
      </c>
      <c r="D809" t="s">
        <v>16</v>
      </c>
      <c r="E809" s="13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5">
      <c r="A810" t="s">
        <v>2985</v>
      </c>
      <c r="B810" s="2">
        <v>45335</v>
      </c>
      <c r="C810" t="s">
        <v>2986</v>
      </c>
      <c r="D810" t="s">
        <v>73</v>
      </c>
      <c r="E810" s="13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35">
      <c r="A811" t="s">
        <v>2989</v>
      </c>
      <c r="B811" s="2">
        <v>45391</v>
      </c>
      <c r="C811" t="s">
        <v>2990</v>
      </c>
      <c r="D811" t="s">
        <v>73</v>
      </c>
      <c r="E811" s="13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2992</v>
      </c>
      <c r="B812" s="2">
        <v>45077</v>
      </c>
      <c r="C812" t="s">
        <v>2993</v>
      </c>
      <c r="D812" t="s">
        <v>32</v>
      </c>
      <c r="E812" s="13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35">
      <c r="A813" t="s">
        <v>2996</v>
      </c>
      <c r="B813" s="2">
        <v>45235</v>
      </c>
      <c r="C813" t="s">
        <v>2997</v>
      </c>
      <c r="D813" t="s">
        <v>58</v>
      </c>
      <c r="E813" s="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2999</v>
      </c>
      <c r="B814" s="2">
        <v>45317</v>
      </c>
      <c r="C814" t="s">
        <v>3000</v>
      </c>
      <c r="D814" t="s">
        <v>25</v>
      </c>
      <c r="E814" s="13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5">
      <c r="A815" t="s">
        <v>3002</v>
      </c>
      <c r="B815" s="2">
        <v>45731</v>
      </c>
      <c r="C815" t="s">
        <v>3003</v>
      </c>
      <c r="D815" t="s">
        <v>58</v>
      </c>
      <c r="E815" s="13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3005</v>
      </c>
      <c r="B816" s="2">
        <v>45637</v>
      </c>
      <c r="C816" t="s">
        <v>3006</v>
      </c>
      <c r="D816" t="s">
        <v>41</v>
      </c>
      <c r="E816" s="13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5">
      <c r="A817" t="s">
        <v>3009</v>
      </c>
      <c r="B817" s="2">
        <v>45508</v>
      </c>
      <c r="C817" t="s">
        <v>3010</v>
      </c>
      <c r="D817" t="s">
        <v>48</v>
      </c>
      <c r="E817" s="13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5">
      <c r="A818" t="s">
        <v>3013</v>
      </c>
      <c r="B818" s="2">
        <v>45343</v>
      </c>
      <c r="C818" t="s">
        <v>3014</v>
      </c>
      <c r="D818" t="s">
        <v>32</v>
      </c>
      <c r="E818" s="13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5">
      <c r="A819" t="s">
        <v>3016</v>
      </c>
      <c r="B819" s="2">
        <v>45204</v>
      </c>
      <c r="C819" t="s">
        <v>3017</v>
      </c>
      <c r="D819" t="s">
        <v>41</v>
      </c>
      <c r="E819" s="13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5">
      <c r="A820" t="s">
        <v>3020</v>
      </c>
      <c r="B820" s="2">
        <v>44987</v>
      </c>
      <c r="C820" t="s">
        <v>3021</v>
      </c>
      <c r="D820" t="s">
        <v>25</v>
      </c>
      <c r="E820" s="13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5">
      <c r="A821" t="s">
        <v>3023</v>
      </c>
      <c r="B821" s="2">
        <v>45563</v>
      </c>
      <c r="C821" t="s">
        <v>3024</v>
      </c>
      <c r="D821" t="s">
        <v>25</v>
      </c>
      <c r="E821" s="13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5">
      <c r="A822" t="s">
        <v>3027</v>
      </c>
      <c r="B822" s="2">
        <v>45073</v>
      </c>
      <c r="C822" t="s">
        <v>3028</v>
      </c>
      <c r="D822" t="s">
        <v>25</v>
      </c>
      <c r="E822" s="13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3030</v>
      </c>
      <c r="B823" s="2">
        <v>45640</v>
      </c>
      <c r="C823" t="s">
        <v>3031</v>
      </c>
      <c r="D823" t="s">
        <v>58</v>
      </c>
      <c r="E823" s="1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3033</v>
      </c>
      <c r="B824" s="2">
        <v>45731</v>
      </c>
      <c r="C824" t="s">
        <v>3034</v>
      </c>
      <c r="D824" t="s">
        <v>25</v>
      </c>
      <c r="E824" s="13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5">
      <c r="A825" t="s">
        <v>3036</v>
      </c>
      <c r="B825" s="2">
        <v>45572</v>
      </c>
      <c r="C825" t="s">
        <v>3037</v>
      </c>
      <c r="D825" t="s">
        <v>58</v>
      </c>
      <c r="E825" s="13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5">
      <c r="A826" t="s">
        <v>3040</v>
      </c>
      <c r="B826" s="2">
        <v>45167</v>
      </c>
      <c r="C826" t="s">
        <v>3041</v>
      </c>
      <c r="D826" t="s">
        <v>16</v>
      </c>
      <c r="E826" s="13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3044</v>
      </c>
      <c r="B827" s="2">
        <v>45742</v>
      </c>
      <c r="C827" t="s">
        <v>3045</v>
      </c>
      <c r="D827" t="s">
        <v>73</v>
      </c>
      <c r="E827" s="13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3048</v>
      </c>
      <c r="B828" s="2">
        <v>45724</v>
      </c>
      <c r="C828" t="s">
        <v>3049</v>
      </c>
      <c r="D828" t="s">
        <v>48</v>
      </c>
      <c r="E828" s="13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5">
      <c r="A829" t="s">
        <v>3051</v>
      </c>
      <c r="B829" s="2">
        <v>45071</v>
      </c>
      <c r="C829" t="s">
        <v>3052</v>
      </c>
      <c r="D829" t="s">
        <v>32</v>
      </c>
      <c r="E829" s="13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5">
      <c r="A830" t="s">
        <v>3054</v>
      </c>
      <c r="B830" s="2">
        <v>45497</v>
      </c>
      <c r="C830" t="s">
        <v>3055</v>
      </c>
      <c r="D830" t="s">
        <v>41</v>
      </c>
      <c r="E830" s="13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3058</v>
      </c>
      <c r="B831" s="2">
        <v>44962</v>
      </c>
      <c r="C831" t="s">
        <v>3059</v>
      </c>
      <c r="D831" t="s">
        <v>16</v>
      </c>
      <c r="E831" s="13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5">
      <c r="A832" t="s">
        <v>3062</v>
      </c>
      <c r="B832" s="2">
        <v>45637</v>
      </c>
      <c r="C832" t="s">
        <v>3063</v>
      </c>
      <c r="D832" t="s">
        <v>32</v>
      </c>
      <c r="E832" s="13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3066</v>
      </c>
      <c r="B833" s="2">
        <v>45278</v>
      </c>
      <c r="C833" t="s">
        <v>3067</v>
      </c>
      <c r="D833" t="s">
        <v>48</v>
      </c>
      <c r="E833" s="1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35">
      <c r="A834" t="s">
        <v>3069</v>
      </c>
      <c r="B834" s="2">
        <v>45363</v>
      </c>
      <c r="C834" t="s">
        <v>3070</v>
      </c>
      <c r="D834" t="s">
        <v>41</v>
      </c>
      <c r="E834" s="13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3072</v>
      </c>
      <c r="B835" s="2">
        <v>45730</v>
      </c>
      <c r="C835" t="s">
        <v>3073</v>
      </c>
      <c r="D835" t="s">
        <v>25</v>
      </c>
      <c r="E835" s="13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5">
      <c r="A836" t="s">
        <v>3076</v>
      </c>
      <c r="B836" s="2">
        <v>45393</v>
      </c>
      <c r="C836" t="s">
        <v>3077</v>
      </c>
      <c r="D836" t="s">
        <v>48</v>
      </c>
      <c r="E836" s="13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35">
      <c r="A837" t="s">
        <v>3079</v>
      </c>
      <c r="B837" s="2">
        <v>45377</v>
      </c>
      <c r="C837" t="s">
        <v>3080</v>
      </c>
      <c r="D837" t="s">
        <v>73</v>
      </c>
      <c r="E837" s="13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5">
      <c r="A838" t="s">
        <v>3083</v>
      </c>
      <c r="B838" s="2">
        <v>44959</v>
      </c>
      <c r="C838" t="s">
        <v>3084</v>
      </c>
      <c r="D838" t="s">
        <v>25</v>
      </c>
      <c r="E838" s="13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5">
      <c r="A839" t="s">
        <v>3086</v>
      </c>
      <c r="B839" s="2">
        <v>45822</v>
      </c>
      <c r="C839" t="s">
        <v>3087</v>
      </c>
      <c r="D839" t="s">
        <v>41</v>
      </c>
      <c r="E839" s="13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35">
      <c r="A840" t="s">
        <v>3089</v>
      </c>
      <c r="B840" s="2">
        <v>45393</v>
      </c>
      <c r="C840" t="s">
        <v>3090</v>
      </c>
      <c r="D840" t="s">
        <v>73</v>
      </c>
      <c r="E840" s="13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35">
      <c r="A841" t="s">
        <v>3092</v>
      </c>
      <c r="B841" s="2">
        <v>45162</v>
      </c>
      <c r="C841" t="s">
        <v>3093</v>
      </c>
      <c r="D841" t="s">
        <v>41</v>
      </c>
      <c r="E841" s="13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35">
      <c r="A842" t="s">
        <v>3095</v>
      </c>
      <c r="B842" s="2">
        <v>45305</v>
      </c>
      <c r="C842" t="s">
        <v>3096</v>
      </c>
      <c r="D842" t="s">
        <v>41</v>
      </c>
      <c r="E842" s="13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3098</v>
      </c>
      <c r="B843" s="2">
        <v>45554</v>
      </c>
      <c r="C843" t="s">
        <v>3099</v>
      </c>
      <c r="D843" t="s">
        <v>48</v>
      </c>
      <c r="E843" s="1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35">
      <c r="A844" t="s">
        <v>3102</v>
      </c>
      <c r="B844" s="2">
        <v>45784</v>
      </c>
      <c r="C844" t="s">
        <v>3103</v>
      </c>
      <c r="D844" t="s">
        <v>58</v>
      </c>
      <c r="E844" s="13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5">
      <c r="A845" t="s">
        <v>3105</v>
      </c>
      <c r="B845" s="2">
        <v>45790</v>
      </c>
      <c r="C845" t="s">
        <v>3106</v>
      </c>
      <c r="D845" t="s">
        <v>73</v>
      </c>
      <c r="E845" s="13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3109</v>
      </c>
      <c r="B846" s="2">
        <v>45630</v>
      </c>
      <c r="C846" t="s">
        <v>3110</v>
      </c>
      <c r="D846" t="s">
        <v>41</v>
      </c>
      <c r="E846" s="13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3113</v>
      </c>
      <c r="B847" s="2">
        <v>45207</v>
      </c>
      <c r="C847" t="s">
        <v>3114</v>
      </c>
      <c r="D847" t="s">
        <v>25</v>
      </c>
      <c r="E847" s="13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5">
      <c r="A848" t="s">
        <v>3117</v>
      </c>
      <c r="B848" s="2">
        <v>45477</v>
      </c>
      <c r="C848" t="s">
        <v>3118</v>
      </c>
      <c r="D848" t="s">
        <v>73</v>
      </c>
      <c r="E848" s="13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35">
      <c r="A849" t="s">
        <v>3121</v>
      </c>
      <c r="B849" s="2">
        <v>45614</v>
      </c>
      <c r="C849" t="s">
        <v>3122</v>
      </c>
      <c r="D849" t="s">
        <v>48</v>
      </c>
      <c r="E849" s="13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3124</v>
      </c>
      <c r="B850" s="2">
        <v>44927</v>
      </c>
      <c r="C850" t="s">
        <v>3125</v>
      </c>
      <c r="D850" t="s">
        <v>41</v>
      </c>
      <c r="E850" s="13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35">
      <c r="A851" t="s">
        <v>3127</v>
      </c>
      <c r="B851" s="2">
        <v>45817</v>
      </c>
      <c r="C851" t="s">
        <v>3128</v>
      </c>
      <c r="D851" t="s">
        <v>48</v>
      </c>
      <c r="E851" s="13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5">
      <c r="A852" t="s">
        <v>3130</v>
      </c>
      <c r="B852" s="2">
        <v>45774</v>
      </c>
      <c r="C852" t="s">
        <v>3131</v>
      </c>
      <c r="D852" t="s">
        <v>16</v>
      </c>
      <c r="E852" s="13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3133</v>
      </c>
      <c r="B853" s="2">
        <v>45272</v>
      </c>
      <c r="C853" t="s">
        <v>3134</v>
      </c>
      <c r="D853" t="s">
        <v>58</v>
      </c>
      <c r="E853" s="1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3136</v>
      </c>
      <c r="B854" s="2">
        <v>45589</v>
      </c>
      <c r="C854" t="s">
        <v>3137</v>
      </c>
      <c r="D854" t="s">
        <v>73</v>
      </c>
      <c r="E854" s="13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5">
      <c r="A855" t="s">
        <v>3140</v>
      </c>
      <c r="B855" s="2">
        <v>45215</v>
      </c>
      <c r="C855" t="s">
        <v>3141</v>
      </c>
      <c r="D855" t="s">
        <v>48</v>
      </c>
      <c r="E855" s="13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3143</v>
      </c>
      <c r="B856" s="2">
        <v>45821</v>
      </c>
      <c r="C856" t="s">
        <v>3144</v>
      </c>
      <c r="D856" t="s">
        <v>58</v>
      </c>
      <c r="E856" s="13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5">
      <c r="A857" t="s">
        <v>3146</v>
      </c>
      <c r="B857" s="2">
        <v>45071</v>
      </c>
      <c r="C857" t="s">
        <v>3147</v>
      </c>
      <c r="D857" t="s">
        <v>16</v>
      </c>
      <c r="E857" s="13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3149</v>
      </c>
      <c r="B858" s="2">
        <v>45446</v>
      </c>
      <c r="C858" t="s">
        <v>3150</v>
      </c>
      <c r="D858" t="s">
        <v>25</v>
      </c>
      <c r="E858" s="13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35">
      <c r="A859" t="s">
        <v>3152</v>
      </c>
      <c r="B859" s="2">
        <v>45361</v>
      </c>
      <c r="C859" t="s">
        <v>3153</v>
      </c>
      <c r="D859" t="s">
        <v>25</v>
      </c>
      <c r="E859" s="13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35">
      <c r="A860" t="s">
        <v>3155</v>
      </c>
      <c r="B860" s="2">
        <v>45158</v>
      </c>
      <c r="C860" t="s">
        <v>3156</v>
      </c>
      <c r="D860" t="s">
        <v>32</v>
      </c>
      <c r="E860" s="13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35">
      <c r="A861" t="s">
        <v>3158</v>
      </c>
      <c r="B861" s="2">
        <v>45532</v>
      </c>
      <c r="C861" t="s">
        <v>3159</v>
      </c>
      <c r="D861" t="s">
        <v>41</v>
      </c>
      <c r="E861" s="13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3161</v>
      </c>
      <c r="B862" s="2">
        <v>45314</v>
      </c>
      <c r="C862" t="s">
        <v>3162</v>
      </c>
      <c r="D862" t="s">
        <v>48</v>
      </c>
      <c r="E862" s="13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5">
      <c r="A863" t="s">
        <v>3164</v>
      </c>
      <c r="B863" s="2">
        <v>45004</v>
      </c>
      <c r="C863" t="s">
        <v>3165</v>
      </c>
      <c r="D863" t="s">
        <v>73</v>
      </c>
      <c r="E863" s="1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5">
      <c r="A864" t="s">
        <v>3168</v>
      </c>
      <c r="B864" s="2">
        <v>45262</v>
      </c>
      <c r="C864" t="s">
        <v>3169</v>
      </c>
      <c r="D864" t="s">
        <v>73</v>
      </c>
      <c r="E864" s="13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3171</v>
      </c>
      <c r="B865" s="2">
        <v>45432</v>
      </c>
      <c r="C865" t="s">
        <v>3172</v>
      </c>
      <c r="D865" t="s">
        <v>25</v>
      </c>
      <c r="E865" s="13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3174</v>
      </c>
      <c r="B866" s="2">
        <v>45049</v>
      </c>
      <c r="C866" t="s">
        <v>3175</v>
      </c>
      <c r="D866" t="s">
        <v>73</v>
      </c>
      <c r="E866" s="13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3178</v>
      </c>
      <c r="B867" s="2">
        <v>45046</v>
      </c>
      <c r="C867" t="s">
        <v>3179</v>
      </c>
      <c r="D867" t="s">
        <v>16</v>
      </c>
      <c r="E867" s="13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5">
      <c r="A868" t="s">
        <v>3182</v>
      </c>
      <c r="B868" s="2">
        <v>45499</v>
      </c>
      <c r="C868" t="s">
        <v>3183</v>
      </c>
      <c r="D868" t="s">
        <v>73</v>
      </c>
      <c r="E868" s="13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5">
      <c r="A869" t="s">
        <v>3186</v>
      </c>
      <c r="B869" s="2">
        <v>45438</v>
      </c>
      <c r="C869" t="s">
        <v>3187</v>
      </c>
      <c r="D869" t="s">
        <v>48</v>
      </c>
      <c r="E869" s="13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3190</v>
      </c>
      <c r="B870" s="2">
        <v>45472</v>
      </c>
      <c r="C870" t="s">
        <v>3191</v>
      </c>
      <c r="D870" t="s">
        <v>16</v>
      </c>
      <c r="E870" s="13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35">
      <c r="A871" t="s">
        <v>3194</v>
      </c>
      <c r="B871" s="2">
        <v>45368</v>
      </c>
      <c r="C871" t="s">
        <v>3195</v>
      </c>
      <c r="D871" t="s">
        <v>73</v>
      </c>
      <c r="E871" s="13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5">
      <c r="A872" t="s">
        <v>3197</v>
      </c>
      <c r="B872" s="2">
        <v>45809</v>
      </c>
      <c r="C872" t="s">
        <v>3198</v>
      </c>
      <c r="D872" t="s">
        <v>25</v>
      </c>
      <c r="E872" s="13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5">
      <c r="A873" t="s">
        <v>3201</v>
      </c>
      <c r="B873" s="2">
        <v>45428</v>
      </c>
      <c r="C873" t="s">
        <v>3202</v>
      </c>
      <c r="D873" t="s">
        <v>32</v>
      </c>
      <c r="E873" s="1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5">
      <c r="A874" t="s">
        <v>3205</v>
      </c>
      <c r="B874" s="2">
        <v>45117</v>
      </c>
      <c r="C874" t="s">
        <v>3206</v>
      </c>
      <c r="D874" t="s">
        <v>41</v>
      </c>
      <c r="E874" s="13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35">
      <c r="A875" t="s">
        <v>3208</v>
      </c>
      <c r="B875" s="2">
        <v>45424</v>
      </c>
      <c r="C875" t="s">
        <v>3209</v>
      </c>
      <c r="D875" t="s">
        <v>73</v>
      </c>
      <c r="E875" s="13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3212</v>
      </c>
      <c r="B876" s="2">
        <v>45230</v>
      </c>
      <c r="C876" t="s">
        <v>3213</v>
      </c>
      <c r="D876" t="s">
        <v>41</v>
      </c>
      <c r="E876" s="13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3215</v>
      </c>
      <c r="B877" s="2">
        <v>45141</v>
      </c>
      <c r="C877" t="s">
        <v>3216</v>
      </c>
      <c r="D877" t="s">
        <v>58</v>
      </c>
      <c r="E877" s="13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5">
      <c r="A878" t="s">
        <v>3218</v>
      </c>
      <c r="B878" s="2">
        <v>45452</v>
      </c>
      <c r="C878" t="s">
        <v>3219</v>
      </c>
      <c r="D878" t="s">
        <v>41</v>
      </c>
      <c r="E878" s="13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5">
      <c r="A879" t="s">
        <v>3221</v>
      </c>
      <c r="B879" s="2">
        <v>45498</v>
      </c>
      <c r="C879" t="s">
        <v>3222</v>
      </c>
      <c r="D879" t="s">
        <v>32</v>
      </c>
      <c r="E879" s="13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3224</v>
      </c>
      <c r="B880" s="2">
        <v>45078</v>
      </c>
      <c r="C880" t="s">
        <v>3225</v>
      </c>
      <c r="D880" t="s">
        <v>73</v>
      </c>
      <c r="E880" s="13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5">
      <c r="A881" t="s">
        <v>3228</v>
      </c>
      <c r="B881" s="2">
        <v>45755</v>
      </c>
      <c r="C881" t="s">
        <v>3229</v>
      </c>
      <c r="D881" t="s">
        <v>25</v>
      </c>
      <c r="E881" s="13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35">
      <c r="A882" t="s">
        <v>3231</v>
      </c>
      <c r="B882" s="2">
        <v>45728</v>
      </c>
      <c r="C882" t="s">
        <v>3232</v>
      </c>
      <c r="D882" t="s">
        <v>58</v>
      </c>
      <c r="E882" s="13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3234</v>
      </c>
      <c r="B883" s="2">
        <v>44929</v>
      </c>
      <c r="C883" t="s">
        <v>3235</v>
      </c>
      <c r="D883" t="s">
        <v>32</v>
      </c>
      <c r="E883" s="1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35">
      <c r="A884" t="s">
        <v>3238</v>
      </c>
      <c r="B884" s="2">
        <v>45836</v>
      </c>
      <c r="C884" t="s">
        <v>3239</v>
      </c>
      <c r="D884" t="s">
        <v>25</v>
      </c>
      <c r="E884" s="13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3241</v>
      </c>
      <c r="B885" s="2">
        <v>45790</v>
      </c>
      <c r="C885" t="s">
        <v>3242</v>
      </c>
      <c r="D885" t="s">
        <v>48</v>
      </c>
      <c r="E885" s="13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3245</v>
      </c>
      <c r="B886" s="2">
        <v>45427</v>
      </c>
      <c r="C886" t="s">
        <v>3246</v>
      </c>
      <c r="D886" t="s">
        <v>41</v>
      </c>
      <c r="E886" s="13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35">
      <c r="A887" t="s">
        <v>3249</v>
      </c>
      <c r="B887" s="2">
        <v>45389</v>
      </c>
      <c r="C887" t="s">
        <v>3250</v>
      </c>
      <c r="D887" t="s">
        <v>58</v>
      </c>
      <c r="E887" s="13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5">
      <c r="A888" t="s">
        <v>3253</v>
      </c>
      <c r="B888" s="2">
        <v>45224</v>
      </c>
      <c r="C888" t="s">
        <v>3254</v>
      </c>
      <c r="D888" t="s">
        <v>25</v>
      </c>
      <c r="E888" s="13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35">
      <c r="A889" t="s">
        <v>3257</v>
      </c>
      <c r="B889" s="2">
        <v>45645</v>
      </c>
      <c r="C889" t="s">
        <v>3258</v>
      </c>
      <c r="D889" t="s">
        <v>41</v>
      </c>
      <c r="E889" s="13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35">
      <c r="A890" t="s">
        <v>3261</v>
      </c>
      <c r="B890" s="2">
        <v>45496</v>
      </c>
      <c r="C890" t="s">
        <v>3262</v>
      </c>
      <c r="D890" t="s">
        <v>58</v>
      </c>
      <c r="E890" s="13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35">
      <c r="A891" t="s">
        <v>3265</v>
      </c>
      <c r="B891" s="2">
        <v>45592</v>
      </c>
      <c r="C891" t="s">
        <v>3266</v>
      </c>
      <c r="D891" t="s">
        <v>16</v>
      </c>
      <c r="E891" s="13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5">
      <c r="A892" t="s">
        <v>3269</v>
      </c>
      <c r="B892" s="2">
        <v>45149</v>
      </c>
      <c r="C892" t="s">
        <v>3270</v>
      </c>
      <c r="D892" t="s">
        <v>58</v>
      </c>
      <c r="E892" s="13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35">
      <c r="A893" t="s">
        <v>3272</v>
      </c>
      <c r="B893" s="2">
        <v>45241</v>
      </c>
      <c r="C893" t="s">
        <v>3273</v>
      </c>
      <c r="D893" t="s">
        <v>16</v>
      </c>
      <c r="E893" s="1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3276</v>
      </c>
      <c r="B894" s="2">
        <v>45447</v>
      </c>
      <c r="C894" t="s">
        <v>3277</v>
      </c>
      <c r="D894" t="s">
        <v>73</v>
      </c>
      <c r="E894" s="13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3280</v>
      </c>
      <c r="B895" s="2">
        <v>45006</v>
      </c>
      <c r="C895" t="s">
        <v>3281</v>
      </c>
      <c r="D895" t="s">
        <v>16</v>
      </c>
      <c r="E895" s="13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3283</v>
      </c>
      <c r="B896" s="2">
        <v>45069</v>
      </c>
      <c r="C896" t="s">
        <v>3284</v>
      </c>
      <c r="D896" t="s">
        <v>32</v>
      </c>
      <c r="E896" s="13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5">
      <c r="A897" t="s">
        <v>3286</v>
      </c>
      <c r="B897" s="2">
        <v>45239</v>
      </c>
      <c r="C897" t="s">
        <v>3287</v>
      </c>
      <c r="D897" t="s">
        <v>41</v>
      </c>
      <c r="E897" s="13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5">
      <c r="A898" t="s">
        <v>3290</v>
      </c>
      <c r="B898" s="2">
        <v>45583</v>
      </c>
      <c r="C898" t="s">
        <v>3291</v>
      </c>
      <c r="D898" t="s">
        <v>73</v>
      </c>
      <c r="E898" s="13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5">
      <c r="A899" t="s">
        <v>3293</v>
      </c>
      <c r="B899" s="2">
        <v>45538</v>
      </c>
      <c r="C899" t="s">
        <v>3294</v>
      </c>
      <c r="D899" t="s">
        <v>58</v>
      </c>
      <c r="E899" s="13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3296</v>
      </c>
      <c r="B900" s="2">
        <v>45721</v>
      </c>
      <c r="C900" t="s">
        <v>3297</v>
      </c>
      <c r="D900" t="s">
        <v>16</v>
      </c>
      <c r="E900" s="13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35">
      <c r="A901" t="s">
        <v>3299</v>
      </c>
      <c r="B901" s="2">
        <v>45770</v>
      </c>
      <c r="C901" t="s">
        <v>3300</v>
      </c>
      <c r="D901" t="s">
        <v>48</v>
      </c>
      <c r="E901" s="13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3302</v>
      </c>
      <c r="B902" s="2">
        <v>45695</v>
      </c>
      <c r="C902" t="s">
        <v>3303</v>
      </c>
      <c r="D902" t="s">
        <v>58</v>
      </c>
      <c r="E902" s="13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35">
      <c r="A903" t="s">
        <v>3305</v>
      </c>
      <c r="B903" s="2">
        <v>45410</v>
      </c>
      <c r="C903" t="s">
        <v>3306</v>
      </c>
      <c r="D903" t="s">
        <v>32</v>
      </c>
      <c r="E903" s="1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5">
      <c r="A904" t="s">
        <v>3308</v>
      </c>
      <c r="B904" s="2">
        <v>45486</v>
      </c>
      <c r="C904" t="s">
        <v>3309</v>
      </c>
      <c r="D904" t="s">
        <v>16</v>
      </c>
      <c r="E904" s="13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35">
      <c r="A905" t="s">
        <v>3311</v>
      </c>
      <c r="B905" s="2">
        <v>45063</v>
      </c>
      <c r="C905" t="s">
        <v>3312</v>
      </c>
      <c r="D905" t="s">
        <v>16</v>
      </c>
      <c r="E905" s="13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35">
      <c r="A906" t="s">
        <v>3314</v>
      </c>
      <c r="B906" s="2">
        <v>45693</v>
      </c>
      <c r="C906" t="s">
        <v>3315</v>
      </c>
      <c r="D906" t="s">
        <v>16</v>
      </c>
      <c r="E906" s="13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5">
      <c r="A907" t="s">
        <v>3317</v>
      </c>
      <c r="B907" s="2">
        <v>45253</v>
      </c>
      <c r="C907" t="s">
        <v>3318</v>
      </c>
      <c r="D907" t="s">
        <v>58</v>
      </c>
      <c r="E907" s="13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3320</v>
      </c>
      <c r="B908" s="2">
        <v>45538</v>
      </c>
      <c r="C908" t="s">
        <v>3321</v>
      </c>
      <c r="D908" t="s">
        <v>16</v>
      </c>
      <c r="E908" s="13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35">
      <c r="A909" t="s">
        <v>3324</v>
      </c>
      <c r="B909" s="2">
        <v>45508</v>
      </c>
      <c r="C909" t="s">
        <v>3325</v>
      </c>
      <c r="D909" t="s">
        <v>73</v>
      </c>
      <c r="E909" s="13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5">
      <c r="A910" t="s">
        <v>3327</v>
      </c>
      <c r="B910" s="2">
        <v>45783</v>
      </c>
      <c r="C910" t="s">
        <v>3328</v>
      </c>
      <c r="D910" t="s">
        <v>73</v>
      </c>
      <c r="E910" s="13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5">
      <c r="A911" t="s">
        <v>3330</v>
      </c>
      <c r="B911" s="2">
        <v>45439</v>
      </c>
      <c r="C911" t="s">
        <v>3331</v>
      </c>
      <c r="D911" t="s">
        <v>32</v>
      </c>
      <c r="E911" s="13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3333</v>
      </c>
      <c r="B912" s="2">
        <v>45443</v>
      </c>
      <c r="C912" t="s">
        <v>3334</v>
      </c>
      <c r="D912" t="s">
        <v>48</v>
      </c>
      <c r="E912" s="13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3336</v>
      </c>
      <c r="B913" s="2">
        <v>45517</v>
      </c>
      <c r="C913" t="s">
        <v>3337</v>
      </c>
      <c r="D913" t="s">
        <v>73</v>
      </c>
      <c r="E913" s="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3339</v>
      </c>
      <c r="B914" s="2">
        <v>45313</v>
      </c>
      <c r="C914" t="s">
        <v>3340</v>
      </c>
      <c r="D914" t="s">
        <v>73</v>
      </c>
      <c r="E914" s="13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3342</v>
      </c>
      <c r="B915" s="2">
        <v>44973</v>
      </c>
      <c r="C915" t="s">
        <v>3343</v>
      </c>
      <c r="D915" t="s">
        <v>48</v>
      </c>
      <c r="E915" s="13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5">
      <c r="A916" t="s">
        <v>3345</v>
      </c>
      <c r="B916" s="2">
        <v>45698</v>
      </c>
      <c r="C916" t="s">
        <v>3346</v>
      </c>
      <c r="D916" t="s">
        <v>73</v>
      </c>
      <c r="E916" s="13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5">
      <c r="A917" t="s">
        <v>3348</v>
      </c>
      <c r="B917" s="2">
        <v>45338</v>
      </c>
      <c r="C917" t="s">
        <v>3349</v>
      </c>
      <c r="D917" t="s">
        <v>58</v>
      </c>
      <c r="E917" s="13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5">
      <c r="A918" t="s">
        <v>3352</v>
      </c>
      <c r="B918" s="2">
        <v>45464</v>
      </c>
      <c r="C918" t="s">
        <v>3353</v>
      </c>
      <c r="D918" t="s">
        <v>48</v>
      </c>
      <c r="E918" s="13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35">
      <c r="A919" t="s">
        <v>3355</v>
      </c>
      <c r="B919" s="2">
        <v>45677</v>
      </c>
      <c r="C919" t="s">
        <v>3356</v>
      </c>
      <c r="D919" t="s">
        <v>58</v>
      </c>
      <c r="E919" s="13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5">
      <c r="A920" t="s">
        <v>3359</v>
      </c>
      <c r="B920" s="2">
        <v>45832</v>
      </c>
      <c r="C920" t="s">
        <v>3360</v>
      </c>
      <c r="D920" t="s">
        <v>58</v>
      </c>
      <c r="E920" s="13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35">
      <c r="A921" t="s">
        <v>3362</v>
      </c>
      <c r="B921" s="2">
        <v>45695</v>
      </c>
      <c r="C921" t="s">
        <v>3363</v>
      </c>
      <c r="D921" t="s">
        <v>48</v>
      </c>
      <c r="E921" s="13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3365</v>
      </c>
      <c r="B922" s="2">
        <v>45728</v>
      </c>
      <c r="C922" t="s">
        <v>3366</v>
      </c>
      <c r="D922" t="s">
        <v>32</v>
      </c>
      <c r="E922" s="13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35">
      <c r="A923" t="s">
        <v>3368</v>
      </c>
      <c r="B923" s="2">
        <v>45131</v>
      </c>
      <c r="C923" t="s">
        <v>3369</v>
      </c>
      <c r="D923" t="s">
        <v>32</v>
      </c>
      <c r="E923" s="1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3372</v>
      </c>
      <c r="B924" s="2">
        <v>45460</v>
      </c>
      <c r="C924" t="s">
        <v>3373</v>
      </c>
      <c r="D924" t="s">
        <v>73</v>
      </c>
      <c r="E924" s="13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35">
      <c r="A925" t="s">
        <v>3376</v>
      </c>
      <c r="B925" s="2">
        <v>44968</v>
      </c>
      <c r="C925" t="s">
        <v>3377</v>
      </c>
      <c r="D925" t="s">
        <v>48</v>
      </c>
      <c r="E925" s="13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5">
      <c r="A926" t="s">
        <v>3379</v>
      </c>
      <c r="B926" s="2">
        <v>45738</v>
      </c>
      <c r="C926" t="s">
        <v>3380</v>
      </c>
      <c r="D926" t="s">
        <v>48</v>
      </c>
      <c r="E926" s="13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3382</v>
      </c>
      <c r="B927" s="2">
        <v>45646</v>
      </c>
      <c r="C927" t="s">
        <v>3383</v>
      </c>
      <c r="D927" t="s">
        <v>16</v>
      </c>
      <c r="E927" s="13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5">
      <c r="A928" t="s">
        <v>3385</v>
      </c>
      <c r="B928" s="2">
        <v>45371</v>
      </c>
      <c r="C928" t="s">
        <v>3386</v>
      </c>
      <c r="D928" t="s">
        <v>73</v>
      </c>
      <c r="E928" s="13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5">
      <c r="A929" t="s">
        <v>3388</v>
      </c>
      <c r="B929" s="2">
        <v>44971</v>
      </c>
      <c r="C929" t="s">
        <v>3389</v>
      </c>
      <c r="D929" t="s">
        <v>58</v>
      </c>
      <c r="E929" s="13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5">
      <c r="A930" t="s">
        <v>3391</v>
      </c>
      <c r="B930" s="2">
        <v>45421</v>
      </c>
      <c r="C930" t="s">
        <v>3392</v>
      </c>
      <c r="D930" t="s">
        <v>58</v>
      </c>
      <c r="E930" s="13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5">
      <c r="A931" t="s">
        <v>3394</v>
      </c>
      <c r="B931" s="2">
        <v>45581</v>
      </c>
      <c r="C931" t="s">
        <v>3395</v>
      </c>
      <c r="D931" t="s">
        <v>32</v>
      </c>
      <c r="E931" s="13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35">
      <c r="A932" t="s">
        <v>3397</v>
      </c>
      <c r="B932" s="2">
        <v>45642</v>
      </c>
      <c r="C932" t="s">
        <v>3398</v>
      </c>
      <c r="D932" t="s">
        <v>25</v>
      </c>
      <c r="E932" s="13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3400</v>
      </c>
      <c r="B933" s="2">
        <v>45292</v>
      </c>
      <c r="C933" t="s">
        <v>3401</v>
      </c>
      <c r="D933" t="s">
        <v>48</v>
      </c>
      <c r="E933" s="1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5">
      <c r="A934" t="s">
        <v>3403</v>
      </c>
      <c r="B934" s="2">
        <v>45011</v>
      </c>
      <c r="C934" t="s">
        <v>3404</v>
      </c>
      <c r="D934" t="s">
        <v>58</v>
      </c>
      <c r="E934" s="13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5">
      <c r="A935" t="s">
        <v>3407</v>
      </c>
      <c r="B935" s="2">
        <v>44952</v>
      </c>
      <c r="C935" t="s">
        <v>3408</v>
      </c>
      <c r="D935" t="s">
        <v>16</v>
      </c>
      <c r="E935" s="13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35">
      <c r="A936" t="s">
        <v>3410</v>
      </c>
      <c r="B936" s="2">
        <v>45809</v>
      </c>
      <c r="C936" t="s">
        <v>3411</v>
      </c>
      <c r="D936" t="s">
        <v>58</v>
      </c>
      <c r="E936" s="13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3413</v>
      </c>
      <c r="B937" s="2">
        <v>45254</v>
      </c>
      <c r="C937" t="s">
        <v>3414</v>
      </c>
      <c r="D937" t="s">
        <v>25</v>
      </c>
      <c r="E937" s="13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3416</v>
      </c>
      <c r="B938" s="2">
        <v>45303</v>
      </c>
      <c r="C938" t="s">
        <v>3417</v>
      </c>
      <c r="D938" t="s">
        <v>41</v>
      </c>
      <c r="E938" s="13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3419</v>
      </c>
      <c r="B939" s="2">
        <v>45307</v>
      </c>
      <c r="C939" t="s">
        <v>3420</v>
      </c>
      <c r="D939" t="s">
        <v>41</v>
      </c>
      <c r="E939" s="13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5">
      <c r="A940" t="s">
        <v>3422</v>
      </c>
      <c r="B940" s="2">
        <v>45119</v>
      </c>
      <c r="C940" t="s">
        <v>3423</v>
      </c>
      <c r="D940" t="s">
        <v>41</v>
      </c>
      <c r="E940" s="13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35">
      <c r="A941" t="s">
        <v>3425</v>
      </c>
      <c r="B941" s="2">
        <v>45763</v>
      </c>
      <c r="C941" t="s">
        <v>3426</v>
      </c>
      <c r="D941" t="s">
        <v>58</v>
      </c>
      <c r="E941" s="13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3429</v>
      </c>
      <c r="B942" s="2">
        <v>45012</v>
      </c>
      <c r="C942" t="s">
        <v>3430</v>
      </c>
      <c r="D942" t="s">
        <v>48</v>
      </c>
      <c r="E942" s="13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5">
      <c r="A943" t="s">
        <v>3433</v>
      </c>
      <c r="B943" s="2">
        <v>45124</v>
      </c>
      <c r="C943" t="s">
        <v>1700</v>
      </c>
      <c r="D943" t="s">
        <v>48</v>
      </c>
      <c r="E943" s="1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3435</v>
      </c>
      <c r="B944" s="2">
        <v>45198</v>
      </c>
      <c r="C944" t="s">
        <v>3436</v>
      </c>
      <c r="D944" t="s">
        <v>32</v>
      </c>
      <c r="E944" s="13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35">
      <c r="A945" t="s">
        <v>3438</v>
      </c>
      <c r="B945" s="2">
        <v>45287</v>
      </c>
      <c r="C945" t="s">
        <v>3439</v>
      </c>
      <c r="D945" t="s">
        <v>16</v>
      </c>
      <c r="E945" s="13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3442</v>
      </c>
      <c r="B946" s="2">
        <v>45642</v>
      </c>
      <c r="C946" t="s">
        <v>3443</v>
      </c>
      <c r="D946" t="s">
        <v>58</v>
      </c>
      <c r="E946" s="13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5">
      <c r="A947" t="s">
        <v>3445</v>
      </c>
      <c r="B947" s="2">
        <v>45158</v>
      </c>
      <c r="C947" t="s">
        <v>3446</v>
      </c>
      <c r="D947" t="s">
        <v>32</v>
      </c>
      <c r="E947" s="13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3448</v>
      </c>
      <c r="B948" s="2">
        <v>45416</v>
      </c>
      <c r="C948" t="s">
        <v>3449</v>
      </c>
      <c r="D948" t="s">
        <v>25</v>
      </c>
      <c r="E948" s="13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3451</v>
      </c>
      <c r="B949" s="2">
        <v>45176</v>
      </c>
      <c r="C949" t="s">
        <v>3452</v>
      </c>
      <c r="D949" t="s">
        <v>25</v>
      </c>
      <c r="E949" s="13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3454</v>
      </c>
      <c r="B950" s="2">
        <v>45464</v>
      </c>
      <c r="C950" t="s">
        <v>1722</v>
      </c>
      <c r="D950" t="s">
        <v>25</v>
      </c>
      <c r="E950" s="13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35">
      <c r="A951" t="s">
        <v>3456</v>
      </c>
      <c r="B951" s="2">
        <v>45239</v>
      </c>
      <c r="C951" t="s">
        <v>3457</v>
      </c>
      <c r="D951" t="s">
        <v>73</v>
      </c>
      <c r="E951" s="13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35">
      <c r="A952" t="s">
        <v>3459</v>
      </c>
      <c r="B952" s="2">
        <v>45443</v>
      </c>
      <c r="C952" t="s">
        <v>3460</v>
      </c>
      <c r="D952" t="s">
        <v>58</v>
      </c>
      <c r="E952" s="13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3462</v>
      </c>
      <c r="B953" s="2">
        <v>45495</v>
      </c>
      <c r="C953" t="s">
        <v>3463</v>
      </c>
      <c r="D953" t="s">
        <v>48</v>
      </c>
      <c r="E953" s="1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3465</v>
      </c>
      <c r="B954" s="2">
        <v>45715</v>
      </c>
      <c r="C954" t="s">
        <v>3466</v>
      </c>
      <c r="D954" t="s">
        <v>16</v>
      </c>
      <c r="E954" s="13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35">
      <c r="A955" t="s">
        <v>3469</v>
      </c>
      <c r="B955" s="2">
        <v>44963</v>
      </c>
      <c r="C955" t="s">
        <v>3470</v>
      </c>
      <c r="D955" t="s">
        <v>25</v>
      </c>
      <c r="E955" s="13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3472</v>
      </c>
      <c r="B956" s="2">
        <v>45587</v>
      </c>
      <c r="C956" t="s">
        <v>3473</v>
      </c>
      <c r="D956" t="s">
        <v>41</v>
      </c>
      <c r="E956" s="13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5">
      <c r="A957" t="s">
        <v>3475</v>
      </c>
      <c r="B957" s="2">
        <v>44949</v>
      </c>
      <c r="C957" t="s">
        <v>3476</v>
      </c>
      <c r="D957" t="s">
        <v>41</v>
      </c>
      <c r="E957" s="13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5">
      <c r="A958" t="s">
        <v>3478</v>
      </c>
      <c r="B958" s="2">
        <v>45393</v>
      </c>
      <c r="C958" t="s">
        <v>2899</v>
      </c>
      <c r="D958" t="s">
        <v>25</v>
      </c>
      <c r="E958" s="13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3481</v>
      </c>
      <c r="B959" s="2">
        <v>44938</v>
      </c>
      <c r="C959" t="s">
        <v>3482</v>
      </c>
      <c r="D959" t="s">
        <v>16</v>
      </c>
      <c r="E959" s="13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5">
      <c r="A960" t="s">
        <v>3485</v>
      </c>
      <c r="B960" s="2">
        <v>45059</v>
      </c>
      <c r="C960" t="s">
        <v>3486</v>
      </c>
      <c r="D960" t="s">
        <v>73</v>
      </c>
      <c r="E960" s="13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5">
      <c r="A961" t="s">
        <v>3488</v>
      </c>
      <c r="B961" s="2">
        <v>45395</v>
      </c>
      <c r="C961" t="s">
        <v>3489</v>
      </c>
      <c r="D961" t="s">
        <v>32</v>
      </c>
      <c r="E961" s="13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3491</v>
      </c>
      <c r="B962" s="2">
        <v>45271</v>
      </c>
      <c r="C962" t="s">
        <v>3492</v>
      </c>
      <c r="D962" t="s">
        <v>58</v>
      </c>
      <c r="E962" s="13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5">
      <c r="A963" t="s">
        <v>3494</v>
      </c>
      <c r="B963" s="2">
        <v>45607</v>
      </c>
      <c r="C963" t="s">
        <v>3495</v>
      </c>
      <c r="D963" t="s">
        <v>25</v>
      </c>
      <c r="E963" s="1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35">
      <c r="A964" t="s">
        <v>3497</v>
      </c>
      <c r="B964" s="2">
        <v>45541</v>
      </c>
      <c r="C964" t="s">
        <v>3498</v>
      </c>
      <c r="D964" t="s">
        <v>25</v>
      </c>
      <c r="E964" s="13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3500</v>
      </c>
      <c r="B965" s="2">
        <v>45362</v>
      </c>
      <c r="C965" t="s">
        <v>3501</v>
      </c>
      <c r="D965" t="s">
        <v>41</v>
      </c>
      <c r="E965" s="13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5">
      <c r="A966" t="s">
        <v>3503</v>
      </c>
      <c r="B966" s="2">
        <v>45158</v>
      </c>
      <c r="C966" t="s">
        <v>3504</v>
      </c>
      <c r="D966" t="s">
        <v>25</v>
      </c>
      <c r="E966" s="13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3506</v>
      </c>
      <c r="B967" s="2">
        <v>45826</v>
      </c>
      <c r="C967" t="s">
        <v>3507</v>
      </c>
      <c r="D967" t="s">
        <v>58</v>
      </c>
      <c r="E967" s="13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3509</v>
      </c>
      <c r="B968" s="2">
        <v>45797</v>
      </c>
      <c r="C968" t="s">
        <v>3510</v>
      </c>
      <c r="D968" t="s">
        <v>16</v>
      </c>
      <c r="E968" s="13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5">
      <c r="A969" t="s">
        <v>3513</v>
      </c>
      <c r="B969" s="2">
        <v>45783</v>
      </c>
      <c r="C969" t="s">
        <v>3514</v>
      </c>
      <c r="D969" t="s">
        <v>32</v>
      </c>
      <c r="E969" s="13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5">
      <c r="A970" t="s">
        <v>3517</v>
      </c>
      <c r="B970" s="2">
        <v>45330</v>
      </c>
      <c r="C970" t="s">
        <v>3518</v>
      </c>
      <c r="D970" t="s">
        <v>16</v>
      </c>
      <c r="E970" s="13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5">
      <c r="A971" t="s">
        <v>3520</v>
      </c>
      <c r="B971" s="2">
        <v>45813</v>
      </c>
      <c r="C971" t="s">
        <v>3521</v>
      </c>
      <c r="D971" t="s">
        <v>73</v>
      </c>
      <c r="E971" s="13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5">
      <c r="A972" t="s">
        <v>3524</v>
      </c>
      <c r="B972" s="2">
        <v>45542</v>
      </c>
      <c r="C972" t="s">
        <v>3525</v>
      </c>
      <c r="D972" t="s">
        <v>73</v>
      </c>
      <c r="E972" s="13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3528</v>
      </c>
      <c r="B973" s="2">
        <v>45439</v>
      </c>
      <c r="C973" t="s">
        <v>3529</v>
      </c>
      <c r="D973" t="s">
        <v>16</v>
      </c>
      <c r="E973" s="1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5">
      <c r="A974" t="s">
        <v>3531</v>
      </c>
      <c r="B974" s="2">
        <v>45452</v>
      </c>
      <c r="C974" t="s">
        <v>3532</v>
      </c>
      <c r="D974" t="s">
        <v>58</v>
      </c>
      <c r="E974" s="13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3535</v>
      </c>
      <c r="B975" s="2">
        <v>45817</v>
      </c>
      <c r="C975" t="s">
        <v>3536</v>
      </c>
      <c r="D975" t="s">
        <v>73</v>
      </c>
      <c r="E975" s="13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5">
      <c r="A976" t="s">
        <v>3538</v>
      </c>
      <c r="B976" s="2">
        <v>45196</v>
      </c>
      <c r="C976" t="s">
        <v>3539</v>
      </c>
      <c r="D976" t="s">
        <v>73</v>
      </c>
      <c r="E976" s="13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35">
      <c r="A977" t="s">
        <v>3541</v>
      </c>
      <c r="B977" s="2">
        <v>45064</v>
      </c>
      <c r="C977" t="s">
        <v>3542</v>
      </c>
      <c r="D977" t="s">
        <v>73</v>
      </c>
      <c r="E977" s="13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3544</v>
      </c>
      <c r="B978" s="2">
        <v>45386</v>
      </c>
      <c r="C978" t="s">
        <v>3545</v>
      </c>
      <c r="D978" t="s">
        <v>32</v>
      </c>
      <c r="E978" s="13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5">
      <c r="A979" t="s">
        <v>3547</v>
      </c>
      <c r="B979" s="2">
        <v>44954</v>
      </c>
      <c r="C979" t="s">
        <v>3548</v>
      </c>
      <c r="D979" t="s">
        <v>41</v>
      </c>
      <c r="E979" s="13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5">
      <c r="A980" t="s">
        <v>3551</v>
      </c>
      <c r="B980" s="2">
        <v>45468</v>
      </c>
      <c r="C980" t="s">
        <v>3552</v>
      </c>
      <c r="D980" t="s">
        <v>48</v>
      </c>
      <c r="E980" s="13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35">
      <c r="A981" t="s">
        <v>3554</v>
      </c>
      <c r="B981" s="2">
        <v>45077</v>
      </c>
      <c r="C981" t="s">
        <v>3555</v>
      </c>
      <c r="D981" t="s">
        <v>16</v>
      </c>
      <c r="E981" s="13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3557</v>
      </c>
      <c r="B982" s="2">
        <v>45213</v>
      </c>
      <c r="C982" t="s">
        <v>3558</v>
      </c>
      <c r="D982" t="s">
        <v>41</v>
      </c>
      <c r="E982" s="13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5">
      <c r="A983" t="s">
        <v>3561</v>
      </c>
      <c r="B983" s="2">
        <v>45256</v>
      </c>
      <c r="C983" t="s">
        <v>3562</v>
      </c>
      <c r="D983" t="s">
        <v>25</v>
      </c>
      <c r="E983" s="1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3565</v>
      </c>
      <c r="B984" s="2">
        <v>45541</v>
      </c>
      <c r="C984" t="s">
        <v>3566</v>
      </c>
      <c r="D984" t="s">
        <v>16</v>
      </c>
      <c r="E984" s="13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3568</v>
      </c>
      <c r="B985" s="2">
        <v>45620</v>
      </c>
      <c r="C985" t="s">
        <v>3569</v>
      </c>
      <c r="D985" t="s">
        <v>16</v>
      </c>
      <c r="E985" s="13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3572</v>
      </c>
      <c r="B986" s="2">
        <v>45716</v>
      </c>
      <c r="C986" t="s">
        <v>3573</v>
      </c>
      <c r="D986" t="s">
        <v>73</v>
      </c>
      <c r="E986" s="13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3575</v>
      </c>
      <c r="B987" s="2">
        <v>45493</v>
      </c>
      <c r="C987" t="s">
        <v>3576</v>
      </c>
      <c r="D987" t="s">
        <v>73</v>
      </c>
      <c r="E987" s="13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5">
      <c r="A988" t="s">
        <v>3578</v>
      </c>
      <c r="B988" s="2">
        <v>45542</v>
      </c>
      <c r="C988" t="s">
        <v>3579</v>
      </c>
      <c r="D988" t="s">
        <v>58</v>
      </c>
      <c r="E988" s="13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3581</v>
      </c>
      <c r="B989" s="2">
        <v>45813</v>
      </c>
      <c r="C989" t="s">
        <v>3582</v>
      </c>
      <c r="D989" t="s">
        <v>25</v>
      </c>
      <c r="E989" s="13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3584</v>
      </c>
      <c r="B990" s="2">
        <v>45692</v>
      </c>
      <c r="C990" t="s">
        <v>3585</v>
      </c>
      <c r="D990" t="s">
        <v>73</v>
      </c>
      <c r="E990" s="13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5">
      <c r="A991" t="s">
        <v>3587</v>
      </c>
      <c r="B991" s="2">
        <v>45008</v>
      </c>
      <c r="C991" t="s">
        <v>3588</v>
      </c>
      <c r="D991" t="s">
        <v>58</v>
      </c>
      <c r="E991" s="13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3591</v>
      </c>
      <c r="B992" s="2">
        <v>45249</v>
      </c>
      <c r="C992" t="s">
        <v>3592</v>
      </c>
      <c r="D992" t="s">
        <v>25</v>
      </c>
      <c r="E992" s="13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5">
      <c r="A993" t="s">
        <v>3595</v>
      </c>
      <c r="B993" s="2">
        <v>45421</v>
      </c>
      <c r="C993" t="s">
        <v>3596</v>
      </c>
      <c r="D993" t="s">
        <v>73</v>
      </c>
      <c r="E993" s="1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35">
      <c r="A994" t="s">
        <v>3598</v>
      </c>
      <c r="B994" s="2">
        <v>45531</v>
      </c>
      <c r="C994" t="s">
        <v>3599</v>
      </c>
      <c r="D994" t="s">
        <v>48</v>
      </c>
      <c r="E994" s="13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5">
      <c r="A995" t="s">
        <v>3601</v>
      </c>
      <c r="B995" s="2">
        <v>45388</v>
      </c>
      <c r="C995" t="s">
        <v>3602</v>
      </c>
      <c r="D995" t="s">
        <v>16</v>
      </c>
      <c r="E995" s="13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35">
      <c r="A996" t="s">
        <v>3605</v>
      </c>
      <c r="B996" s="2">
        <v>45470</v>
      </c>
      <c r="C996" t="s">
        <v>3606</v>
      </c>
      <c r="D996" t="s">
        <v>32</v>
      </c>
      <c r="E996" s="13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5">
      <c r="A997" t="s">
        <v>3608</v>
      </c>
      <c r="B997" s="2">
        <v>45248</v>
      </c>
      <c r="C997" t="s">
        <v>3609</v>
      </c>
      <c r="D997" t="s">
        <v>16</v>
      </c>
      <c r="E997" s="13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3611</v>
      </c>
      <c r="B998" s="2">
        <v>45410</v>
      </c>
      <c r="C998" t="s">
        <v>3612</v>
      </c>
      <c r="D998" t="s">
        <v>16</v>
      </c>
      <c r="E998" s="13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3614</v>
      </c>
      <c r="B999" s="2">
        <v>45257</v>
      </c>
      <c r="C999" t="s">
        <v>3615</v>
      </c>
      <c r="D999" t="s">
        <v>58</v>
      </c>
      <c r="E999" s="13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3617</v>
      </c>
      <c r="B1000" s="2">
        <v>45065</v>
      </c>
      <c r="C1000" t="s">
        <v>3618</v>
      </c>
      <c r="D1000" t="s">
        <v>25</v>
      </c>
      <c r="E1000" s="13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5">
      <c r="A1001" t="s">
        <v>3620</v>
      </c>
      <c r="B1001" s="2">
        <v>45284</v>
      </c>
      <c r="C1001" t="s">
        <v>3621</v>
      </c>
      <c r="D1001" t="s">
        <v>48</v>
      </c>
      <c r="E1001" s="13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5">
      <c r="A1002" t="s">
        <v>3623</v>
      </c>
      <c r="B1002" s="2">
        <v>45098</v>
      </c>
      <c r="C1002" t="s">
        <v>3624</v>
      </c>
      <c r="D1002" t="s">
        <v>48</v>
      </c>
      <c r="E1002" s="13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3627</v>
      </c>
      <c r="B1003" s="2">
        <v>45268</v>
      </c>
      <c r="C1003" t="s">
        <v>3628</v>
      </c>
      <c r="D1003" t="s">
        <v>48</v>
      </c>
      <c r="E1003" s="1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35">
      <c r="A1004" t="s">
        <v>3630</v>
      </c>
      <c r="B1004" s="2">
        <v>45827</v>
      </c>
      <c r="C1004" t="s">
        <v>3631</v>
      </c>
      <c r="D1004" t="s">
        <v>32</v>
      </c>
      <c r="E1004" s="13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5">
      <c r="A1005" t="s">
        <v>3633</v>
      </c>
      <c r="B1005" s="2">
        <v>44937</v>
      </c>
      <c r="C1005" t="s">
        <v>3634</v>
      </c>
      <c r="D1005" t="s">
        <v>48</v>
      </c>
      <c r="E1005" s="13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5">
      <c r="A1006" t="s">
        <v>3636</v>
      </c>
      <c r="B1006" s="2">
        <v>45817</v>
      </c>
      <c r="C1006" t="s">
        <v>3637</v>
      </c>
      <c r="D1006" t="s">
        <v>41</v>
      </c>
      <c r="E1006" s="13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3639</v>
      </c>
      <c r="B1007" s="2">
        <v>44987</v>
      </c>
      <c r="C1007" t="s">
        <v>3640</v>
      </c>
      <c r="D1007" t="s">
        <v>48</v>
      </c>
      <c r="E1007" s="13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35">
      <c r="A1008" t="s">
        <v>3642</v>
      </c>
      <c r="B1008" s="2">
        <v>45439</v>
      </c>
      <c r="C1008" t="s">
        <v>3643</v>
      </c>
      <c r="D1008" t="s">
        <v>32</v>
      </c>
      <c r="E1008" s="13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3645</v>
      </c>
      <c r="B1009" s="2">
        <v>45371</v>
      </c>
      <c r="C1009" t="s">
        <v>1868</v>
      </c>
      <c r="D1009" t="s">
        <v>16</v>
      </c>
      <c r="E1009" s="13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5">
      <c r="A1010" t="s">
        <v>3647</v>
      </c>
      <c r="B1010" s="2">
        <v>44939</v>
      </c>
      <c r="C1010" t="s">
        <v>3648</v>
      </c>
      <c r="D1010" t="s">
        <v>16</v>
      </c>
      <c r="E1010" s="13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3650</v>
      </c>
      <c r="B1011" s="2">
        <v>45171</v>
      </c>
      <c r="C1011" t="s">
        <v>3651</v>
      </c>
      <c r="D1011" t="s">
        <v>32</v>
      </c>
      <c r="E1011" s="13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3653</v>
      </c>
      <c r="B1012" s="2">
        <v>45016</v>
      </c>
      <c r="C1012" t="s">
        <v>3654</v>
      </c>
      <c r="D1012" t="s">
        <v>16</v>
      </c>
      <c r="E1012" s="13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3656</v>
      </c>
      <c r="B1013" s="2">
        <v>45629</v>
      </c>
      <c r="C1013" t="s">
        <v>3657</v>
      </c>
      <c r="D1013" t="s">
        <v>25</v>
      </c>
      <c r="E1013" s="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35">
      <c r="A1014" t="s">
        <v>3659</v>
      </c>
      <c r="B1014" s="2">
        <v>45629</v>
      </c>
      <c r="C1014" t="s">
        <v>3660</v>
      </c>
      <c r="D1014" t="s">
        <v>48</v>
      </c>
      <c r="E1014" s="13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35">
      <c r="A1015" t="s">
        <v>3662</v>
      </c>
      <c r="B1015" s="2">
        <v>45773</v>
      </c>
      <c r="C1015" t="s">
        <v>3663</v>
      </c>
      <c r="D1015" t="s">
        <v>58</v>
      </c>
      <c r="E1015" s="13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3665</v>
      </c>
      <c r="B1016" s="2">
        <v>45326</v>
      </c>
      <c r="C1016" t="s">
        <v>3666</v>
      </c>
      <c r="D1016" t="s">
        <v>32</v>
      </c>
      <c r="E1016" s="13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3668</v>
      </c>
      <c r="B1017" s="2">
        <v>45317</v>
      </c>
      <c r="C1017" t="s">
        <v>3669</v>
      </c>
      <c r="D1017" t="s">
        <v>48</v>
      </c>
      <c r="E1017" s="13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3671</v>
      </c>
      <c r="B1018" s="2">
        <v>45289</v>
      </c>
      <c r="C1018" t="s">
        <v>3672</v>
      </c>
      <c r="D1018" t="s">
        <v>32</v>
      </c>
      <c r="E1018" s="13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5">
      <c r="A1019" t="s">
        <v>3675</v>
      </c>
      <c r="B1019" s="2">
        <v>45529</v>
      </c>
      <c r="C1019" t="s">
        <v>3676</v>
      </c>
      <c r="D1019" t="s">
        <v>41</v>
      </c>
      <c r="E1019" s="13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3679</v>
      </c>
      <c r="B1020" s="2">
        <v>45115</v>
      </c>
      <c r="C1020" t="s">
        <v>3680</v>
      </c>
      <c r="D1020" t="s">
        <v>58</v>
      </c>
      <c r="E1020" s="13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35">
      <c r="A1021" t="s">
        <v>3683</v>
      </c>
      <c r="B1021" s="2">
        <v>45388</v>
      </c>
      <c r="C1021" t="s">
        <v>3684</v>
      </c>
      <c r="D1021" t="s">
        <v>73</v>
      </c>
      <c r="E1021" s="13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3686</v>
      </c>
      <c r="B1022" s="2">
        <v>45404</v>
      </c>
      <c r="C1022" t="s">
        <v>3687</v>
      </c>
      <c r="D1022" t="s">
        <v>32</v>
      </c>
      <c r="E1022" s="13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3689</v>
      </c>
      <c r="B1023" s="2">
        <v>45222</v>
      </c>
      <c r="C1023" t="s">
        <v>3690</v>
      </c>
      <c r="D1023" t="s">
        <v>25</v>
      </c>
      <c r="E1023" s="1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3692</v>
      </c>
      <c r="B1024" s="2">
        <v>45712</v>
      </c>
      <c r="C1024" t="s">
        <v>3693</v>
      </c>
      <c r="D1024" t="s">
        <v>32</v>
      </c>
      <c r="E1024" s="13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3695</v>
      </c>
      <c r="B1025" s="2">
        <v>45558</v>
      </c>
      <c r="C1025" t="s">
        <v>3696</v>
      </c>
      <c r="D1025" t="s">
        <v>58</v>
      </c>
      <c r="E1025" s="13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35">
      <c r="A1026" t="s">
        <v>3698</v>
      </c>
      <c r="B1026" s="2">
        <v>45320</v>
      </c>
      <c r="C1026" t="s">
        <v>3699</v>
      </c>
      <c r="D1026" t="s">
        <v>41</v>
      </c>
      <c r="E1026" s="13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3701</v>
      </c>
      <c r="B1027" s="2">
        <v>45794</v>
      </c>
      <c r="C1027" t="s">
        <v>3702</v>
      </c>
      <c r="D1027" t="s">
        <v>41</v>
      </c>
      <c r="E1027" s="13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3704</v>
      </c>
      <c r="B1028" s="2">
        <v>45047</v>
      </c>
      <c r="C1028" t="s">
        <v>3705</v>
      </c>
      <c r="D1028" t="s">
        <v>16</v>
      </c>
      <c r="E1028" s="13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5">
      <c r="A1029" t="s">
        <v>3707</v>
      </c>
      <c r="B1029" s="2">
        <v>45433</v>
      </c>
      <c r="C1029" t="s">
        <v>3708</v>
      </c>
      <c r="D1029" t="s">
        <v>58</v>
      </c>
      <c r="E1029" s="13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35">
      <c r="A1030" t="s">
        <v>3710</v>
      </c>
      <c r="B1030" s="2">
        <v>44974</v>
      </c>
      <c r="C1030" t="s">
        <v>3711</v>
      </c>
      <c r="D1030" t="s">
        <v>73</v>
      </c>
      <c r="E1030" s="13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35">
      <c r="A1031" t="s">
        <v>3713</v>
      </c>
      <c r="B1031" s="2">
        <v>45717</v>
      </c>
      <c r="C1031" t="s">
        <v>3714</v>
      </c>
      <c r="D1031" t="s">
        <v>73</v>
      </c>
      <c r="E1031" s="13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3716</v>
      </c>
      <c r="B1032" s="2">
        <v>45201</v>
      </c>
      <c r="C1032" t="s">
        <v>3717</v>
      </c>
      <c r="D1032" t="s">
        <v>25</v>
      </c>
      <c r="E1032" s="13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5">
      <c r="A1033" t="s">
        <v>3720</v>
      </c>
      <c r="B1033" s="2">
        <v>44985</v>
      </c>
      <c r="C1033" t="s">
        <v>3721</v>
      </c>
      <c r="D1033" t="s">
        <v>25</v>
      </c>
      <c r="E1033" s="1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3724</v>
      </c>
      <c r="B1034" s="2">
        <v>45036</v>
      </c>
      <c r="C1034" t="s">
        <v>3725</v>
      </c>
      <c r="D1034" t="s">
        <v>41</v>
      </c>
      <c r="E1034" s="13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5">
      <c r="A1035" t="s">
        <v>3727</v>
      </c>
      <c r="B1035" s="2">
        <v>45650</v>
      </c>
      <c r="C1035" t="s">
        <v>3728</v>
      </c>
      <c r="D1035" t="s">
        <v>16</v>
      </c>
      <c r="E1035" s="13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3731</v>
      </c>
      <c r="B1036" s="2">
        <v>45459</v>
      </c>
      <c r="C1036" t="s">
        <v>3732</v>
      </c>
      <c r="D1036" t="s">
        <v>48</v>
      </c>
      <c r="E1036" s="13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3735</v>
      </c>
      <c r="B1037" s="2">
        <v>45242</v>
      </c>
      <c r="C1037" t="s">
        <v>3736</v>
      </c>
      <c r="D1037" t="s">
        <v>58</v>
      </c>
      <c r="E1037" s="13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35">
      <c r="A1038" t="s">
        <v>3739</v>
      </c>
      <c r="B1038" s="2">
        <v>45443</v>
      </c>
      <c r="C1038" t="s">
        <v>3740</v>
      </c>
      <c r="D1038" t="s">
        <v>25</v>
      </c>
      <c r="E1038" s="13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3742</v>
      </c>
      <c r="B1039" s="2">
        <v>45273</v>
      </c>
      <c r="C1039" t="s">
        <v>3743</v>
      </c>
      <c r="D1039" t="s">
        <v>48</v>
      </c>
      <c r="E1039" s="13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5">
      <c r="A1040" t="s">
        <v>3745</v>
      </c>
      <c r="B1040" s="2">
        <v>45731</v>
      </c>
      <c r="C1040" t="s">
        <v>3746</v>
      </c>
      <c r="D1040" t="s">
        <v>32</v>
      </c>
      <c r="E1040" s="13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35">
      <c r="A1041" t="s">
        <v>3749</v>
      </c>
      <c r="B1041" s="2">
        <v>45836</v>
      </c>
      <c r="C1041" t="s">
        <v>3750</v>
      </c>
      <c r="D1041" t="s">
        <v>73</v>
      </c>
      <c r="E1041" s="13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5">
      <c r="A1042" t="s">
        <v>3753</v>
      </c>
      <c r="B1042" s="2">
        <v>45245</v>
      </c>
      <c r="C1042" t="s">
        <v>3754</v>
      </c>
      <c r="D1042" t="s">
        <v>32</v>
      </c>
      <c r="E1042" s="13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5">
      <c r="A1043" t="s">
        <v>3756</v>
      </c>
      <c r="B1043" s="2">
        <v>44968</v>
      </c>
      <c r="C1043" t="s">
        <v>3757</v>
      </c>
      <c r="D1043" t="s">
        <v>16</v>
      </c>
      <c r="E1043" s="1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5">
      <c r="A1044" t="s">
        <v>3759</v>
      </c>
      <c r="B1044" s="2">
        <v>45635</v>
      </c>
      <c r="C1044" t="s">
        <v>3760</v>
      </c>
      <c r="D1044" t="s">
        <v>32</v>
      </c>
      <c r="E1044" s="13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5">
      <c r="A1045" t="s">
        <v>3762</v>
      </c>
      <c r="B1045" s="2">
        <v>45668</v>
      </c>
      <c r="C1045" t="s">
        <v>3763</v>
      </c>
      <c r="D1045" t="s">
        <v>32</v>
      </c>
      <c r="E1045" s="13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35">
      <c r="A1046" t="s">
        <v>3765</v>
      </c>
      <c r="B1046" s="2">
        <v>45830</v>
      </c>
      <c r="C1046" t="s">
        <v>3766</v>
      </c>
      <c r="D1046" t="s">
        <v>48</v>
      </c>
      <c r="E1046" s="13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3769</v>
      </c>
      <c r="B1047" s="2">
        <v>45555</v>
      </c>
      <c r="C1047" t="s">
        <v>3770</v>
      </c>
      <c r="D1047" t="s">
        <v>58</v>
      </c>
      <c r="E1047" s="13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35">
      <c r="A1048" t="s">
        <v>3773</v>
      </c>
      <c r="B1048" s="2">
        <v>45572</v>
      </c>
      <c r="C1048" t="s">
        <v>3774</v>
      </c>
      <c r="D1048" t="s">
        <v>32</v>
      </c>
      <c r="E1048" s="13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5">
      <c r="A1049" t="s">
        <v>3777</v>
      </c>
      <c r="B1049" s="2">
        <v>45100</v>
      </c>
      <c r="C1049" t="s">
        <v>3778</v>
      </c>
      <c r="D1049" t="s">
        <v>41</v>
      </c>
      <c r="E1049" s="13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5">
      <c r="A1050" t="s">
        <v>3781</v>
      </c>
      <c r="B1050" s="2">
        <v>45544</v>
      </c>
      <c r="C1050" t="s">
        <v>3782</v>
      </c>
      <c r="D1050" t="s">
        <v>16</v>
      </c>
      <c r="E1050" s="13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35">
      <c r="A1051" t="s">
        <v>3785</v>
      </c>
      <c r="B1051" s="2">
        <v>45491</v>
      </c>
      <c r="C1051" t="s">
        <v>3786</v>
      </c>
      <c r="D1051" t="s">
        <v>73</v>
      </c>
      <c r="E1051" s="13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35">
      <c r="A1052" t="s">
        <v>3788</v>
      </c>
      <c r="B1052" s="2">
        <v>45158</v>
      </c>
      <c r="C1052" t="s">
        <v>3789</v>
      </c>
      <c r="D1052" t="s">
        <v>58</v>
      </c>
      <c r="E1052" s="13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35">
      <c r="A1053" t="s">
        <v>3791</v>
      </c>
      <c r="B1053" s="2">
        <v>45721</v>
      </c>
      <c r="C1053" t="s">
        <v>3792</v>
      </c>
      <c r="D1053" t="s">
        <v>16</v>
      </c>
      <c r="E1053" s="1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3795</v>
      </c>
      <c r="B1054" s="2">
        <v>45180</v>
      </c>
      <c r="C1054" t="s">
        <v>3796</v>
      </c>
      <c r="D1054" t="s">
        <v>32</v>
      </c>
      <c r="E1054" s="13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5">
      <c r="A1055" t="s">
        <v>3799</v>
      </c>
      <c r="B1055" s="2">
        <v>45550</v>
      </c>
      <c r="C1055" t="s">
        <v>3800</v>
      </c>
      <c r="D1055" t="s">
        <v>25</v>
      </c>
      <c r="E1055" s="13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3802</v>
      </c>
      <c r="B1056" s="2">
        <v>45259</v>
      </c>
      <c r="C1056" t="s">
        <v>3803</v>
      </c>
      <c r="D1056" t="s">
        <v>48</v>
      </c>
      <c r="E1056" s="13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5">
      <c r="A1057" t="s">
        <v>3805</v>
      </c>
      <c r="B1057" s="2">
        <v>45222</v>
      </c>
      <c r="C1057" t="s">
        <v>3806</v>
      </c>
      <c r="D1057" t="s">
        <v>16</v>
      </c>
      <c r="E1057" s="13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5">
      <c r="A1058" t="s">
        <v>3808</v>
      </c>
      <c r="B1058" s="2">
        <v>45457</v>
      </c>
      <c r="C1058" t="s">
        <v>3809</v>
      </c>
      <c r="D1058" t="s">
        <v>25</v>
      </c>
      <c r="E1058" s="13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3811</v>
      </c>
      <c r="B1059" s="2">
        <v>45559</v>
      </c>
      <c r="C1059" t="s">
        <v>3812</v>
      </c>
      <c r="D1059" t="s">
        <v>58</v>
      </c>
      <c r="E1059" s="13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5">
      <c r="A1060" t="s">
        <v>3814</v>
      </c>
      <c r="B1060" s="2">
        <v>45177</v>
      </c>
      <c r="C1060" t="s">
        <v>3815</v>
      </c>
      <c r="D1060" t="s">
        <v>73</v>
      </c>
      <c r="E1060" s="13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3817</v>
      </c>
      <c r="B1061" s="2">
        <v>45557</v>
      </c>
      <c r="C1061" t="s">
        <v>3818</v>
      </c>
      <c r="D1061" t="s">
        <v>73</v>
      </c>
      <c r="E1061" s="13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5">
      <c r="A1062" t="s">
        <v>3821</v>
      </c>
      <c r="B1062" s="2">
        <v>45419</v>
      </c>
      <c r="C1062" t="s">
        <v>3822</v>
      </c>
      <c r="D1062" t="s">
        <v>32</v>
      </c>
      <c r="E1062" s="13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5">
      <c r="A1063" t="s">
        <v>3824</v>
      </c>
      <c r="B1063" s="2">
        <v>45686</v>
      </c>
      <c r="C1063" t="s">
        <v>3825</v>
      </c>
      <c r="D1063" t="s">
        <v>58</v>
      </c>
      <c r="E1063" s="1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5">
      <c r="A1064" t="s">
        <v>3827</v>
      </c>
      <c r="B1064" s="2">
        <v>45161</v>
      </c>
      <c r="C1064" t="s">
        <v>3828</v>
      </c>
      <c r="D1064" t="s">
        <v>41</v>
      </c>
      <c r="E1064" s="13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35">
      <c r="A1065" t="s">
        <v>3830</v>
      </c>
      <c r="B1065" s="2">
        <v>45462</v>
      </c>
      <c r="C1065" t="s">
        <v>3831</v>
      </c>
      <c r="D1065" t="s">
        <v>73</v>
      </c>
      <c r="E1065" s="13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3833</v>
      </c>
      <c r="B1066" s="2">
        <v>45700</v>
      </c>
      <c r="C1066" t="s">
        <v>3834</v>
      </c>
      <c r="D1066" t="s">
        <v>58</v>
      </c>
      <c r="E1066" s="13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3836</v>
      </c>
      <c r="B1067" s="2">
        <v>45229</v>
      </c>
      <c r="C1067" t="s">
        <v>3837</v>
      </c>
      <c r="D1067" t="s">
        <v>48</v>
      </c>
      <c r="E1067" s="13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3839</v>
      </c>
      <c r="B1068" s="2">
        <v>45280</v>
      </c>
      <c r="C1068" t="s">
        <v>3840</v>
      </c>
      <c r="D1068" t="s">
        <v>73</v>
      </c>
      <c r="E1068" s="13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3842</v>
      </c>
      <c r="B1069" s="2">
        <v>45083</v>
      </c>
      <c r="C1069" t="s">
        <v>3843</v>
      </c>
      <c r="D1069" t="s">
        <v>25</v>
      </c>
      <c r="E1069" s="13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35">
      <c r="A1070" t="s">
        <v>3845</v>
      </c>
      <c r="B1070" s="2">
        <v>45507</v>
      </c>
      <c r="C1070" t="s">
        <v>3846</v>
      </c>
      <c r="D1070" t="s">
        <v>58</v>
      </c>
      <c r="E1070" s="13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3849</v>
      </c>
      <c r="B1071" s="2">
        <v>44982</v>
      </c>
      <c r="C1071" t="s">
        <v>3850</v>
      </c>
      <c r="D1071" t="s">
        <v>16</v>
      </c>
      <c r="E1071" s="13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35">
      <c r="A1072" t="s">
        <v>3852</v>
      </c>
      <c r="B1072" s="2">
        <v>45541</v>
      </c>
      <c r="C1072" t="s">
        <v>3853</v>
      </c>
      <c r="D1072" t="s">
        <v>73</v>
      </c>
      <c r="E1072" s="13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35">
      <c r="A1073" t="s">
        <v>3855</v>
      </c>
      <c r="B1073" s="2">
        <v>45832</v>
      </c>
      <c r="C1073" t="s">
        <v>3856</v>
      </c>
      <c r="D1073" t="s">
        <v>25</v>
      </c>
      <c r="E1073" s="1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35">
      <c r="A1074" t="s">
        <v>3858</v>
      </c>
      <c r="B1074" s="2">
        <v>44983</v>
      </c>
      <c r="C1074" t="s">
        <v>3859</v>
      </c>
      <c r="D1074" t="s">
        <v>16</v>
      </c>
      <c r="E1074" s="13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3861</v>
      </c>
      <c r="B1075" s="2">
        <v>45576</v>
      </c>
      <c r="C1075" t="s">
        <v>3862</v>
      </c>
      <c r="D1075" t="s">
        <v>32</v>
      </c>
      <c r="E1075" s="13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35">
      <c r="A1076" t="s">
        <v>3864</v>
      </c>
      <c r="B1076" s="2">
        <v>45422</v>
      </c>
      <c r="C1076" t="s">
        <v>3865</v>
      </c>
      <c r="D1076" t="s">
        <v>25</v>
      </c>
      <c r="E1076" s="13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35">
      <c r="A1077" t="s">
        <v>3868</v>
      </c>
      <c r="B1077" s="2">
        <v>45535</v>
      </c>
      <c r="C1077" t="s">
        <v>3869</v>
      </c>
      <c r="D1077" t="s">
        <v>16</v>
      </c>
      <c r="E1077" s="13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5">
      <c r="A1078" t="s">
        <v>3871</v>
      </c>
      <c r="B1078" s="2">
        <v>45054</v>
      </c>
      <c r="C1078" t="s">
        <v>3872</v>
      </c>
      <c r="D1078" t="s">
        <v>58</v>
      </c>
      <c r="E1078" s="13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35">
      <c r="A1079" t="s">
        <v>3874</v>
      </c>
      <c r="B1079" s="2">
        <v>45723</v>
      </c>
      <c r="C1079" t="s">
        <v>3875</v>
      </c>
      <c r="D1079" t="s">
        <v>48</v>
      </c>
      <c r="E1079" s="13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3877</v>
      </c>
      <c r="B1080" s="2">
        <v>45003</v>
      </c>
      <c r="C1080" t="s">
        <v>3878</v>
      </c>
      <c r="D1080" t="s">
        <v>73</v>
      </c>
      <c r="E1080" s="13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5">
      <c r="A1081" t="s">
        <v>3880</v>
      </c>
      <c r="B1081" s="2">
        <v>45463</v>
      </c>
      <c r="C1081" t="s">
        <v>3881</v>
      </c>
      <c r="D1081" t="s">
        <v>25</v>
      </c>
      <c r="E1081" s="13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35">
      <c r="A1082" t="s">
        <v>3883</v>
      </c>
      <c r="B1082" s="2">
        <v>44946</v>
      </c>
      <c r="C1082" t="s">
        <v>3884</v>
      </c>
      <c r="D1082" t="s">
        <v>58</v>
      </c>
      <c r="E1082" s="13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35">
      <c r="A1083" t="s">
        <v>3887</v>
      </c>
      <c r="B1083" s="2">
        <v>45037</v>
      </c>
      <c r="C1083" t="s">
        <v>3888</v>
      </c>
      <c r="D1083" t="s">
        <v>16</v>
      </c>
      <c r="E1083" s="1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5">
      <c r="A1084" t="s">
        <v>3890</v>
      </c>
      <c r="B1084" s="2">
        <v>45205</v>
      </c>
      <c r="C1084" t="s">
        <v>3891</v>
      </c>
      <c r="D1084" t="s">
        <v>41</v>
      </c>
      <c r="E1084" s="13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3893</v>
      </c>
      <c r="B1085" s="2">
        <v>45482</v>
      </c>
      <c r="C1085" t="s">
        <v>3894</v>
      </c>
      <c r="D1085" t="s">
        <v>41</v>
      </c>
      <c r="E1085" s="13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3896</v>
      </c>
      <c r="B1086" s="2">
        <v>44934</v>
      </c>
      <c r="C1086" t="s">
        <v>3897</v>
      </c>
      <c r="D1086" t="s">
        <v>25</v>
      </c>
      <c r="E1086" s="13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5">
      <c r="A1087" t="s">
        <v>3899</v>
      </c>
      <c r="B1087" s="2">
        <v>45067</v>
      </c>
      <c r="C1087" t="s">
        <v>3900</v>
      </c>
      <c r="D1087" t="s">
        <v>48</v>
      </c>
      <c r="E1087" s="13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5">
      <c r="A1088" t="s">
        <v>3902</v>
      </c>
      <c r="B1088" s="2">
        <v>45283</v>
      </c>
      <c r="C1088" t="s">
        <v>3903</v>
      </c>
      <c r="D1088" t="s">
        <v>32</v>
      </c>
      <c r="E1088" s="13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5">
      <c r="A1089" t="s">
        <v>3906</v>
      </c>
      <c r="B1089" s="2">
        <v>45739</v>
      </c>
      <c r="C1089" t="s">
        <v>3907</v>
      </c>
      <c r="D1089" t="s">
        <v>58</v>
      </c>
      <c r="E1089" s="13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3910</v>
      </c>
      <c r="B1090" s="2">
        <v>45260</v>
      </c>
      <c r="C1090" t="s">
        <v>3911</v>
      </c>
      <c r="D1090" t="s">
        <v>73</v>
      </c>
      <c r="E1090" s="13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5">
      <c r="A1091" t="s">
        <v>3914</v>
      </c>
      <c r="B1091" s="2">
        <v>45731</v>
      </c>
      <c r="C1091" t="s">
        <v>3915</v>
      </c>
      <c r="D1091" t="s">
        <v>32</v>
      </c>
      <c r="E1091" s="13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35">
      <c r="A1092" t="s">
        <v>3917</v>
      </c>
      <c r="B1092" s="2">
        <v>44982</v>
      </c>
      <c r="C1092" t="s">
        <v>3918</v>
      </c>
      <c r="D1092" t="s">
        <v>16</v>
      </c>
      <c r="E1092" s="13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35">
      <c r="A1093" t="s">
        <v>3920</v>
      </c>
      <c r="B1093" s="2">
        <v>45573</v>
      </c>
      <c r="C1093" t="s">
        <v>3921</v>
      </c>
      <c r="D1093" t="s">
        <v>58</v>
      </c>
      <c r="E1093" s="1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35">
      <c r="A1094" t="s">
        <v>3923</v>
      </c>
      <c r="B1094" s="2">
        <v>45159</v>
      </c>
      <c r="C1094" t="s">
        <v>3924</v>
      </c>
      <c r="D1094" t="s">
        <v>58</v>
      </c>
      <c r="E1094" s="13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5">
      <c r="A1095" t="s">
        <v>3926</v>
      </c>
      <c r="B1095" s="2">
        <v>45086</v>
      </c>
      <c r="C1095" t="s">
        <v>3927</v>
      </c>
      <c r="D1095" t="s">
        <v>25</v>
      </c>
      <c r="E1095" s="13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3930</v>
      </c>
      <c r="B1096" s="2">
        <v>45105</v>
      </c>
      <c r="C1096" t="s">
        <v>3931</v>
      </c>
      <c r="D1096" t="s">
        <v>48</v>
      </c>
      <c r="E1096" s="13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3934</v>
      </c>
      <c r="B1097" s="2">
        <v>45405</v>
      </c>
      <c r="C1097" t="s">
        <v>3935</v>
      </c>
      <c r="D1097" t="s">
        <v>25</v>
      </c>
      <c r="E1097" s="13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3938</v>
      </c>
      <c r="B1098" s="2">
        <v>45780</v>
      </c>
      <c r="C1098" t="s">
        <v>3939</v>
      </c>
      <c r="D1098" t="s">
        <v>32</v>
      </c>
      <c r="E1098" s="13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35">
      <c r="A1099" t="s">
        <v>3942</v>
      </c>
      <c r="B1099" s="2">
        <v>45652</v>
      </c>
      <c r="C1099" t="s">
        <v>3943</v>
      </c>
      <c r="D1099" t="s">
        <v>16</v>
      </c>
      <c r="E1099" s="13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5">
      <c r="A1100" t="s">
        <v>3946</v>
      </c>
      <c r="B1100" s="2">
        <v>45094</v>
      </c>
      <c r="C1100" t="s">
        <v>3947</v>
      </c>
      <c r="D1100" t="s">
        <v>16</v>
      </c>
      <c r="E1100" s="13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35">
      <c r="A1101" t="s">
        <v>3950</v>
      </c>
      <c r="B1101" s="2">
        <v>45554</v>
      </c>
      <c r="C1101" t="s">
        <v>3951</v>
      </c>
      <c r="D1101" t="s">
        <v>58</v>
      </c>
      <c r="E1101" s="13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3953</v>
      </c>
      <c r="B1102" s="2">
        <v>45155</v>
      </c>
      <c r="C1102" t="s">
        <v>3954</v>
      </c>
      <c r="D1102" t="s">
        <v>58</v>
      </c>
      <c r="E1102" s="13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5">
      <c r="A1103" t="s">
        <v>3957</v>
      </c>
      <c r="B1103" s="2">
        <v>45816</v>
      </c>
      <c r="C1103" t="s">
        <v>3958</v>
      </c>
      <c r="D1103" t="s">
        <v>16</v>
      </c>
      <c r="E1103" s="1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3960</v>
      </c>
      <c r="B1104" s="2">
        <v>45446</v>
      </c>
      <c r="C1104" t="s">
        <v>96</v>
      </c>
      <c r="D1104" t="s">
        <v>41</v>
      </c>
      <c r="E1104" s="13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35">
      <c r="A1105" t="s">
        <v>3962</v>
      </c>
      <c r="B1105" s="2">
        <v>45040</v>
      </c>
      <c r="C1105" t="s">
        <v>3963</v>
      </c>
      <c r="D1105" t="s">
        <v>58</v>
      </c>
      <c r="E1105" s="13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35">
      <c r="A1106" t="s">
        <v>3965</v>
      </c>
      <c r="B1106" s="2">
        <v>45498</v>
      </c>
      <c r="C1106" t="s">
        <v>3966</v>
      </c>
      <c r="D1106" t="s">
        <v>32</v>
      </c>
      <c r="E1106" s="13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35">
      <c r="A1107" t="s">
        <v>3969</v>
      </c>
      <c r="B1107" s="2">
        <v>45299</v>
      </c>
      <c r="C1107" t="s">
        <v>3970</v>
      </c>
      <c r="D1107" t="s">
        <v>32</v>
      </c>
      <c r="E1107" s="13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5">
      <c r="A1108" t="s">
        <v>3972</v>
      </c>
      <c r="B1108" s="2">
        <v>44997</v>
      </c>
      <c r="C1108" t="s">
        <v>3973</v>
      </c>
      <c r="D1108" t="s">
        <v>41</v>
      </c>
      <c r="E1108" s="13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3975</v>
      </c>
      <c r="B1109" s="2">
        <v>45838</v>
      </c>
      <c r="C1109" t="s">
        <v>3976</v>
      </c>
      <c r="D1109" t="s">
        <v>32</v>
      </c>
      <c r="E1109" s="13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5">
      <c r="A1110" t="s">
        <v>3978</v>
      </c>
      <c r="B1110" s="2">
        <v>45005</v>
      </c>
      <c r="C1110" t="s">
        <v>3979</v>
      </c>
      <c r="D1110" t="s">
        <v>58</v>
      </c>
      <c r="E1110" s="13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5">
      <c r="A1111" t="s">
        <v>3982</v>
      </c>
      <c r="B1111" s="2">
        <v>45390</v>
      </c>
      <c r="C1111" t="s">
        <v>3983</v>
      </c>
      <c r="D1111" t="s">
        <v>48</v>
      </c>
      <c r="E1111" s="13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3985</v>
      </c>
      <c r="B1112" s="2">
        <v>45347</v>
      </c>
      <c r="C1112" t="s">
        <v>3986</v>
      </c>
      <c r="D1112" t="s">
        <v>41</v>
      </c>
      <c r="E1112" s="13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3988</v>
      </c>
      <c r="B1113" s="2">
        <v>45052</v>
      </c>
      <c r="C1113" t="s">
        <v>3989</v>
      </c>
      <c r="D1113" t="s">
        <v>16</v>
      </c>
      <c r="E1113" s="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3992</v>
      </c>
      <c r="B1114" s="2">
        <v>45212</v>
      </c>
      <c r="C1114" t="s">
        <v>3993</v>
      </c>
      <c r="D1114" t="s">
        <v>73</v>
      </c>
      <c r="E1114" s="13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5">
      <c r="A1115" t="s">
        <v>3995</v>
      </c>
      <c r="B1115" s="2">
        <v>45004</v>
      </c>
      <c r="C1115" t="s">
        <v>3996</v>
      </c>
      <c r="D1115" t="s">
        <v>73</v>
      </c>
      <c r="E1115" s="13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35">
      <c r="A1116" t="s">
        <v>3998</v>
      </c>
      <c r="B1116" s="2">
        <v>45001</v>
      </c>
      <c r="C1116" t="s">
        <v>3999</v>
      </c>
      <c r="D1116" t="s">
        <v>32</v>
      </c>
      <c r="E1116" s="13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35">
      <c r="A1117" t="s">
        <v>4001</v>
      </c>
      <c r="B1117" s="2">
        <v>45828</v>
      </c>
      <c r="C1117" t="s">
        <v>4002</v>
      </c>
      <c r="D1117" t="s">
        <v>58</v>
      </c>
      <c r="E1117" s="13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35">
      <c r="A1118" t="s">
        <v>4004</v>
      </c>
      <c r="B1118" s="2">
        <v>45213</v>
      </c>
      <c r="C1118" t="s">
        <v>4005</v>
      </c>
      <c r="D1118" t="s">
        <v>48</v>
      </c>
      <c r="E1118" s="13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5">
      <c r="A1119" t="s">
        <v>4007</v>
      </c>
      <c r="B1119" s="2">
        <v>45432</v>
      </c>
      <c r="C1119" t="s">
        <v>4008</v>
      </c>
      <c r="D1119" t="s">
        <v>41</v>
      </c>
      <c r="E1119" s="13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5">
      <c r="A1120" t="s">
        <v>4010</v>
      </c>
      <c r="B1120" s="2">
        <v>45436</v>
      </c>
      <c r="C1120" t="s">
        <v>4011</v>
      </c>
      <c r="D1120" t="s">
        <v>25</v>
      </c>
      <c r="E1120" s="13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35">
      <c r="A1121" t="s">
        <v>4013</v>
      </c>
      <c r="B1121" s="2">
        <v>45620</v>
      </c>
      <c r="C1121" t="s">
        <v>4014</v>
      </c>
      <c r="D1121" t="s">
        <v>58</v>
      </c>
      <c r="E1121" s="13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4016</v>
      </c>
      <c r="B1122" s="2">
        <v>45787</v>
      </c>
      <c r="C1122" t="s">
        <v>4017</v>
      </c>
      <c r="D1122" t="s">
        <v>32</v>
      </c>
      <c r="E1122" s="13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35">
      <c r="A1123" t="s">
        <v>4019</v>
      </c>
      <c r="B1123" s="2">
        <v>45074</v>
      </c>
      <c r="C1123" t="s">
        <v>4020</v>
      </c>
      <c r="D1123" t="s">
        <v>25</v>
      </c>
      <c r="E1123" s="1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4022</v>
      </c>
      <c r="B1124" s="2">
        <v>45084</v>
      </c>
      <c r="C1124" t="s">
        <v>1065</v>
      </c>
      <c r="D1124" t="s">
        <v>16</v>
      </c>
      <c r="E1124" s="13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35">
      <c r="A1125" t="s">
        <v>4024</v>
      </c>
      <c r="B1125" s="2">
        <v>45030</v>
      </c>
      <c r="C1125" t="s">
        <v>4025</v>
      </c>
      <c r="D1125" t="s">
        <v>32</v>
      </c>
      <c r="E1125" s="13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5">
      <c r="A1126" t="s">
        <v>4028</v>
      </c>
      <c r="B1126" s="2">
        <v>45055</v>
      </c>
      <c r="C1126" t="s">
        <v>4029</v>
      </c>
      <c r="D1126" t="s">
        <v>41</v>
      </c>
      <c r="E1126" s="13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35">
      <c r="A1127" t="s">
        <v>4032</v>
      </c>
      <c r="B1127" s="2">
        <v>45215</v>
      </c>
      <c r="C1127" t="s">
        <v>4033</v>
      </c>
      <c r="D1127" t="s">
        <v>73</v>
      </c>
      <c r="E1127" s="13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4035</v>
      </c>
      <c r="B1128" s="2">
        <v>45495</v>
      </c>
      <c r="C1128" t="s">
        <v>4036</v>
      </c>
      <c r="D1128" t="s">
        <v>25</v>
      </c>
      <c r="E1128" s="13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35">
      <c r="A1129" t="s">
        <v>4039</v>
      </c>
      <c r="B1129" s="2">
        <v>45731</v>
      </c>
      <c r="C1129" t="s">
        <v>4040</v>
      </c>
      <c r="D1129" t="s">
        <v>48</v>
      </c>
      <c r="E1129" s="13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4042</v>
      </c>
      <c r="B1130" s="2">
        <v>45155</v>
      </c>
      <c r="C1130" t="s">
        <v>4043</v>
      </c>
      <c r="D1130" t="s">
        <v>16</v>
      </c>
      <c r="E1130" s="13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5">
      <c r="A1131" t="s">
        <v>4045</v>
      </c>
      <c r="B1131" s="2">
        <v>45088</v>
      </c>
      <c r="C1131" t="s">
        <v>4046</v>
      </c>
      <c r="D1131" t="s">
        <v>41</v>
      </c>
      <c r="E1131" s="13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4048</v>
      </c>
      <c r="B1132" s="2">
        <v>45704</v>
      </c>
      <c r="C1132" t="s">
        <v>4049</v>
      </c>
      <c r="D1132" t="s">
        <v>58</v>
      </c>
      <c r="E1132" s="13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4051</v>
      </c>
      <c r="B1133" s="2">
        <v>45491</v>
      </c>
      <c r="C1133" t="s">
        <v>4052</v>
      </c>
      <c r="D1133" t="s">
        <v>25</v>
      </c>
      <c r="E1133" s="1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5">
      <c r="A1134" t="s">
        <v>4054</v>
      </c>
      <c r="B1134" s="2">
        <v>45628</v>
      </c>
      <c r="C1134" t="s">
        <v>4055</v>
      </c>
      <c r="D1134" t="s">
        <v>41</v>
      </c>
      <c r="E1134" s="13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4057</v>
      </c>
      <c r="B1135" s="2">
        <v>45391</v>
      </c>
      <c r="C1135" t="s">
        <v>4058</v>
      </c>
      <c r="D1135" t="s">
        <v>48</v>
      </c>
      <c r="E1135" s="13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5">
      <c r="A1136" t="s">
        <v>4060</v>
      </c>
      <c r="B1136" s="2">
        <v>45451</v>
      </c>
      <c r="C1136" t="s">
        <v>4061</v>
      </c>
      <c r="D1136" t="s">
        <v>73</v>
      </c>
      <c r="E1136" s="13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5">
      <c r="A1137" t="s">
        <v>4064</v>
      </c>
      <c r="B1137" s="2">
        <v>45288</v>
      </c>
      <c r="C1137" t="s">
        <v>4065</v>
      </c>
      <c r="D1137" t="s">
        <v>48</v>
      </c>
      <c r="E1137" s="13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5">
      <c r="A1138" t="s">
        <v>4067</v>
      </c>
      <c r="B1138" s="2">
        <v>45193</v>
      </c>
      <c r="C1138" t="s">
        <v>4068</v>
      </c>
      <c r="D1138" t="s">
        <v>32</v>
      </c>
      <c r="E1138" s="13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5">
      <c r="A1139" t="s">
        <v>4070</v>
      </c>
      <c r="B1139" s="2">
        <v>45502</v>
      </c>
      <c r="C1139" t="s">
        <v>4071</v>
      </c>
      <c r="D1139" t="s">
        <v>48</v>
      </c>
      <c r="E1139" s="13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5">
      <c r="A1140" t="s">
        <v>4074</v>
      </c>
      <c r="B1140" s="2">
        <v>45278</v>
      </c>
      <c r="C1140" t="s">
        <v>4075</v>
      </c>
      <c r="D1140" t="s">
        <v>73</v>
      </c>
      <c r="E1140" s="13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35">
      <c r="A1141" t="s">
        <v>4077</v>
      </c>
      <c r="B1141" s="2">
        <v>45717</v>
      </c>
      <c r="C1141" t="s">
        <v>3789</v>
      </c>
      <c r="D1141" t="s">
        <v>41</v>
      </c>
      <c r="E1141" s="13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4079</v>
      </c>
      <c r="B1142" s="2">
        <v>45467</v>
      </c>
      <c r="C1142" t="s">
        <v>4080</v>
      </c>
      <c r="D1142" t="s">
        <v>48</v>
      </c>
      <c r="E1142" s="13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35">
      <c r="A1143" t="s">
        <v>4082</v>
      </c>
      <c r="B1143" s="2">
        <v>45704</v>
      </c>
      <c r="C1143" t="s">
        <v>4083</v>
      </c>
      <c r="D1143" t="s">
        <v>41</v>
      </c>
      <c r="E1143" s="1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35">
      <c r="A1144" t="s">
        <v>4085</v>
      </c>
      <c r="B1144" s="2">
        <v>45527</v>
      </c>
      <c r="C1144" t="s">
        <v>4086</v>
      </c>
      <c r="D1144" t="s">
        <v>25</v>
      </c>
      <c r="E1144" s="13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35">
      <c r="A1145" t="s">
        <v>4089</v>
      </c>
      <c r="B1145" s="2">
        <v>45019</v>
      </c>
      <c r="C1145" t="s">
        <v>4090</v>
      </c>
      <c r="D1145" t="s">
        <v>41</v>
      </c>
      <c r="E1145" s="13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35">
      <c r="A1146" t="s">
        <v>4093</v>
      </c>
      <c r="B1146" s="2">
        <v>44973</v>
      </c>
      <c r="C1146" t="s">
        <v>4094</v>
      </c>
      <c r="D1146" t="s">
        <v>73</v>
      </c>
      <c r="E1146" s="13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35">
      <c r="A1147" t="s">
        <v>4097</v>
      </c>
      <c r="B1147" s="2">
        <v>45789</v>
      </c>
      <c r="C1147" t="s">
        <v>4098</v>
      </c>
      <c r="D1147" t="s">
        <v>73</v>
      </c>
      <c r="E1147" s="13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4100</v>
      </c>
      <c r="B1148" s="2">
        <v>45568</v>
      </c>
      <c r="C1148" t="s">
        <v>4101</v>
      </c>
      <c r="D1148" t="s">
        <v>16</v>
      </c>
      <c r="E1148" s="13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4103</v>
      </c>
      <c r="B1149" s="2">
        <v>45659</v>
      </c>
      <c r="C1149" t="s">
        <v>4104</v>
      </c>
      <c r="D1149" t="s">
        <v>41</v>
      </c>
      <c r="E1149" s="13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4107</v>
      </c>
      <c r="B1150" s="2">
        <v>45468</v>
      </c>
      <c r="C1150" t="s">
        <v>4108</v>
      </c>
      <c r="D1150" t="s">
        <v>25</v>
      </c>
      <c r="E1150" s="13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4111</v>
      </c>
      <c r="B1151" s="2">
        <v>45498</v>
      </c>
      <c r="C1151" t="s">
        <v>4112</v>
      </c>
      <c r="D1151" t="s">
        <v>41</v>
      </c>
      <c r="E1151" s="13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4115</v>
      </c>
      <c r="B1152" s="2">
        <v>44977</v>
      </c>
      <c r="C1152" t="s">
        <v>4116</v>
      </c>
      <c r="D1152" t="s">
        <v>73</v>
      </c>
      <c r="E1152" s="13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4118</v>
      </c>
      <c r="B1153" s="2">
        <v>44955</v>
      </c>
      <c r="C1153" t="s">
        <v>4119</v>
      </c>
      <c r="D1153" t="s">
        <v>41</v>
      </c>
      <c r="E1153" s="1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35">
      <c r="A1154" t="s">
        <v>4122</v>
      </c>
      <c r="B1154" s="2">
        <v>45239</v>
      </c>
      <c r="C1154" t="s">
        <v>4123</v>
      </c>
      <c r="D1154" t="s">
        <v>32</v>
      </c>
      <c r="E1154" s="13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35">
      <c r="A1155" t="s">
        <v>4125</v>
      </c>
      <c r="B1155" s="2">
        <v>45642</v>
      </c>
      <c r="C1155" t="s">
        <v>4126</v>
      </c>
      <c r="D1155" t="s">
        <v>16</v>
      </c>
      <c r="E1155" s="13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35">
      <c r="A1156" t="s">
        <v>4129</v>
      </c>
      <c r="B1156" s="2">
        <v>45819</v>
      </c>
      <c r="C1156" t="s">
        <v>4130</v>
      </c>
      <c r="D1156" t="s">
        <v>16</v>
      </c>
      <c r="E1156" s="13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4132</v>
      </c>
      <c r="B1157" s="2">
        <v>45151</v>
      </c>
      <c r="C1157" t="s">
        <v>4133</v>
      </c>
      <c r="D1157" t="s">
        <v>48</v>
      </c>
      <c r="E1157" s="13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4135</v>
      </c>
      <c r="B1158" s="2">
        <v>45126</v>
      </c>
      <c r="C1158" t="s">
        <v>4136</v>
      </c>
      <c r="D1158" t="s">
        <v>58</v>
      </c>
      <c r="E1158" s="13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35">
      <c r="A1159" t="s">
        <v>4138</v>
      </c>
      <c r="B1159" s="2">
        <v>45441</v>
      </c>
      <c r="C1159" t="s">
        <v>4139</v>
      </c>
      <c r="D1159" t="s">
        <v>16</v>
      </c>
      <c r="E1159" s="13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35">
      <c r="A1160" t="s">
        <v>4141</v>
      </c>
      <c r="B1160" s="2">
        <v>45036</v>
      </c>
      <c r="C1160" t="s">
        <v>4142</v>
      </c>
      <c r="D1160" t="s">
        <v>16</v>
      </c>
      <c r="E1160" s="13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4144</v>
      </c>
      <c r="B1161" s="2">
        <v>45345</v>
      </c>
      <c r="C1161" t="s">
        <v>4145</v>
      </c>
      <c r="D1161" t="s">
        <v>73</v>
      </c>
      <c r="E1161" s="13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35">
      <c r="A1162" t="s">
        <v>4147</v>
      </c>
      <c r="B1162" s="2">
        <v>45539</v>
      </c>
      <c r="C1162" t="s">
        <v>4148</v>
      </c>
      <c r="D1162" t="s">
        <v>73</v>
      </c>
      <c r="E1162" s="13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4150</v>
      </c>
      <c r="B1163" s="2">
        <v>45215</v>
      </c>
      <c r="C1163" t="s">
        <v>4151</v>
      </c>
      <c r="D1163" t="s">
        <v>25</v>
      </c>
      <c r="E1163" s="1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5">
      <c r="A1164" t="s">
        <v>4153</v>
      </c>
      <c r="B1164" s="2">
        <v>45727</v>
      </c>
      <c r="C1164" t="s">
        <v>4154</v>
      </c>
      <c r="D1164" t="s">
        <v>25</v>
      </c>
      <c r="E1164" s="13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5">
      <c r="A1165" t="s">
        <v>4157</v>
      </c>
      <c r="B1165" s="2">
        <v>45454</v>
      </c>
      <c r="C1165" t="s">
        <v>4158</v>
      </c>
      <c r="D1165" t="s">
        <v>58</v>
      </c>
      <c r="E1165" s="13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35">
      <c r="A1166" t="s">
        <v>4161</v>
      </c>
      <c r="B1166" s="2">
        <v>45299</v>
      </c>
      <c r="C1166" t="s">
        <v>4162</v>
      </c>
      <c r="D1166" t="s">
        <v>32</v>
      </c>
      <c r="E1166" s="13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5">
      <c r="A1167" t="s">
        <v>4164</v>
      </c>
      <c r="B1167" s="2">
        <v>45121</v>
      </c>
      <c r="C1167" t="s">
        <v>4165</v>
      </c>
      <c r="D1167" t="s">
        <v>41</v>
      </c>
      <c r="E1167" s="13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35">
      <c r="A1168" t="s">
        <v>4168</v>
      </c>
      <c r="B1168" s="2">
        <v>45138</v>
      </c>
      <c r="C1168" t="s">
        <v>4169</v>
      </c>
      <c r="D1168" t="s">
        <v>41</v>
      </c>
      <c r="E1168" s="13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35">
      <c r="A1169" t="s">
        <v>4171</v>
      </c>
      <c r="B1169" s="2">
        <v>45216</v>
      </c>
      <c r="C1169" t="s">
        <v>4172</v>
      </c>
      <c r="D1169" t="s">
        <v>48</v>
      </c>
      <c r="E1169" s="13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4174</v>
      </c>
      <c r="B1170" s="2">
        <v>45024</v>
      </c>
      <c r="C1170" t="s">
        <v>4175</v>
      </c>
      <c r="D1170" t="s">
        <v>58</v>
      </c>
      <c r="E1170" s="13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5">
      <c r="A1171" t="s">
        <v>4178</v>
      </c>
      <c r="B1171" s="2">
        <v>45649</v>
      </c>
      <c r="C1171" t="s">
        <v>4179</v>
      </c>
      <c r="D1171" t="s">
        <v>41</v>
      </c>
      <c r="E1171" s="13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4182</v>
      </c>
      <c r="B1172" s="2">
        <v>45141</v>
      </c>
      <c r="C1172" t="s">
        <v>4183</v>
      </c>
      <c r="D1172" t="s">
        <v>48</v>
      </c>
      <c r="E1172" s="13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4185</v>
      </c>
      <c r="B1173" s="2">
        <v>45166</v>
      </c>
      <c r="C1173" t="s">
        <v>4186</v>
      </c>
      <c r="D1173" t="s">
        <v>25</v>
      </c>
      <c r="E1173" s="1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4189</v>
      </c>
      <c r="B1174" s="2">
        <v>45692</v>
      </c>
      <c r="C1174" t="s">
        <v>4190</v>
      </c>
      <c r="D1174" t="s">
        <v>73</v>
      </c>
      <c r="E1174" s="13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35">
      <c r="A1175" t="s">
        <v>4192</v>
      </c>
      <c r="B1175" s="2">
        <v>45569</v>
      </c>
      <c r="C1175" t="s">
        <v>4193</v>
      </c>
      <c r="D1175" t="s">
        <v>16</v>
      </c>
      <c r="E1175" s="13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4195</v>
      </c>
      <c r="B1176" s="2">
        <v>45257</v>
      </c>
      <c r="C1176" t="s">
        <v>4196</v>
      </c>
      <c r="D1176" t="s">
        <v>48</v>
      </c>
      <c r="E1176" s="13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5">
      <c r="A1177" t="s">
        <v>4199</v>
      </c>
      <c r="B1177" s="2">
        <v>45545</v>
      </c>
      <c r="C1177" t="s">
        <v>4200</v>
      </c>
      <c r="D1177" t="s">
        <v>48</v>
      </c>
      <c r="E1177" s="13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4202</v>
      </c>
      <c r="B1178" s="2">
        <v>45151</v>
      </c>
      <c r="C1178" t="s">
        <v>4203</v>
      </c>
      <c r="D1178" t="s">
        <v>32</v>
      </c>
      <c r="E1178" s="13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5">
      <c r="A1179" t="s">
        <v>4206</v>
      </c>
      <c r="B1179" s="2">
        <v>45043</v>
      </c>
      <c r="C1179" t="s">
        <v>4207</v>
      </c>
      <c r="D1179" t="s">
        <v>48</v>
      </c>
      <c r="E1179" s="13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4209</v>
      </c>
      <c r="B1180" s="2">
        <v>45543</v>
      </c>
      <c r="C1180" t="s">
        <v>4210</v>
      </c>
      <c r="D1180" t="s">
        <v>16</v>
      </c>
      <c r="E1180" s="13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5">
      <c r="A1181" t="s">
        <v>4212</v>
      </c>
      <c r="B1181" s="2">
        <v>44934</v>
      </c>
      <c r="C1181" t="s">
        <v>4213</v>
      </c>
      <c r="D1181" t="s">
        <v>58</v>
      </c>
      <c r="E1181" s="13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5">
      <c r="A1182" t="s">
        <v>4215</v>
      </c>
      <c r="B1182" s="2">
        <v>45230</v>
      </c>
      <c r="C1182" t="s">
        <v>4216</v>
      </c>
      <c r="D1182" t="s">
        <v>41</v>
      </c>
      <c r="E1182" s="13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5">
      <c r="A1183" t="s">
        <v>4218</v>
      </c>
      <c r="B1183" s="2">
        <v>45134</v>
      </c>
      <c r="C1183" t="s">
        <v>4219</v>
      </c>
      <c r="D1183" t="s">
        <v>73</v>
      </c>
      <c r="E1183" s="1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4221</v>
      </c>
      <c r="B1184" s="2">
        <v>45822</v>
      </c>
      <c r="C1184" t="s">
        <v>4222</v>
      </c>
      <c r="D1184" t="s">
        <v>41</v>
      </c>
      <c r="E1184" s="13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5">
      <c r="A1185" t="s">
        <v>4224</v>
      </c>
      <c r="B1185" s="2">
        <v>45021</v>
      </c>
      <c r="C1185" t="s">
        <v>4225</v>
      </c>
      <c r="D1185" t="s">
        <v>73</v>
      </c>
      <c r="E1185" s="13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5">
      <c r="A1186" t="s">
        <v>4227</v>
      </c>
      <c r="B1186" s="2">
        <v>45196</v>
      </c>
      <c r="C1186" t="s">
        <v>4228</v>
      </c>
      <c r="D1186" t="s">
        <v>58</v>
      </c>
      <c r="E1186" s="13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35">
      <c r="A1187" t="s">
        <v>4230</v>
      </c>
      <c r="B1187" s="2">
        <v>45481</v>
      </c>
      <c r="C1187" t="s">
        <v>4231</v>
      </c>
      <c r="D1187" t="s">
        <v>41</v>
      </c>
      <c r="E1187" s="13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5">
      <c r="A1188" t="s">
        <v>4234</v>
      </c>
      <c r="B1188" s="2">
        <v>45248</v>
      </c>
      <c r="C1188" t="s">
        <v>4235</v>
      </c>
      <c r="D1188" t="s">
        <v>16</v>
      </c>
      <c r="E1188" s="13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5">
      <c r="A1189" t="s">
        <v>4238</v>
      </c>
      <c r="B1189" s="2">
        <v>45364</v>
      </c>
      <c r="C1189" t="s">
        <v>4239</v>
      </c>
      <c r="D1189" t="s">
        <v>73</v>
      </c>
      <c r="E1189" s="13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5">
      <c r="A1190" t="s">
        <v>4241</v>
      </c>
      <c r="B1190" s="2">
        <v>45206</v>
      </c>
      <c r="C1190" t="s">
        <v>4242</v>
      </c>
      <c r="D1190" t="s">
        <v>48</v>
      </c>
      <c r="E1190" s="13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5">
      <c r="A1191" t="s">
        <v>4245</v>
      </c>
      <c r="B1191" s="2">
        <v>45521</v>
      </c>
      <c r="C1191" t="s">
        <v>4246</v>
      </c>
      <c r="D1191" t="s">
        <v>32</v>
      </c>
      <c r="E1191" s="13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35">
      <c r="A1192" t="s">
        <v>4249</v>
      </c>
      <c r="B1192" s="2">
        <v>45816</v>
      </c>
      <c r="C1192" t="s">
        <v>4250</v>
      </c>
      <c r="D1192" t="s">
        <v>73</v>
      </c>
      <c r="E1192" s="13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4253</v>
      </c>
      <c r="B1193" s="2">
        <v>45698</v>
      </c>
      <c r="C1193" t="s">
        <v>4254</v>
      </c>
      <c r="D1193" t="s">
        <v>73</v>
      </c>
      <c r="E1193" s="1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5">
      <c r="A1194" t="s">
        <v>4256</v>
      </c>
      <c r="B1194" s="2">
        <v>45350</v>
      </c>
      <c r="C1194" t="s">
        <v>4257</v>
      </c>
      <c r="D1194" t="s">
        <v>41</v>
      </c>
      <c r="E1194" s="13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35">
      <c r="A1195" t="s">
        <v>4259</v>
      </c>
      <c r="B1195" s="2">
        <v>45824</v>
      </c>
      <c r="C1195" t="s">
        <v>4260</v>
      </c>
      <c r="D1195" t="s">
        <v>32</v>
      </c>
      <c r="E1195" s="13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4262</v>
      </c>
      <c r="B1196" s="2">
        <v>45249</v>
      </c>
      <c r="C1196" t="s">
        <v>4263</v>
      </c>
      <c r="D1196" t="s">
        <v>48</v>
      </c>
      <c r="E1196" s="13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5">
      <c r="A1197" t="s">
        <v>4265</v>
      </c>
      <c r="B1197" s="2">
        <v>45463</v>
      </c>
      <c r="C1197" t="s">
        <v>4266</v>
      </c>
      <c r="D1197" t="s">
        <v>73</v>
      </c>
      <c r="E1197" s="13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5">
      <c r="A1198" t="s">
        <v>4269</v>
      </c>
      <c r="B1198" s="2">
        <v>45355</v>
      </c>
      <c r="C1198" t="s">
        <v>4270</v>
      </c>
      <c r="D1198" t="s">
        <v>16</v>
      </c>
      <c r="E1198" s="13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35">
      <c r="A1199" t="s">
        <v>4272</v>
      </c>
      <c r="B1199" s="2">
        <v>45120</v>
      </c>
      <c r="C1199" t="s">
        <v>4273</v>
      </c>
      <c r="D1199" t="s">
        <v>32</v>
      </c>
      <c r="E1199" s="13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4275</v>
      </c>
      <c r="B1200" s="2">
        <v>45526</v>
      </c>
      <c r="C1200" t="s">
        <v>4276</v>
      </c>
      <c r="D1200" t="s">
        <v>41</v>
      </c>
      <c r="E1200" s="13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5">
      <c r="A1201" t="s">
        <v>4279</v>
      </c>
      <c r="B1201" s="2">
        <v>45088</v>
      </c>
      <c r="C1201" t="s">
        <v>4280</v>
      </c>
      <c r="D1201" t="s">
        <v>32</v>
      </c>
      <c r="E1201" s="13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6080-DD3F-4467-A472-57E632CB9AFD}">
  <dimension ref="A1:N1204"/>
  <sheetViews>
    <sheetView topLeftCell="F2" workbookViewId="0">
      <selection activeCell="G1192" sqref="G1192"/>
    </sheetView>
  </sheetViews>
  <sheetFormatPr defaultRowHeight="14.5" x14ac:dyDescent="0.35"/>
  <cols>
    <col min="1" max="1" width="10.54296875" style="6" bestFit="1" customWidth="1"/>
    <col min="2" max="2" width="10.453125" style="4" bestFit="1" customWidth="1"/>
    <col min="3" max="3" width="12.81640625" style="6" customWidth="1"/>
    <col min="4" max="4" width="11.6328125" style="6" customWidth="1"/>
    <col min="5" max="5" width="14.08984375" style="13" customWidth="1"/>
    <col min="6" max="6" width="13.36328125" style="10" customWidth="1"/>
    <col min="7" max="7" width="16.6328125" style="6" customWidth="1"/>
    <col min="8" max="8" width="17" style="6" customWidth="1"/>
    <col min="9" max="9" width="13" style="6" customWidth="1"/>
    <col min="10" max="10" width="16.6328125" style="6" customWidth="1"/>
    <col min="11" max="11" width="12.7265625" style="8" customWidth="1"/>
    <col min="12" max="12" width="13.6328125" style="6" customWidth="1"/>
    <col min="13" max="13" width="15.08984375" style="6" customWidth="1"/>
    <col min="14" max="14" width="13.81640625" style="10" customWidth="1"/>
  </cols>
  <sheetData>
    <row r="1" spans="1:14" x14ac:dyDescent="0.35">
      <c r="A1" s="5" t="s">
        <v>0</v>
      </c>
      <c r="B1" s="3" t="s">
        <v>1</v>
      </c>
      <c r="C1" s="5" t="s">
        <v>2</v>
      </c>
      <c r="D1" s="5" t="s">
        <v>3</v>
      </c>
      <c r="E1" s="14" t="s">
        <v>4</v>
      </c>
      <c r="F1" s="9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5" t="s">
        <v>11</v>
      </c>
      <c r="M1" s="5" t="s">
        <v>12</v>
      </c>
      <c r="N1" s="9" t="s">
        <v>13</v>
      </c>
    </row>
    <row r="2" spans="1:14" x14ac:dyDescent="0.35">
      <c r="A2" s="6" t="str">
        <f>TRIM(Dataset!A2)</f>
        <v>ORD200000</v>
      </c>
      <c r="B2" s="4">
        <f>Dataset!B2</f>
        <v>44930</v>
      </c>
      <c r="C2" s="6" t="str">
        <f>TRIM(Dataset!C2)</f>
        <v>C72649</v>
      </c>
      <c r="D2" s="6" t="str">
        <f>TRIM(Dataset!D2)</f>
        <v>Monitor</v>
      </c>
      <c r="E2" s="13">
        <f>VALUE(TRIM(Dataset!E2))</f>
        <v>5</v>
      </c>
      <c r="F2" s="10">
        <f>VALUE(TRIM(Dataset!F2))</f>
        <v>570.62</v>
      </c>
      <c r="G2" s="6" t="str">
        <f>TRIM(Dataset!G2)</f>
        <v>928 Main St</v>
      </c>
      <c r="H2" s="6" t="str">
        <f>TRIM(Dataset!H2)</f>
        <v>Debit Card</v>
      </c>
      <c r="I2" s="6" t="str">
        <f>TRIM(Dataset!I2)</f>
        <v>Shipped</v>
      </c>
      <c r="J2" s="6" t="str">
        <f>TRIM(Dataset!J2)</f>
        <v>TRK37947903</v>
      </c>
      <c r="K2" s="8" t="str">
        <f>TRIM(Dataset!K2)</f>
        <v>7</v>
      </c>
      <c r="L2" s="6" t="str">
        <f>Dataset!L2</f>
        <v>SAVE10</v>
      </c>
      <c r="M2" s="6" t="str">
        <f>TRIM(Dataset!M2)</f>
        <v>Instagram</v>
      </c>
      <c r="N2" s="10">
        <f>VALUE(TRIM(Dataset!N2))</f>
        <v>2853.1</v>
      </c>
    </row>
    <row r="3" spans="1:14" x14ac:dyDescent="0.35">
      <c r="A3" s="6" t="str">
        <f>TRIM(Dataset!A3)</f>
        <v>ORD200001</v>
      </c>
      <c r="B3" s="4">
        <f>Dataset!B3</f>
        <v>45527</v>
      </c>
      <c r="C3" s="6" t="str">
        <f>TRIM(Dataset!C3)</f>
        <v>C75739</v>
      </c>
      <c r="D3" s="6" t="str">
        <f>TRIM(Dataset!D3)</f>
        <v>Phone</v>
      </c>
      <c r="E3" s="13">
        <f>VALUE(TRIM(Dataset!E3))</f>
        <v>2</v>
      </c>
      <c r="F3" s="10">
        <f>VALUE(TRIM(Dataset!F3))</f>
        <v>151.35</v>
      </c>
      <c r="G3" s="6" t="str">
        <f>TRIM(Dataset!G3)</f>
        <v>823 Main St</v>
      </c>
      <c r="H3" s="6" t="str">
        <f>TRIM(Dataset!H3)</f>
        <v>Online</v>
      </c>
      <c r="I3" s="6" t="str">
        <f>TRIM(Dataset!I3)</f>
        <v>Shipped</v>
      </c>
      <c r="J3" s="6" t="str">
        <f>TRIM(Dataset!J3)</f>
        <v>TRK91186779</v>
      </c>
      <c r="K3" s="8" t="str">
        <f>TRIM(Dataset!K3)</f>
        <v>3</v>
      </c>
      <c r="L3" s="6" t="str">
        <f>Dataset!L3</f>
        <v>SAVE10</v>
      </c>
      <c r="M3" s="6" t="str">
        <f>TRIM(Dataset!M3)</f>
        <v>Referral</v>
      </c>
      <c r="N3" s="10">
        <f>VALUE(TRIM(Dataset!N3))</f>
        <v>302.7</v>
      </c>
    </row>
    <row r="4" spans="1:14" x14ac:dyDescent="0.35">
      <c r="A4" s="6" t="str">
        <f>TRIM(Dataset!A4)</f>
        <v>ORD200002</v>
      </c>
      <c r="B4" s="4">
        <f>Dataset!B4</f>
        <v>45349</v>
      </c>
      <c r="C4" s="6" t="str">
        <f>TRIM(Dataset!C4)</f>
        <v>C81728</v>
      </c>
      <c r="D4" s="6" t="str">
        <f>TRIM(Dataset!D4)</f>
        <v>Tablet</v>
      </c>
      <c r="E4" s="13">
        <f>VALUE(TRIM(Dataset!E4))</f>
        <v>5</v>
      </c>
      <c r="F4" s="10">
        <f>VALUE(TRIM(Dataset!F4))</f>
        <v>550.67999999999995</v>
      </c>
      <c r="G4" s="6" t="str">
        <f>TRIM(Dataset!G4)</f>
        <v>512 Main St</v>
      </c>
      <c r="H4" s="6" t="str">
        <f>TRIM(Dataset!H4)</f>
        <v>Credit Card</v>
      </c>
      <c r="I4" s="6" t="str">
        <f>TRIM(Dataset!I4)</f>
        <v>Cancelled</v>
      </c>
      <c r="J4" s="6" t="str">
        <f>TRIM(Dataset!J4)</f>
        <v>TRK42903982</v>
      </c>
      <c r="K4" s="8" t="str">
        <f>TRIM(Dataset!K4)</f>
        <v>8</v>
      </c>
      <c r="L4" s="6" t="str">
        <f>Dataset!L4</f>
        <v>FREESHIP</v>
      </c>
      <c r="M4" s="6" t="str">
        <f>TRIM(Dataset!M4)</f>
        <v>Email</v>
      </c>
      <c r="N4" s="10">
        <f>VALUE(TRIM(Dataset!N4))</f>
        <v>2753.4</v>
      </c>
    </row>
    <row r="5" spans="1:14" x14ac:dyDescent="0.35">
      <c r="A5" s="6" t="str">
        <f>TRIM(Dataset!A5)</f>
        <v>ORD200003</v>
      </c>
      <c r="B5" s="4">
        <f>Dataset!B5</f>
        <v>45214</v>
      </c>
      <c r="C5" s="6" t="str">
        <f>TRIM(Dataset!C5)</f>
        <v>C33540</v>
      </c>
      <c r="D5" s="6" t="str">
        <f>TRIM(Dataset!D5)</f>
        <v>Chair</v>
      </c>
      <c r="E5" s="13">
        <f>VALUE(TRIM(Dataset!E5))</f>
        <v>1</v>
      </c>
      <c r="F5" s="10">
        <f>VALUE(TRIM(Dataset!F5))</f>
        <v>273.19</v>
      </c>
      <c r="G5" s="6" t="str">
        <f>TRIM(Dataset!G5)</f>
        <v>275 Main St</v>
      </c>
      <c r="H5" s="6" t="str">
        <f>TRIM(Dataset!H5)</f>
        <v>Debit Card</v>
      </c>
      <c r="I5" s="6" t="str">
        <f>TRIM(Dataset!I5)</f>
        <v>Returned</v>
      </c>
      <c r="J5" s="6" t="str">
        <f>TRIM(Dataset!J5)</f>
        <v>TRK62788070</v>
      </c>
      <c r="K5" s="8" t="str">
        <f>TRIM(Dataset!K5)</f>
        <v>5</v>
      </c>
      <c r="L5" s="6" t="str">
        <f>Dataset!L5</f>
        <v>SAVE10</v>
      </c>
      <c r="M5" s="6" t="str">
        <f>TRIM(Dataset!M5)</f>
        <v>Facebook</v>
      </c>
      <c r="N5" s="10">
        <f>VALUE(TRIM(Dataset!N5))</f>
        <v>273.19</v>
      </c>
    </row>
    <row r="6" spans="1:14" x14ac:dyDescent="0.35">
      <c r="A6" s="6" t="str">
        <f>TRIM(Dataset!A6)</f>
        <v>ORD200004</v>
      </c>
      <c r="B6" s="4">
        <f>Dataset!B6</f>
        <v>45785</v>
      </c>
      <c r="C6" s="6" t="str">
        <f>TRIM(Dataset!C6)</f>
        <v>C81840</v>
      </c>
      <c r="D6" s="6" t="str">
        <f>TRIM(Dataset!D6)</f>
        <v>Printer</v>
      </c>
      <c r="E6" s="13">
        <f>VALUE(TRIM(Dataset!E6))</f>
        <v>4</v>
      </c>
      <c r="F6" s="10">
        <f>VALUE(TRIM(Dataset!F6))</f>
        <v>626.01</v>
      </c>
      <c r="G6" s="6" t="str">
        <f>TRIM(Dataset!G6)</f>
        <v>668 Main St</v>
      </c>
      <c r="H6" s="6" t="str">
        <f>TRIM(Dataset!H6)</f>
        <v>Online</v>
      </c>
      <c r="I6" s="6" t="str">
        <f>TRIM(Dataset!I6)</f>
        <v>Delivered</v>
      </c>
      <c r="J6" s="6" t="str">
        <f>TRIM(Dataset!J6)</f>
        <v>TRK29241424</v>
      </c>
      <c r="K6" s="8" t="str">
        <f>TRIM(Dataset!K6)</f>
        <v>8</v>
      </c>
      <c r="L6" s="6" t="str">
        <f>Dataset!L6</f>
        <v>SAVE10</v>
      </c>
      <c r="M6" s="6" t="str">
        <f>TRIM(Dataset!M6)</f>
        <v>Email</v>
      </c>
      <c r="N6" s="10">
        <f>VALUE(TRIM(Dataset!N6))</f>
        <v>2504.04</v>
      </c>
    </row>
    <row r="7" spans="1:14" x14ac:dyDescent="0.35">
      <c r="A7" s="6" t="str">
        <f>TRIM(Dataset!A7)</f>
        <v>ORD200005</v>
      </c>
      <c r="B7" s="4">
        <f>Dataset!B7</f>
        <v>45222</v>
      </c>
      <c r="C7" s="6" t="str">
        <f>TRIM(Dataset!C7)</f>
        <v>C37249</v>
      </c>
      <c r="D7" s="6" t="str">
        <f>TRIM(Dataset!D7)</f>
        <v>Phone</v>
      </c>
      <c r="E7" s="13">
        <f>VALUE(TRIM(Dataset!E7))</f>
        <v>2</v>
      </c>
      <c r="F7" s="10">
        <f>VALUE(TRIM(Dataset!F7))</f>
        <v>245.86</v>
      </c>
      <c r="G7" s="6" t="str">
        <f>TRIM(Dataset!G7)</f>
        <v>934 Main St</v>
      </c>
      <c r="H7" s="6" t="str">
        <f>TRIM(Dataset!H7)</f>
        <v>Credit Card</v>
      </c>
      <c r="I7" s="6" t="str">
        <f>TRIM(Dataset!I7)</f>
        <v>Shipped</v>
      </c>
      <c r="J7" s="6" t="str">
        <f>TRIM(Dataset!J7)</f>
        <v>TRK72976927</v>
      </c>
      <c r="K7" s="8" t="str">
        <f>TRIM(Dataset!K7)</f>
        <v>4</v>
      </c>
      <c r="L7" s="6" t="str">
        <f>Dataset!L7</f>
        <v>SAVE10</v>
      </c>
      <c r="M7" s="6" t="str">
        <f>TRIM(Dataset!M7)</f>
        <v>Instagram</v>
      </c>
      <c r="N7" s="10">
        <f>VALUE(TRIM(Dataset!N7))</f>
        <v>491.72</v>
      </c>
    </row>
    <row r="8" spans="1:14" x14ac:dyDescent="0.35">
      <c r="A8" s="6" t="str">
        <f>TRIM(Dataset!A8)</f>
        <v>ORD200006</v>
      </c>
      <c r="B8" s="4">
        <f>Dataset!B8</f>
        <v>45825</v>
      </c>
      <c r="C8" s="6" t="str">
        <f>TRIM(Dataset!C8)</f>
        <v>C83492</v>
      </c>
      <c r="D8" s="6" t="str">
        <f>TRIM(Dataset!D8)</f>
        <v>Laptop</v>
      </c>
      <c r="E8" s="13">
        <f>VALUE(TRIM(Dataset!E8))</f>
        <v>1</v>
      </c>
      <c r="F8" s="10">
        <f>VALUE(TRIM(Dataset!F8))</f>
        <v>664.42</v>
      </c>
      <c r="G8" s="6" t="str">
        <f>TRIM(Dataset!G8)</f>
        <v>986 Main St</v>
      </c>
      <c r="H8" s="6" t="str">
        <f>TRIM(Dataset!H8)</f>
        <v>Gift Card</v>
      </c>
      <c r="I8" s="6" t="str">
        <f>TRIM(Dataset!I8)</f>
        <v>Returned</v>
      </c>
      <c r="J8" s="6" t="str">
        <f>TRIM(Dataset!J8)</f>
        <v>TRK96417362</v>
      </c>
      <c r="K8" s="8" t="str">
        <f>TRIM(Dataset!K8)</f>
        <v>6</v>
      </c>
      <c r="L8" s="6" t="str">
        <f>Dataset!L8</f>
        <v>SAVE10</v>
      </c>
      <c r="M8" s="6" t="str">
        <f>TRIM(Dataset!M8)</f>
        <v>Facebook</v>
      </c>
      <c r="N8" s="10">
        <f>VALUE(TRIM(Dataset!N8))</f>
        <v>664.42</v>
      </c>
    </row>
    <row r="9" spans="1:14" x14ac:dyDescent="0.35">
      <c r="A9" s="6" t="str">
        <f>TRIM(Dataset!A9)</f>
        <v>ORD200007</v>
      </c>
      <c r="B9" s="4">
        <f>Dataset!B9</f>
        <v>45058</v>
      </c>
      <c r="C9" s="6" t="str">
        <f>TRIM(Dataset!C9)</f>
        <v>C41460</v>
      </c>
      <c r="D9" s="6" t="str">
        <f>TRIM(Dataset!D9)</f>
        <v>Monitor</v>
      </c>
      <c r="E9" s="13">
        <f>VALUE(TRIM(Dataset!E9))</f>
        <v>5</v>
      </c>
      <c r="F9" s="10">
        <f>VALUE(TRIM(Dataset!F9))</f>
        <v>149.55000000000001</v>
      </c>
      <c r="G9" s="6" t="str">
        <f>TRIM(Dataset!G9)</f>
        <v>706 Main St</v>
      </c>
      <c r="H9" s="6" t="str">
        <f>TRIM(Dataset!H9)</f>
        <v>Cash</v>
      </c>
      <c r="I9" s="6" t="str">
        <f>TRIM(Dataset!I9)</f>
        <v>Shipped</v>
      </c>
      <c r="J9" s="6" t="str">
        <f>TRIM(Dataset!J9)</f>
        <v>TRK78809193</v>
      </c>
      <c r="K9" s="8" t="str">
        <f>TRIM(Dataset!K9)</f>
        <v>9</v>
      </c>
      <c r="L9" s="6" t="str">
        <f>Dataset!L9</f>
        <v>FREESHIP</v>
      </c>
      <c r="M9" s="6" t="str">
        <f>TRIM(Dataset!M9)</f>
        <v>Facebook</v>
      </c>
      <c r="N9" s="10">
        <f>VALUE(TRIM(Dataset!N9))</f>
        <v>747.75</v>
      </c>
    </row>
    <row r="10" spans="1:14" x14ac:dyDescent="0.35">
      <c r="A10" s="6" t="str">
        <f>TRIM(Dataset!A10)</f>
        <v>ORD200008</v>
      </c>
      <c r="B10" s="4">
        <f>Dataset!B10</f>
        <v>45749</v>
      </c>
      <c r="C10" s="6" t="str">
        <f>TRIM(Dataset!C10)</f>
        <v>C26817</v>
      </c>
      <c r="D10" s="6" t="str">
        <f>TRIM(Dataset!D10)</f>
        <v>Phone</v>
      </c>
      <c r="E10" s="13">
        <f>VALUE(TRIM(Dataset!E10))</f>
        <v>2</v>
      </c>
      <c r="F10" s="10">
        <f>VALUE(TRIM(Dataset!F10))</f>
        <v>134.28</v>
      </c>
      <c r="G10" s="6" t="str">
        <f>TRIM(Dataset!G10)</f>
        <v>904 Main St</v>
      </c>
      <c r="H10" s="6" t="str">
        <f>TRIM(Dataset!H10)</f>
        <v>Gift Card</v>
      </c>
      <c r="I10" s="6" t="str">
        <f>TRIM(Dataset!I10)</f>
        <v>Cancelled</v>
      </c>
      <c r="J10" s="6" t="str">
        <f>TRIM(Dataset!J10)</f>
        <v>TRK61042692</v>
      </c>
      <c r="K10" s="8" t="str">
        <f>TRIM(Dataset!K10)</f>
        <v>2</v>
      </c>
      <c r="L10" s="6" t="s">
        <v>4284</v>
      </c>
      <c r="M10" s="6" t="str">
        <f>TRIM(Dataset!M10)</f>
        <v>Email</v>
      </c>
      <c r="N10" s="10">
        <f>VALUE(TRIM(Dataset!N10))</f>
        <v>268.56</v>
      </c>
    </row>
    <row r="11" spans="1:14" x14ac:dyDescent="0.35">
      <c r="A11" s="6" t="str">
        <f>TRIM(Dataset!A11)</f>
        <v>ORD200009</v>
      </c>
      <c r="B11" s="4">
        <f>Dataset!B11</f>
        <v>45251</v>
      </c>
      <c r="C11" s="6" t="str">
        <f>TRIM(Dataset!C11)</f>
        <v>C31946</v>
      </c>
      <c r="D11" s="6" t="str">
        <f>TRIM(Dataset!D11)</f>
        <v>Desk</v>
      </c>
      <c r="E11" s="13">
        <f>VALUE(TRIM(Dataset!E11))</f>
        <v>4</v>
      </c>
      <c r="F11" s="10">
        <f>VALUE(TRIM(Dataset!F11))</f>
        <v>509.38</v>
      </c>
      <c r="G11" s="6" t="str">
        <f>TRIM(Dataset!G11)</f>
        <v>102 Main St</v>
      </c>
      <c r="H11" s="6" t="str">
        <f>TRIM(Dataset!H11)</f>
        <v>Credit Card</v>
      </c>
      <c r="I11" s="6" t="str">
        <f>TRIM(Dataset!I11)</f>
        <v>Shipped</v>
      </c>
      <c r="J11" s="6" t="str">
        <f>TRIM(Dataset!J11)</f>
        <v>TRK33478363</v>
      </c>
      <c r="K11" s="8" t="str">
        <f>TRIM(Dataset!K11)</f>
        <v>6</v>
      </c>
      <c r="L11" s="6" t="str">
        <f>Dataset!L11</f>
        <v>SAVE10</v>
      </c>
      <c r="M11" s="6" t="str">
        <f>TRIM(Dataset!M11)</f>
        <v>Google</v>
      </c>
      <c r="N11" s="10">
        <f>VALUE(TRIM(Dataset!N11))</f>
        <v>2037.52</v>
      </c>
    </row>
    <row r="12" spans="1:14" x14ac:dyDescent="0.35">
      <c r="A12" s="6" t="str">
        <f>TRIM(Dataset!A12)</f>
        <v>ORD200010</v>
      </c>
      <c r="B12" s="4">
        <f>Dataset!B12</f>
        <v>45289</v>
      </c>
      <c r="C12" s="6" t="str">
        <f>TRIM(Dataset!C12)</f>
        <v>C43443</v>
      </c>
      <c r="D12" s="6" t="str">
        <f>TRIM(Dataset!D12)</f>
        <v>Tablet</v>
      </c>
      <c r="E12" s="13">
        <f>VALUE(TRIM(Dataset!E12))</f>
        <v>5</v>
      </c>
      <c r="F12" s="10">
        <f>VALUE(TRIM(Dataset!F12))</f>
        <v>625.97</v>
      </c>
      <c r="G12" s="6" t="str">
        <f>TRIM(Dataset!G12)</f>
        <v>333 Main St</v>
      </c>
      <c r="H12" s="6" t="str">
        <f>TRIM(Dataset!H12)</f>
        <v>Credit Card</v>
      </c>
      <c r="I12" s="6" t="str">
        <f>TRIM(Dataset!I12)</f>
        <v>Returned</v>
      </c>
      <c r="J12" s="6" t="str">
        <f>TRIM(Dataset!J12)</f>
        <v>TRK98859248</v>
      </c>
      <c r="K12" s="8" t="str">
        <f>TRIM(Dataset!K12)</f>
        <v>9</v>
      </c>
      <c r="L12" s="6" t="str">
        <f>Dataset!L12</f>
        <v>WINTER15</v>
      </c>
      <c r="M12" s="6" t="str">
        <f>TRIM(Dataset!M12)</f>
        <v>Instagram</v>
      </c>
      <c r="N12" s="10">
        <f>VALUE(TRIM(Dataset!N12))</f>
        <v>3129.85</v>
      </c>
    </row>
    <row r="13" spans="1:14" x14ac:dyDescent="0.35">
      <c r="A13" s="6" t="str">
        <f>TRIM(Dataset!A13)</f>
        <v>ORD200011</v>
      </c>
      <c r="B13" s="4">
        <f>Dataset!B13</f>
        <v>45339</v>
      </c>
      <c r="C13" s="6" t="str">
        <f>TRIM(Dataset!C13)</f>
        <v>C93861</v>
      </c>
      <c r="D13" s="6" t="str">
        <f>TRIM(Dataset!D13)</f>
        <v>Monitor</v>
      </c>
      <c r="E13" s="13">
        <f>VALUE(TRIM(Dataset!E13))</f>
        <v>3</v>
      </c>
      <c r="F13" s="10">
        <f>VALUE(TRIM(Dataset!F13))</f>
        <v>49.14</v>
      </c>
      <c r="G13" s="6" t="str">
        <f>TRIM(Dataset!G13)</f>
        <v>831 Main St</v>
      </c>
      <c r="H13" s="6" t="str">
        <f>TRIM(Dataset!H13)</f>
        <v>Online</v>
      </c>
      <c r="I13" s="6" t="str">
        <f>TRIM(Dataset!I13)</f>
        <v>Returned</v>
      </c>
      <c r="J13" s="6" t="str">
        <f>TRIM(Dataset!J13)</f>
        <v>TRK48234646</v>
      </c>
      <c r="K13" s="8" t="str">
        <f>TRIM(Dataset!K13)</f>
        <v>7</v>
      </c>
      <c r="L13" s="6" t="str">
        <f>Dataset!L13</f>
        <v>SAVE10</v>
      </c>
      <c r="M13" s="6" t="str">
        <f>TRIM(Dataset!M13)</f>
        <v>Email</v>
      </c>
      <c r="N13" s="10">
        <f>VALUE(TRIM(Dataset!N13))</f>
        <v>147.41999999999999</v>
      </c>
    </row>
    <row r="14" spans="1:14" x14ac:dyDescent="0.35">
      <c r="A14" s="6" t="str">
        <f>TRIM(Dataset!A14)</f>
        <v>ORD200012</v>
      </c>
      <c r="B14" s="4">
        <f>Dataset!B14</f>
        <v>45580</v>
      </c>
      <c r="C14" s="6" t="str">
        <f>TRIM(Dataset!C14)</f>
        <v>C38785</v>
      </c>
      <c r="D14" s="6" t="str">
        <f>TRIM(Dataset!D14)</f>
        <v>Monitor</v>
      </c>
      <c r="E14" s="13">
        <f>VALUE(TRIM(Dataset!E14))</f>
        <v>2</v>
      </c>
      <c r="F14" s="10">
        <f>VALUE(TRIM(Dataset!F14))</f>
        <v>180.5</v>
      </c>
      <c r="G14" s="6" t="str">
        <f>TRIM(Dataset!G14)</f>
        <v>179 Main St</v>
      </c>
      <c r="H14" s="6" t="str">
        <f>TRIM(Dataset!H14)</f>
        <v>Debit Card</v>
      </c>
      <c r="I14" s="6" t="str">
        <f>TRIM(Dataset!I14)</f>
        <v>Pending</v>
      </c>
      <c r="J14" s="6" t="str">
        <f>TRIM(Dataset!J14)</f>
        <v>TRK20419991</v>
      </c>
      <c r="K14" s="8" t="str">
        <f>TRIM(Dataset!K14)</f>
        <v>6</v>
      </c>
      <c r="L14" s="6" t="str">
        <f>Dataset!L14</f>
        <v>FREESHIP</v>
      </c>
      <c r="M14" s="6" t="str">
        <f>TRIM(Dataset!M14)</f>
        <v>Referral</v>
      </c>
      <c r="N14" s="10">
        <f>VALUE(TRIM(Dataset!N14))</f>
        <v>361</v>
      </c>
    </row>
    <row r="15" spans="1:14" x14ac:dyDescent="0.35">
      <c r="A15" s="6" t="str">
        <f>TRIM(Dataset!A15)</f>
        <v>ORD200013</v>
      </c>
      <c r="B15" s="4">
        <f>Dataset!B15</f>
        <v>45168</v>
      </c>
      <c r="C15" s="6" t="str">
        <f>TRIM(Dataset!C15)</f>
        <v>C88348</v>
      </c>
      <c r="D15" s="6" t="str">
        <f>TRIM(Dataset!D15)</f>
        <v>Laptop</v>
      </c>
      <c r="E15" s="13">
        <f>VALUE(TRIM(Dataset!E15))</f>
        <v>3</v>
      </c>
      <c r="F15" s="10">
        <f>VALUE(TRIM(Dataset!F15))</f>
        <v>201.49</v>
      </c>
      <c r="G15" s="6" t="str">
        <f>TRIM(Dataset!G15)</f>
        <v>903 Main St</v>
      </c>
      <c r="H15" s="6" t="str">
        <f>TRIM(Dataset!H15)</f>
        <v>Credit Card</v>
      </c>
      <c r="I15" s="6" t="str">
        <f>TRIM(Dataset!I15)</f>
        <v>Returned</v>
      </c>
      <c r="J15" s="6" t="str">
        <f>TRIM(Dataset!J15)</f>
        <v>TRK81913874</v>
      </c>
      <c r="K15" s="8" t="str">
        <f>TRIM(Dataset!K15)</f>
        <v>4</v>
      </c>
      <c r="L15" s="6" t="str">
        <f>Dataset!L15</f>
        <v>FREESHIP</v>
      </c>
      <c r="M15" s="6" t="str">
        <f>TRIM(Dataset!M15)</f>
        <v>Facebook</v>
      </c>
      <c r="N15" s="10">
        <f>VALUE(TRIM(Dataset!N15))</f>
        <v>604.47</v>
      </c>
    </row>
    <row r="16" spans="1:14" x14ac:dyDescent="0.35">
      <c r="A16" s="6" t="str">
        <f>TRIM(Dataset!A16)</f>
        <v>ORD200014</v>
      </c>
      <c r="B16" s="4">
        <f>Dataset!B16</f>
        <v>45012</v>
      </c>
      <c r="C16" s="6" t="str">
        <f>TRIM(Dataset!C16)</f>
        <v>C98474</v>
      </c>
      <c r="D16" s="6" t="str">
        <f>TRIM(Dataset!D16)</f>
        <v>Tablet</v>
      </c>
      <c r="E16" s="13">
        <f>VALUE(TRIM(Dataset!E16))</f>
        <v>2</v>
      </c>
      <c r="F16" s="10">
        <f>VALUE(TRIM(Dataset!F16))</f>
        <v>393.33</v>
      </c>
      <c r="G16" s="6" t="str">
        <f>TRIM(Dataset!G16)</f>
        <v>980 Main St</v>
      </c>
      <c r="H16" s="6" t="str">
        <f>TRIM(Dataset!H16)</f>
        <v>Debit Card</v>
      </c>
      <c r="I16" s="6" t="str">
        <f>TRIM(Dataset!I16)</f>
        <v>Pending</v>
      </c>
      <c r="J16" s="6" t="str">
        <f>TRIM(Dataset!J16)</f>
        <v>TRK79186539</v>
      </c>
      <c r="K16" s="8" t="str">
        <f>TRIM(Dataset!K16)</f>
        <v>3</v>
      </c>
      <c r="L16" s="6" t="str">
        <f>Dataset!L16</f>
        <v>SAVE10</v>
      </c>
      <c r="M16" s="6" t="str">
        <f>TRIM(Dataset!M16)</f>
        <v>Instagram</v>
      </c>
      <c r="N16" s="10">
        <f>VALUE(TRIM(Dataset!N16))</f>
        <v>786.66</v>
      </c>
    </row>
    <row r="17" spans="1:14" x14ac:dyDescent="0.35">
      <c r="A17" s="6" t="str">
        <f>TRIM(Dataset!A17)</f>
        <v>ORD200015</v>
      </c>
      <c r="B17" s="4">
        <f>Dataset!B17</f>
        <v>45124</v>
      </c>
      <c r="C17" s="6" t="str">
        <f>TRIM(Dataset!C17)</f>
        <v>C39416</v>
      </c>
      <c r="D17" s="6" t="str">
        <f>TRIM(Dataset!D17)</f>
        <v>Printer</v>
      </c>
      <c r="E17" s="13">
        <f>VALUE(TRIM(Dataset!E17))</f>
        <v>1</v>
      </c>
      <c r="F17" s="10">
        <f>VALUE(TRIM(Dataset!F17))</f>
        <v>473.96</v>
      </c>
      <c r="G17" s="6" t="str">
        <f>TRIM(Dataset!G17)</f>
        <v>942 Main St</v>
      </c>
      <c r="H17" s="6" t="str">
        <f>TRIM(Dataset!H17)</f>
        <v>Cash</v>
      </c>
      <c r="I17" s="6" t="str">
        <f>TRIM(Dataset!I17)</f>
        <v>Delivered</v>
      </c>
      <c r="J17" s="6" t="str">
        <f>TRIM(Dataset!J17)</f>
        <v>TRK54930938</v>
      </c>
      <c r="K17" s="8" t="str">
        <f>TRIM(Dataset!K17)</f>
        <v>3</v>
      </c>
      <c r="L17" s="6" t="s">
        <v>4284</v>
      </c>
      <c r="M17" s="6" t="str">
        <f>TRIM(Dataset!M17)</f>
        <v>Google</v>
      </c>
      <c r="N17" s="10">
        <f>VALUE(TRIM(Dataset!N17))</f>
        <v>473.96</v>
      </c>
    </row>
    <row r="18" spans="1:14" x14ac:dyDescent="0.35">
      <c r="A18" s="6" t="str">
        <f>TRIM(Dataset!A18)</f>
        <v>ORD200016</v>
      </c>
      <c r="B18" s="4">
        <f>Dataset!B18</f>
        <v>44950</v>
      </c>
      <c r="C18" s="6" t="str">
        <f>TRIM(Dataset!C18)</f>
        <v>C28976</v>
      </c>
      <c r="D18" s="6" t="str">
        <f>TRIM(Dataset!D18)</f>
        <v>Printer</v>
      </c>
      <c r="E18" s="13">
        <f>VALUE(TRIM(Dataset!E18))</f>
        <v>2</v>
      </c>
      <c r="F18" s="10">
        <f>VALUE(TRIM(Dataset!F18))</f>
        <v>533.80999999999995</v>
      </c>
      <c r="G18" s="6" t="str">
        <f>TRIM(Dataset!G18)</f>
        <v>914 Main St</v>
      </c>
      <c r="H18" s="6" t="str">
        <f>TRIM(Dataset!H18)</f>
        <v>Credit Card</v>
      </c>
      <c r="I18" s="6" t="str">
        <f>TRIM(Dataset!I18)</f>
        <v>Pending</v>
      </c>
      <c r="J18" s="6" t="str">
        <f>TRIM(Dataset!J18)</f>
        <v>TRK13194259</v>
      </c>
      <c r="K18" s="8" t="str">
        <f>TRIM(Dataset!K18)</f>
        <v>3</v>
      </c>
      <c r="L18" s="6" t="str">
        <f>Dataset!L18</f>
        <v>FREESHIP</v>
      </c>
      <c r="M18" s="6" t="str">
        <f>TRIM(Dataset!M18)</f>
        <v>Email</v>
      </c>
      <c r="N18" s="10">
        <f>VALUE(TRIM(Dataset!N18))</f>
        <v>1067.6199999999999</v>
      </c>
    </row>
    <row r="19" spans="1:14" x14ac:dyDescent="0.35">
      <c r="A19" s="6" t="str">
        <f>TRIM(Dataset!A19)</f>
        <v>ORD200017</v>
      </c>
      <c r="B19" s="4">
        <f>Dataset!B19</f>
        <v>45353</v>
      </c>
      <c r="C19" s="6" t="str">
        <f>TRIM(Dataset!C19)</f>
        <v>C60672</v>
      </c>
      <c r="D19" s="6" t="str">
        <f>TRIM(Dataset!D19)</f>
        <v>Tablet</v>
      </c>
      <c r="E19" s="13">
        <f>VALUE(TRIM(Dataset!E19))</f>
        <v>1</v>
      </c>
      <c r="F19" s="10">
        <f>VALUE(TRIM(Dataset!F19))</f>
        <v>423.4</v>
      </c>
      <c r="G19" s="6" t="str">
        <f>TRIM(Dataset!G19)</f>
        <v>382 Main St</v>
      </c>
      <c r="H19" s="6" t="str">
        <f>TRIM(Dataset!H19)</f>
        <v>Debit Card</v>
      </c>
      <c r="I19" s="6" t="str">
        <f>TRIM(Dataset!I19)</f>
        <v>Shipped</v>
      </c>
      <c r="J19" s="6" t="str">
        <f>TRIM(Dataset!J19)</f>
        <v>TRK11972116</v>
      </c>
      <c r="K19" s="8" t="str">
        <f>TRIM(Dataset!K19)</f>
        <v>3</v>
      </c>
      <c r="L19" s="6" t="s">
        <v>4284</v>
      </c>
      <c r="M19" s="6" t="str">
        <f>TRIM(Dataset!M19)</f>
        <v>Referral</v>
      </c>
      <c r="N19" s="10">
        <f>VALUE(TRIM(Dataset!N19))</f>
        <v>423.4</v>
      </c>
    </row>
    <row r="20" spans="1:14" x14ac:dyDescent="0.35">
      <c r="A20" s="6" t="str">
        <f>TRIM(Dataset!A20)</f>
        <v>ORD200018</v>
      </c>
      <c r="B20" s="4">
        <f>Dataset!B20</f>
        <v>45742</v>
      </c>
      <c r="C20" s="6" t="str">
        <f>TRIM(Dataset!C20)</f>
        <v>C84329</v>
      </c>
      <c r="D20" s="6" t="str">
        <f>TRIM(Dataset!D20)</f>
        <v>Desk</v>
      </c>
      <c r="E20" s="13">
        <f>VALUE(TRIM(Dataset!E20))</f>
        <v>1</v>
      </c>
      <c r="F20" s="10">
        <f>VALUE(TRIM(Dataset!F20))</f>
        <v>431.44</v>
      </c>
      <c r="G20" s="6" t="str">
        <f>TRIM(Dataset!G20)</f>
        <v>891 Main St</v>
      </c>
      <c r="H20" s="6" t="str">
        <f>TRIM(Dataset!H20)</f>
        <v>Gift Card</v>
      </c>
      <c r="I20" s="6" t="str">
        <f>TRIM(Dataset!I20)</f>
        <v>Pending</v>
      </c>
      <c r="J20" s="6" t="str">
        <f>TRIM(Dataset!J20)</f>
        <v>TRK65191045</v>
      </c>
      <c r="K20" s="8" t="str">
        <f>TRIM(Dataset!K20)</f>
        <v>3</v>
      </c>
      <c r="L20" s="6" t="str">
        <f>Dataset!L20</f>
        <v>SAVE10</v>
      </c>
      <c r="M20" s="6" t="str">
        <f>TRIM(Dataset!M20)</f>
        <v>Facebook</v>
      </c>
      <c r="N20" s="10">
        <f>VALUE(TRIM(Dataset!N20))</f>
        <v>431.44</v>
      </c>
    </row>
    <row r="21" spans="1:14" x14ac:dyDescent="0.35">
      <c r="A21" s="6" t="str">
        <f>TRIM(Dataset!A21)</f>
        <v>ORD200019</v>
      </c>
      <c r="B21" s="4">
        <f>Dataset!B21</f>
        <v>44949</v>
      </c>
      <c r="C21" s="6" t="str">
        <f>TRIM(Dataset!C21)</f>
        <v>C14552</v>
      </c>
      <c r="D21" s="6" t="str">
        <f>TRIM(Dataset!D21)</f>
        <v>Monitor</v>
      </c>
      <c r="E21" s="13">
        <f>VALUE(TRIM(Dataset!E21))</f>
        <v>5</v>
      </c>
      <c r="F21" s="10">
        <f>VALUE(TRIM(Dataset!F21))</f>
        <v>224</v>
      </c>
      <c r="G21" s="6" t="str">
        <f>TRIM(Dataset!G21)</f>
        <v>273 Main St</v>
      </c>
      <c r="H21" s="6" t="str">
        <f>TRIM(Dataset!H21)</f>
        <v>Cash</v>
      </c>
      <c r="I21" s="6" t="str">
        <f>TRIM(Dataset!I21)</f>
        <v>Returned</v>
      </c>
      <c r="J21" s="6" t="str">
        <f>TRIM(Dataset!J21)</f>
        <v>TRK59101365</v>
      </c>
      <c r="K21" s="8" t="str">
        <f>TRIM(Dataset!K21)</f>
        <v>9</v>
      </c>
      <c r="L21" s="6" t="str">
        <f>Dataset!L21</f>
        <v>SAVE10</v>
      </c>
      <c r="M21" s="6" t="str">
        <f>TRIM(Dataset!M21)</f>
        <v>Google</v>
      </c>
      <c r="N21" s="10">
        <f>VALUE(TRIM(Dataset!N21))</f>
        <v>1120</v>
      </c>
    </row>
    <row r="22" spans="1:14" x14ac:dyDescent="0.35">
      <c r="A22" s="6" t="str">
        <f>TRIM(Dataset!A22)</f>
        <v>ORD200020</v>
      </c>
      <c r="B22" s="4">
        <f>Dataset!B22</f>
        <v>45054</v>
      </c>
      <c r="C22" s="6" t="str">
        <f>TRIM(Dataset!C22)</f>
        <v>C54829</v>
      </c>
      <c r="D22" s="6" t="str">
        <f>TRIM(Dataset!D22)</f>
        <v>Chair</v>
      </c>
      <c r="E22" s="13">
        <f>VALUE(TRIM(Dataset!E22))</f>
        <v>5</v>
      </c>
      <c r="F22" s="10">
        <f>VALUE(TRIM(Dataset!F22))</f>
        <v>62.51</v>
      </c>
      <c r="G22" s="6" t="str">
        <f>TRIM(Dataset!G22)</f>
        <v>587 Main St</v>
      </c>
      <c r="H22" s="6" t="str">
        <f>TRIM(Dataset!H22)</f>
        <v>Cash</v>
      </c>
      <c r="I22" s="6" t="str">
        <f>TRIM(Dataset!I22)</f>
        <v>Pending</v>
      </c>
      <c r="J22" s="6" t="str">
        <f>TRIM(Dataset!J22)</f>
        <v>TRK16718651</v>
      </c>
      <c r="K22" s="8" t="str">
        <f>TRIM(Dataset!K22)</f>
        <v>9</v>
      </c>
      <c r="L22" s="6" t="str">
        <f>Dataset!L22</f>
        <v>WINTER15</v>
      </c>
      <c r="M22" s="6" t="str">
        <f>TRIM(Dataset!M22)</f>
        <v>Instagram</v>
      </c>
      <c r="N22" s="10">
        <f>VALUE(TRIM(Dataset!N22))</f>
        <v>312.55</v>
      </c>
    </row>
    <row r="23" spans="1:14" x14ac:dyDescent="0.35">
      <c r="A23" s="6" t="str">
        <f>TRIM(Dataset!A23)</f>
        <v>ORD200021</v>
      </c>
      <c r="B23" s="4">
        <f>Dataset!B23</f>
        <v>45613</v>
      </c>
      <c r="C23" s="6" t="str">
        <f>TRIM(Dataset!C23)</f>
        <v>C99023</v>
      </c>
      <c r="D23" s="6" t="str">
        <f>TRIM(Dataset!D23)</f>
        <v>Monitor</v>
      </c>
      <c r="E23" s="13">
        <f>VALUE(TRIM(Dataset!E23))</f>
        <v>4</v>
      </c>
      <c r="F23" s="10">
        <f>VALUE(TRIM(Dataset!F23))</f>
        <v>342.95</v>
      </c>
      <c r="G23" s="6" t="str">
        <f>TRIM(Dataset!G23)</f>
        <v>569 Main St</v>
      </c>
      <c r="H23" s="6" t="str">
        <f>TRIM(Dataset!H23)</f>
        <v>Cash</v>
      </c>
      <c r="I23" s="6" t="str">
        <f>TRIM(Dataset!I23)</f>
        <v>Delivered</v>
      </c>
      <c r="J23" s="6" t="str">
        <f>TRIM(Dataset!J23)</f>
        <v>TRK52646983</v>
      </c>
      <c r="K23" s="8" t="str">
        <f>TRIM(Dataset!K23)</f>
        <v>6</v>
      </c>
      <c r="L23" s="6" t="s">
        <v>4284</v>
      </c>
      <c r="M23" s="6" t="str">
        <f>TRIM(Dataset!M23)</f>
        <v>Google</v>
      </c>
      <c r="N23" s="10">
        <f>VALUE(TRIM(Dataset!N23))</f>
        <v>1371.8</v>
      </c>
    </row>
    <row r="24" spans="1:14" x14ac:dyDescent="0.35">
      <c r="A24" s="6" t="str">
        <f>TRIM(Dataset!A24)</f>
        <v>ORD200022</v>
      </c>
      <c r="B24" s="4">
        <f>Dataset!B24</f>
        <v>44955</v>
      </c>
      <c r="C24" s="6" t="str">
        <f>TRIM(Dataset!C24)</f>
        <v>C34416</v>
      </c>
      <c r="D24" s="6" t="str">
        <f>TRIM(Dataset!D24)</f>
        <v>Monitor</v>
      </c>
      <c r="E24" s="13">
        <f>VALUE(TRIM(Dataset!E24))</f>
        <v>2</v>
      </c>
      <c r="F24" s="10">
        <f>VALUE(TRIM(Dataset!F24))</f>
        <v>49.62</v>
      </c>
      <c r="G24" s="6" t="str">
        <f>TRIM(Dataset!G24)</f>
        <v>633 Main St</v>
      </c>
      <c r="H24" s="6" t="str">
        <f>TRIM(Dataset!H24)</f>
        <v>Online</v>
      </c>
      <c r="I24" s="6" t="str">
        <f>TRIM(Dataset!I24)</f>
        <v>Pending</v>
      </c>
      <c r="J24" s="6" t="str">
        <f>TRIM(Dataset!J24)</f>
        <v>TRK75937350</v>
      </c>
      <c r="K24" s="8" t="str">
        <f>TRIM(Dataset!K24)</f>
        <v>2</v>
      </c>
      <c r="L24" s="6" t="str">
        <f>Dataset!L24</f>
        <v>SAVE10</v>
      </c>
      <c r="M24" s="6" t="str">
        <f>TRIM(Dataset!M24)</f>
        <v>Google</v>
      </c>
      <c r="N24" s="10">
        <f>VALUE(TRIM(Dataset!N24))</f>
        <v>99.24</v>
      </c>
    </row>
    <row r="25" spans="1:14" x14ac:dyDescent="0.35">
      <c r="A25" s="6" t="str">
        <f>TRIM(Dataset!A25)</f>
        <v>ORD200023</v>
      </c>
      <c r="B25" s="4">
        <f>Dataset!B25</f>
        <v>45756</v>
      </c>
      <c r="C25" s="6" t="str">
        <f>TRIM(Dataset!C25)</f>
        <v>C42372</v>
      </c>
      <c r="D25" s="6" t="str">
        <f>TRIM(Dataset!D25)</f>
        <v>Phone</v>
      </c>
      <c r="E25" s="13">
        <f>VALUE(TRIM(Dataset!E25))</f>
        <v>4</v>
      </c>
      <c r="F25" s="10">
        <f>VALUE(TRIM(Dataset!F25))</f>
        <v>273.25</v>
      </c>
      <c r="G25" s="6" t="str">
        <f>TRIM(Dataset!G25)</f>
        <v>755 Main St</v>
      </c>
      <c r="H25" s="6" t="str">
        <f>TRIM(Dataset!H25)</f>
        <v>Debit Card</v>
      </c>
      <c r="I25" s="6" t="str">
        <f>TRIM(Dataset!I25)</f>
        <v>Cancelled</v>
      </c>
      <c r="J25" s="6" t="str">
        <f>TRIM(Dataset!J25)</f>
        <v>TRK36168083</v>
      </c>
      <c r="K25" s="8" t="str">
        <f>TRIM(Dataset!K25)</f>
        <v>5</v>
      </c>
      <c r="L25" s="6" t="str">
        <f>Dataset!L25</f>
        <v>FREESHIP</v>
      </c>
      <c r="M25" s="6" t="str">
        <f>TRIM(Dataset!M25)</f>
        <v>Referral</v>
      </c>
      <c r="N25" s="10">
        <f>VALUE(TRIM(Dataset!N25))</f>
        <v>1093</v>
      </c>
    </row>
    <row r="26" spans="1:14" x14ac:dyDescent="0.35">
      <c r="A26" s="6" t="str">
        <f>TRIM(Dataset!A26)</f>
        <v>ORD200024</v>
      </c>
      <c r="B26" s="4">
        <f>Dataset!B26</f>
        <v>45595</v>
      </c>
      <c r="C26" s="6" t="str">
        <f>TRIM(Dataset!C26)</f>
        <v>C17470</v>
      </c>
      <c r="D26" s="6" t="str">
        <f>TRIM(Dataset!D26)</f>
        <v>Laptop</v>
      </c>
      <c r="E26" s="13">
        <f>VALUE(TRIM(Dataset!E26))</f>
        <v>2</v>
      </c>
      <c r="F26" s="10">
        <f>VALUE(TRIM(Dataset!F26))</f>
        <v>230.95</v>
      </c>
      <c r="G26" s="6" t="str">
        <f>TRIM(Dataset!G26)</f>
        <v>956 Main St</v>
      </c>
      <c r="H26" s="6" t="str">
        <f>TRIM(Dataset!H26)</f>
        <v>Online</v>
      </c>
      <c r="I26" s="6" t="str">
        <f>TRIM(Dataset!I26)</f>
        <v>Delivered</v>
      </c>
      <c r="J26" s="6" t="str">
        <f>TRIM(Dataset!J26)</f>
        <v>TRK28775057</v>
      </c>
      <c r="K26" s="8" t="str">
        <f>TRIM(Dataset!K26)</f>
        <v>3</v>
      </c>
      <c r="L26" s="6" t="str">
        <f>Dataset!L26</f>
        <v>WINTER15</v>
      </c>
      <c r="M26" s="6" t="str">
        <f>TRIM(Dataset!M26)</f>
        <v>Referral</v>
      </c>
      <c r="N26" s="10">
        <f>VALUE(TRIM(Dataset!N26))</f>
        <v>461.9</v>
      </c>
    </row>
    <row r="27" spans="1:14" x14ac:dyDescent="0.35">
      <c r="A27" s="6" t="str">
        <f>TRIM(Dataset!A27)</f>
        <v>ORD200025</v>
      </c>
      <c r="B27" s="4">
        <f>Dataset!B27</f>
        <v>45497</v>
      </c>
      <c r="C27" s="6" t="str">
        <f>TRIM(Dataset!C27)</f>
        <v>C42577</v>
      </c>
      <c r="D27" s="6" t="str">
        <f>TRIM(Dataset!D27)</f>
        <v>Monitor</v>
      </c>
      <c r="E27" s="13">
        <f>VALUE(TRIM(Dataset!E27))</f>
        <v>1</v>
      </c>
      <c r="F27" s="10">
        <f>VALUE(TRIM(Dataset!F27))</f>
        <v>399.98</v>
      </c>
      <c r="G27" s="6" t="str">
        <f>TRIM(Dataset!G27)</f>
        <v>709 Main St</v>
      </c>
      <c r="H27" s="6" t="str">
        <f>TRIM(Dataset!H27)</f>
        <v>Debit Card</v>
      </c>
      <c r="I27" s="6" t="str">
        <f>TRIM(Dataset!I27)</f>
        <v>Delivered</v>
      </c>
      <c r="J27" s="6" t="str">
        <f>TRIM(Dataset!J27)</f>
        <v>TRK69423327</v>
      </c>
      <c r="K27" s="8" t="str">
        <f>TRIM(Dataset!K27)</f>
        <v>3</v>
      </c>
      <c r="L27" s="6" t="str">
        <f>Dataset!L27</f>
        <v>WINTER15</v>
      </c>
      <c r="M27" s="6" t="str">
        <f>TRIM(Dataset!M27)</f>
        <v>Email</v>
      </c>
      <c r="N27" s="10">
        <f>VALUE(TRIM(Dataset!N27))</f>
        <v>399.98</v>
      </c>
    </row>
    <row r="28" spans="1:14" x14ac:dyDescent="0.35">
      <c r="A28" s="6" t="str">
        <f>TRIM(Dataset!A28)</f>
        <v>ORD200026</v>
      </c>
      <c r="B28" s="4">
        <f>Dataset!B28</f>
        <v>45357</v>
      </c>
      <c r="C28" s="6" t="str">
        <f>TRIM(Dataset!C28)</f>
        <v>C21944</v>
      </c>
      <c r="D28" s="6" t="str">
        <f>TRIM(Dataset!D28)</f>
        <v>Laptop</v>
      </c>
      <c r="E28" s="13">
        <f>VALUE(TRIM(Dataset!E28))</f>
        <v>5</v>
      </c>
      <c r="F28" s="10">
        <f>VALUE(TRIM(Dataset!F28))</f>
        <v>59.55</v>
      </c>
      <c r="G28" s="6" t="str">
        <f>TRIM(Dataset!G28)</f>
        <v>296 Main St</v>
      </c>
      <c r="H28" s="6" t="str">
        <f>TRIM(Dataset!H28)</f>
        <v>Online</v>
      </c>
      <c r="I28" s="6" t="str">
        <f>TRIM(Dataset!I28)</f>
        <v>Delivered</v>
      </c>
      <c r="J28" s="6" t="str">
        <f>TRIM(Dataset!J28)</f>
        <v>TRK80276812</v>
      </c>
      <c r="K28" s="8" t="str">
        <f>TRIM(Dataset!K28)</f>
        <v>6</v>
      </c>
      <c r="L28" s="6" t="s">
        <v>4284</v>
      </c>
      <c r="M28" s="6" t="str">
        <f>TRIM(Dataset!M28)</f>
        <v>Referral</v>
      </c>
      <c r="N28" s="10">
        <f>VALUE(TRIM(Dataset!N28))</f>
        <v>297.75</v>
      </c>
    </row>
    <row r="29" spans="1:14" x14ac:dyDescent="0.35">
      <c r="A29" s="6" t="str">
        <f>TRIM(Dataset!A29)</f>
        <v>ORD200027</v>
      </c>
      <c r="B29" s="4">
        <f>Dataset!B29</f>
        <v>45344</v>
      </c>
      <c r="C29" s="6" t="str">
        <f>TRIM(Dataset!C29)</f>
        <v>C97593</v>
      </c>
      <c r="D29" s="6" t="str">
        <f>TRIM(Dataset!D29)</f>
        <v>Printer</v>
      </c>
      <c r="E29" s="13">
        <f>VALUE(TRIM(Dataset!E29))</f>
        <v>1</v>
      </c>
      <c r="F29" s="10">
        <f>VALUE(TRIM(Dataset!F29))</f>
        <v>472.74</v>
      </c>
      <c r="G29" s="6" t="str">
        <f>TRIM(Dataset!G29)</f>
        <v>881 Main St</v>
      </c>
      <c r="H29" s="6" t="str">
        <f>TRIM(Dataset!H29)</f>
        <v>Online</v>
      </c>
      <c r="I29" s="6" t="str">
        <f>TRIM(Dataset!I29)</f>
        <v>Shipped</v>
      </c>
      <c r="J29" s="6" t="str">
        <f>TRIM(Dataset!J29)</f>
        <v>TRK89117573</v>
      </c>
      <c r="K29" s="8" t="str">
        <f>TRIM(Dataset!K29)</f>
        <v>6</v>
      </c>
      <c r="L29" s="6" t="str">
        <f>Dataset!L29</f>
        <v>WINTER15</v>
      </c>
      <c r="M29" s="6" t="str">
        <f>TRIM(Dataset!M29)</f>
        <v>Google</v>
      </c>
      <c r="N29" s="10">
        <f>VALUE(TRIM(Dataset!N29))</f>
        <v>472.74</v>
      </c>
    </row>
    <row r="30" spans="1:14" x14ac:dyDescent="0.35">
      <c r="A30" s="6" t="str">
        <f>TRIM(Dataset!A30)</f>
        <v>ORD200028</v>
      </c>
      <c r="B30" s="4">
        <f>Dataset!B30</f>
        <v>45251</v>
      </c>
      <c r="C30" s="6" t="str">
        <f>TRIM(Dataset!C30)</f>
        <v>C59823</v>
      </c>
      <c r="D30" s="6" t="str">
        <f>TRIM(Dataset!D30)</f>
        <v>Phone</v>
      </c>
      <c r="E30" s="13">
        <f>VALUE(TRIM(Dataset!E30))</f>
        <v>4</v>
      </c>
      <c r="F30" s="10">
        <f>VALUE(TRIM(Dataset!F30))</f>
        <v>160.07</v>
      </c>
      <c r="G30" s="6" t="str">
        <f>TRIM(Dataset!G30)</f>
        <v>568 Main St</v>
      </c>
      <c r="H30" s="6" t="str">
        <f>TRIM(Dataset!H30)</f>
        <v>Online</v>
      </c>
      <c r="I30" s="6" t="str">
        <f>TRIM(Dataset!I30)</f>
        <v>Pending</v>
      </c>
      <c r="J30" s="6" t="str">
        <f>TRIM(Dataset!J30)</f>
        <v>TRK65895539</v>
      </c>
      <c r="K30" s="8" t="str">
        <f>TRIM(Dataset!K30)</f>
        <v>5</v>
      </c>
      <c r="L30" s="6" t="s">
        <v>4284</v>
      </c>
      <c r="M30" s="6" t="str">
        <f>TRIM(Dataset!M30)</f>
        <v>Email</v>
      </c>
      <c r="N30" s="10">
        <f>VALUE(TRIM(Dataset!N30))</f>
        <v>640.28</v>
      </c>
    </row>
    <row r="31" spans="1:14" x14ac:dyDescent="0.35">
      <c r="A31" s="6" t="str">
        <f>TRIM(Dataset!A31)</f>
        <v>ORD200029</v>
      </c>
      <c r="B31" s="4">
        <f>Dataset!B31</f>
        <v>45555</v>
      </c>
      <c r="C31" s="6" t="str">
        <f>TRIM(Dataset!C31)</f>
        <v>C33260</v>
      </c>
      <c r="D31" s="6" t="str">
        <f>TRIM(Dataset!D31)</f>
        <v>Desk</v>
      </c>
      <c r="E31" s="13">
        <f>VALUE(TRIM(Dataset!E31))</f>
        <v>3</v>
      </c>
      <c r="F31" s="10">
        <f>VALUE(TRIM(Dataset!F31))</f>
        <v>423.53</v>
      </c>
      <c r="G31" s="6" t="str">
        <f>TRIM(Dataset!G31)</f>
        <v>930 Main St</v>
      </c>
      <c r="H31" s="6" t="str">
        <f>TRIM(Dataset!H31)</f>
        <v>Credit Card</v>
      </c>
      <c r="I31" s="6" t="str">
        <f>TRIM(Dataset!I31)</f>
        <v>Delivered</v>
      </c>
      <c r="J31" s="6" t="str">
        <f>TRIM(Dataset!J31)</f>
        <v>TRK59744090</v>
      </c>
      <c r="K31" s="8" t="str">
        <f>TRIM(Dataset!K31)</f>
        <v>6</v>
      </c>
      <c r="L31" s="6" t="str">
        <f>Dataset!L31</f>
        <v>SAVE10</v>
      </c>
      <c r="M31" s="6" t="str">
        <f>TRIM(Dataset!M31)</f>
        <v>Referral</v>
      </c>
      <c r="N31" s="10">
        <f>VALUE(TRIM(Dataset!N31))</f>
        <v>1270.5899999999999</v>
      </c>
    </row>
    <row r="32" spans="1:14" x14ac:dyDescent="0.35">
      <c r="A32" s="6" t="str">
        <f>TRIM(Dataset!A32)</f>
        <v>ORD200030</v>
      </c>
      <c r="B32" s="4">
        <f>Dataset!B32</f>
        <v>45738</v>
      </c>
      <c r="C32" s="6" t="str">
        <f>TRIM(Dataset!C32)</f>
        <v>C44267</v>
      </c>
      <c r="D32" s="6" t="str">
        <f>TRIM(Dataset!D32)</f>
        <v>Monitor</v>
      </c>
      <c r="E32" s="13">
        <f>VALUE(TRIM(Dataset!E32))</f>
        <v>2</v>
      </c>
      <c r="F32" s="10">
        <f>VALUE(TRIM(Dataset!F32))</f>
        <v>426.7</v>
      </c>
      <c r="G32" s="6" t="str">
        <f>TRIM(Dataset!G32)</f>
        <v>895 Main St</v>
      </c>
      <c r="H32" s="6" t="str">
        <f>TRIM(Dataset!H32)</f>
        <v>Online</v>
      </c>
      <c r="I32" s="6" t="str">
        <f>TRIM(Dataset!I32)</f>
        <v>Pending</v>
      </c>
      <c r="J32" s="6" t="str">
        <f>TRIM(Dataset!J32)</f>
        <v>TRK54751444</v>
      </c>
      <c r="K32" s="8" t="str">
        <f>TRIM(Dataset!K32)</f>
        <v>5</v>
      </c>
      <c r="L32" s="6" t="str">
        <f>Dataset!L32</f>
        <v>SAVE10</v>
      </c>
      <c r="M32" s="6" t="str">
        <f>TRIM(Dataset!M32)</f>
        <v>Referral</v>
      </c>
      <c r="N32" s="10">
        <f>VALUE(TRIM(Dataset!N32))</f>
        <v>853.4</v>
      </c>
    </row>
    <row r="33" spans="1:14" x14ac:dyDescent="0.35">
      <c r="A33" s="6" t="str">
        <f>TRIM(Dataset!A33)</f>
        <v>ORD200031</v>
      </c>
      <c r="B33" s="4">
        <f>Dataset!B33</f>
        <v>45107</v>
      </c>
      <c r="C33" s="6" t="str">
        <f>TRIM(Dataset!C33)</f>
        <v>C26445</v>
      </c>
      <c r="D33" s="6" t="str">
        <f>TRIM(Dataset!D33)</f>
        <v>Chair</v>
      </c>
      <c r="E33" s="13">
        <f>VALUE(TRIM(Dataset!E33))</f>
        <v>3</v>
      </c>
      <c r="F33" s="10">
        <f>VALUE(TRIM(Dataset!F33))</f>
        <v>500.08</v>
      </c>
      <c r="G33" s="6" t="str">
        <f>TRIM(Dataset!G33)</f>
        <v>996 Main St</v>
      </c>
      <c r="H33" s="6" t="str">
        <f>TRIM(Dataset!H33)</f>
        <v>Debit Card</v>
      </c>
      <c r="I33" s="6" t="str">
        <f>TRIM(Dataset!I33)</f>
        <v>Returned</v>
      </c>
      <c r="J33" s="6" t="str">
        <f>TRIM(Dataset!J33)</f>
        <v>TRK31229981</v>
      </c>
      <c r="K33" s="8" t="str">
        <f>TRIM(Dataset!K33)</f>
        <v>6</v>
      </c>
      <c r="L33" s="6" t="s">
        <v>4284</v>
      </c>
      <c r="M33" s="6" t="str">
        <f>TRIM(Dataset!M33)</f>
        <v>Facebook</v>
      </c>
      <c r="N33" s="10">
        <f>VALUE(TRIM(Dataset!N33))</f>
        <v>1500.24</v>
      </c>
    </row>
    <row r="34" spans="1:14" x14ac:dyDescent="0.35">
      <c r="A34" s="6" t="str">
        <f>TRIM(Dataset!A34)</f>
        <v>ORD200032</v>
      </c>
      <c r="B34" s="4">
        <f>Dataset!B34</f>
        <v>45047</v>
      </c>
      <c r="C34" s="6" t="str">
        <f>TRIM(Dataset!C34)</f>
        <v>C12388</v>
      </c>
      <c r="D34" s="6" t="str">
        <f>TRIM(Dataset!D34)</f>
        <v>Tablet</v>
      </c>
      <c r="E34" s="13">
        <f>VALUE(TRIM(Dataset!E34))</f>
        <v>5</v>
      </c>
      <c r="F34" s="10">
        <f>VALUE(TRIM(Dataset!F34))</f>
        <v>536.72</v>
      </c>
      <c r="G34" s="6" t="str">
        <f>TRIM(Dataset!G34)</f>
        <v>830 Main St</v>
      </c>
      <c r="H34" s="6" t="str">
        <f>TRIM(Dataset!H34)</f>
        <v>Cash</v>
      </c>
      <c r="I34" s="6" t="str">
        <f>TRIM(Dataset!I34)</f>
        <v>Delivered</v>
      </c>
      <c r="J34" s="6" t="str">
        <f>TRIM(Dataset!J34)</f>
        <v>TRK99261395</v>
      </c>
      <c r="K34" s="8" t="str">
        <f>TRIM(Dataset!K34)</f>
        <v>10</v>
      </c>
      <c r="L34" s="6" t="s">
        <v>4284</v>
      </c>
      <c r="M34" s="6" t="str">
        <f>TRIM(Dataset!M34)</f>
        <v>Email</v>
      </c>
      <c r="N34" s="10">
        <f>VALUE(TRIM(Dataset!N34))</f>
        <v>2683.6</v>
      </c>
    </row>
    <row r="35" spans="1:14" x14ac:dyDescent="0.35">
      <c r="A35" s="6" t="str">
        <f>TRIM(Dataset!A35)</f>
        <v>ORD200033</v>
      </c>
      <c r="B35" s="4">
        <f>Dataset!B35</f>
        <v>45082</v>
      </c>
      <c r="C35" s="6" t="str">
        <f>TRIM(Dataset!C35)</f>
        <v>C52184</v>
      </c>
      <c r="D35" s="6" t="str">
        <f>TRIM(Dataset!D35)</f>
        <v>Chair</v>
      </c>
      <c r="E35" s="13">
        <f>VALUE(TRIM(Dataset!E35))</f>
        <v>1</v>
      </c>
      <c r="F35" s="10">
        <f>VALUE(TRIM(Dataset!F35))</f>
        <v>162.77000000000001</v>
      </c>
      <c r="G35" s="6" t="str">
        <f>TRIM(Dataset!G35)</f>
        <v>912 Main St</v>
      </c>
      <c r="H35" s="6" t="str">
        <f>TRIM(Dataset!H35)</f>
        <v>Online</v>
      </c>
      <c r="I35" s="6" t="str">
        <f>TRIM(Dataset!I35)</f>
        <v>Cancelled</v>
      </c>
      <c r="J35" s="6" t="str">
        <f>TRIM(Dataset!J35)</f>
        <v>TRK73312471</v>
      </c>
      <c r="K35" s="8" t="str">
        <f>TRIM(Dataset!K35)</f>
        <v>4</v>
      </c>
      <c r="L35" s="6" t="str">
        <f>Dataset!L35</f>
        <v>WINTER15</v>
      </c>
      <c r="M35" s="6" t="str">
        <f>TRIM(Dataset!M35)</f>
        <v>Facebook</v>
      </c>
      <c r="N35" s="10">
        <f>VALUE(TRIM(Dataset!N35))</f>
        <v>162.77000000000001</v>
      </c>
    </row>
    <row r="36" spans="1:14" x14ac:dyDescent="0.35">
      <c r="A36" s="6" t="str">
        <f>TRIM(Dataset!A36)</f>
        <v>ORD200034</v>
      </c>
      <c r="B36" s="4">
        <f>Dataset!B36</f>
        <v>44933</v>
      </c>
      <c r="C36" s="6" t="str">
        <f>TRIM(Dataset!C36)</f>
        <v>C67195</v>
      </c>
      <c r="D36" s="6" t="str">
        <f>TRIM(Dataset!D36)</f>
        <v>Chair</v>
      </c>
      <c r="E36" s="13">
        <f>VALUE(TRIM(Dataset!E36))</f>
        <v>4</v>
      </c>
      <c r="F36" s="10">
        <f>VALUE(TRIM(Dataset!F36))</f>
        <v>576.52</v>
      </c>
      <c r="G36" s="6" t="str">
        <f>TRIM(Dataset!G36)</f>
        <v>926 Main St</v>
      </c>
      <c r="H36" s="6" t="str">
        <f>TRIM(Dataset!H36)</f>
        <v>Credit Card</v>
      </c>
      <c r="I36" s="6" t="str">
        <f>TRIM(Dataset!I36)</f>
        <v>Pending</v>
      </c>
      <c r="J36" s="6" t="str">
        <f>TRIM(Dataset!J36)</f>
        <v>TRK55467915</v>
      </c>
      <c r="K36" s="8" t="str">
        <f>TRIM(Dataset!K36)</f>
        <v>5</v>
      </c>
      <c r="L36" s="6" t="str">
        <f>Dataset!L36</f>
        <v>WINTER15</v>
      </c>
      <c r="M36" s="6" t="str">
        <f>TRIM(Dataset!M36)</f>
        <v>Facebook</v>
      </c>
      <c r="N36" s="10">
        <f>VALUE(TRIM(Dataset!N36))</f>
        <v>2306.08</v>
      </c>
    </row>
    <row r="37" spans="1:14" x14ac:dyDescent="0.35">
      <c r="A37" s="6" t="str">
        <f>TRIM(Dataset!A37)</f>
        <v>ORD200035</v>
      </c>
      <c r="B37" s="4">
        <f>Dataset!B37</f>
        <v>45633</v>
      </c>
      <c r="C37" s="6" t="str">
        <f>TRIM(Dataset!C37)</f>
        <v>C50304</v>
      </c>
      <c r="D37" s="6" t="str">
        <f>TRIM(Dataset!D37)</f>
        <v>Monitor</v>
      </c>
      <c r="E37" s="13">
        <f>VALUE(TRIM(Dataset!E37))</f>
        <v>2</v>
      </c>
      <c r="F37" s="10">
        <f>VALUE(TRIM(Dataset!F37))</f>
        <v>465.15</v>
      </c>
      <c r="G37" s="6" t="str">
        <f>TRIM(Dataset!G37)</f>
        <v>128 Main St</v>
      </c>
      <c r="H37" s="6" t="str">
        <f>TRIM(Dataset!H37)</f>
        <v>Online</v>
      </c>
      <c r="I37" s="6" t="str">
        <f>TRIM(Dataset!I37)</f>
        <v>Shipped</v>
      </c>
      <c r="J37" s="6" t="str">
        <f>TRIM(Dataset!J37)</f>
        <v>TRK46850888</v>
      </c>
      <c r="K37" s="8" t="str">
        <f>TRIM(Dataset!K37)</f>
        <v>2</v>
      </c>
      <c r="L37" s="6" t="str">
        <f>Dataset!L37</f>
        <v>SAVE10</v>
      </c>
      <c r="M37" s="6" t="str">
        <f>TRIM(Dataset!M37)</f>
        <v>Facebook</v>
      </c>
      <c r="N37" s="10">
        <f>VALUE(TRIM(Dataset!N37))</f>
        <v>930.3</v>
      </c>
    </row>
    <row r="38" spans="1:14" x14ac:dyDescent="0.35">
      <c r="A38" s="6" t="str">
        <f>TRIM(Dataset!A38)</f>
        <v>ORD200036</v>
      </c>
      <c r="B38" s="4">
        <f>Dataset!B38</f>
        <v>45785</v>
      </c>
      <c r="C38" s="6" t="str">
        <f>TRIM(Dataset!C38)</f>
        <v>C59337</v>
      </c>
      <c r="D38" s="6" t="str">
        <f>TRIM(Dataset!D38)</f>
        <v>Laptop</v>
      </c>
      <c r="E38" s="13">
        <f>VALUE(TRIM(Dataset!E38))</f>
        <v>2</v>
      </c>
      <c r="F38" s="10">
        <f>VALUE(TRIM(Dataset!F38))</f>
        <v>534.42999999999995</v>
      </c>
      <c r="G38" s="6" t="str">
        <f>TRIM(Dataset!G38)</f>
        <v>465 Main St</v>
      </c>
      <c r="H38" s="6" t="str">
        <f>TRIM(Dataset!H38)</f>
        <v>Debit Card</v>
      </c>
      <c r="I38" s="6" t="str">
        <f>TRIM(Dataset!I38)</f>
        <v>Pending</v>
      </c>
      <c r="J38" s="6" t="str">
        <f>TRIM(Dataset!J38)</f>
        <v>TRK50961250</v>
      </c>
      <c r="K38" s="8" t="str">
        <f>TRIM(Dataset!K38)</f>
        <v>5</v>
      </c>
      <c r="L38" s="6" t="s">
        <v>4284</v>
      </c>
      <c r="M38" s="6" t="str">
        <f>TRIM(Dataset!M38)</f>
        <v>Facebook</v>
      </c>
      <c r="N38" s="10">
        <f>VALUE(TRIM(Dataset!N38))</f>
        <v>1068.8599999999999</v>
      </c>
    </row>
    <row r="39" spans="1:14" x14ac:dyDescent="0.35">
      <c r="A39" s="6" t="str">
        <f>TRIM(Dataset!A39)</f>
        <v>ORD200037</v>
      </c>
      <c r="B39" s="4">
        <f>Dataset!B39</f>
        <v>45579</v>
      </c>
      <c r="C39" s="6" t="str">
        <f>TRIM(Dataset!C39)</f>
        <v>C10054</v>
      </c>
      <c r="D39" s="6" t="str">
        <f>TRIM(Dataset!D39)</f>
        <v>Laptop</v>
      </c>
      <c r="E39" s="13">
        <f>VALUE(TRIM(Dataset!E39))</f>
        <v>2</v>
      </c>
      <c r="F39" s="10">
        <f>VALUE(TRIM(Dataset!F39))</f>
        <v>76.739999999999995</v>
      </c>
      <c r="G39" s="6" t="str">
        <f>TRIM(Dataset!G39)</f>
        <v>409 Main St</v>
      </c>
      <c r="H39" s="6" t="str">
        <f>TRIM(Dataset!H39)</f>
        <v>Cash</v>
      </c>
      <c r="I39" s="6" t="str">
        <f>TRIM(Dataset!I39)</f>
        <v>Returned</v>
      </c>
      <c r="J39" s="6" t="str">
        <f>TRIM(Dataset!J39)</f>
        <v>TRK94005261</v>
      </c>
      <c r="K39" s="8" t="str">
        <f>TRIM(Dataset!K39)</f>
        <v>7</v>
      </c>
      <c r="L39" s="6" t="str">
        <f>Dataset!L39</f>
        <v>SAVE10</v>
      </c>
      <c r="M39" s="6" t="str">
        <f>TRIM(Dataset!M39)</f>
        <v>Instagram</v>
      </c>
      <c r="N39" s="10">
        <f>VALUE(TRIM(Dataset!N39))</f>
        <v>153.47999999999999</v>
      </c>
    </row>
    <row r="40" spans="1:14" x14ac:dyDescent="0.35">
      <c r="A40" s="6" t="str">
        <f>TRIM(Dataset!A40)</f>
        <v>ORD200038</v>
      </c>
      <c r="B40" s="4">
        <f>Dataset!B40</f>
        <v>45645</v>
      </c>
      <c r="C40" s="6" t="str">
        <f>TRIM(Dataset!C40)</f>
        <v>C15924</v>
      </c>
      <c r="D40" s="6" t="str">
        <f>TRIM(Dataset!D40)</f>
        <v>Laptop</v>
      </c>
      <c r="E40" s="13">
        <f>VALUE(TRIM(Dataset!E40))</f>
        <v>1</v>
      </c>
      <c r="F40" s="10">
        <f>VALUE(TRIM(Dataset!F40))</f>
        <v>245.89</v>
      </c>
      <c r="G40" s="6" t="str">
        <f>TRIM(Dataset!G40)</f>
        <v>549 Main St</v>
      </c>
      <c r="H40" s="6" t="str">
        <f>TRIM(Dataset!H40)</f>
        <v>Debit Card</v>
      </c>
      <c r="I40" s="6" t="str">
        <f>TRIM(Dataset!I40)</f>
        <v>Delivered</v>
      </c>
      <c r="J40" s="6" t="str">
        <f>TRIM(Dataset!J40)</f>
        <v>TRK14835975</v>
      </c>
      <c r="K40" s="8" t="str">
        <f>TRIM(Dataset!K40)</f>
        <v>3</v>
      </c>
      <c r="L40" s="6" t="str">
        <f>Dataset!L40</f>
        <v>SAVE10</v>
      </c>
      <c r="M40" s="6" t="str">
        <f>TRIM(Dataset!M40)</f>
        <v>Google</v>
      </c>
      <c r="N40" s="10">
        <f>VALUE(TRIM(Dataset!N40))</f>
        <v>245.89</v>
      </c>
    </row>
    <row r="41" spans="1:14" x14ac:dyDescent="0.35">
      <c r="A41" s="6" t="str">
        <f>TRIM(Dataset!A41)</f>
        <v>ORD200039</v>
      </c>
      <c r="B41" s="4">
        <f>Dataset!B41</f>
        <v>45715</v>
      </c>
      <c r="C41" s="6" t="str">
        <f>TRIM(Dataset!C41)</f>
        <v>C96664</v>
      </c>
      <c r="D41" s="6" t="str">
        <f>TRIM(Dataset!D41)</f>
        <v>Printer</v>
      </c>
      <c r="E41" s="13">
        <f>VALUE(TRIM(Dataset!E41))</f>
        <v>3</v>
      </c>
      <c r="F41" s="10">
        <f>VALUE(TRIM(Dataset!F41))</f>
        <v>256.45999999999998</v>
      </c>
      <c r="G41" s="6" t="str">
        <f>TRIM(Dataset!G41)</f>
        <v>666 Main St</v>
      </c>
      <c r="H41" s="6" t="str">
        <f>TRIM(Dataset!H41)</f>
        <v>Credit Card</v>
      </c>
      <c r="I41" s="6" t="str">
        <f>TRIM(Dataset!I41)</f>
        <v>Delivered</v>
      </c>
      <c r="J41" s="6" t="str">
        <f>TRIM(Dataset!J41)</f>
        <v>TRK85508960</v>
      </c>
      <c r="K41" s="8" t="str">
        <f>TRIM(Dataset!K41)</f>
        <v>4</v>
      </c>
      <c r="L41" s="6" t="str">
        <f>Dataset!L41</f>
        <v>SAVE10</v>
      </c>
      <c r="M41" s="6" t="str">
        <f>TRIM(Dataset!M41)</f>
        <v>Referral</v>
      </c>
      <c r="N41" s="10">
        <f>VALUE(TRIM(Dataset!N41))</f>
        <v>769.38</v>
      </c>
    </row>
    <row r="42" spans="1:14" x14ac:dyDescent="0.35">
      <c r="A42" s="6" t="str">
        <f>TRIM(Dataset!A42)</f>
        <v>ORD200040</v>
      </c>
      <c r="B42" s="4">
        <f>Dataset!B42</f>
        <v>45158</v>
      </c>
      <c r="C42" s="6" t="str">
        <f>TRIM(Dataset!C42)</f>
        <v>C84766</v>
      </c>
      <c r="D42" s="6" t="str">
        <f>TRIM(Dataset!D42)</f>
        <v>Desk</v>
      </c>
      <c r="E42" s="13">
        <f>VALUE(TRIM(Dataset!E42))</f>
        <v>2</v>
      </c>
      <c r="F42" s="10">
        <f>VALUE(TRIM(Dataset!F42))</f>
        <v>344.02</v>
      </c>
      <c r="G42" s="6" t="str">
        <f>TRIM(Dataset!G42)</f>
        <v>267 Main St</v>
      </c>
      <c r="H42" s="6" t="str">
        <f>TRIM(Dataset!H42)</f>
        <v>Online</v>
      </c>
      <c r="I42" s="6" t="str">
        <f>TRIM(Dataset!I42)</f>
        <v>Delivered</v>
      </c>
      <c r="J42" s="6" t="str">
        <f>TRIM(Dataset!J42)</f>
        <v>TRK78967923</v>
      </c>
      <c r="K42" s="8" t="str">
        <f>TRIM(Dataset!K42)</f>
        <v>4</v>
      </c>
      <c r="L42" s="6" t="str">
        <f>Dataset!L42</f>
        <v>FREESHIP</v>
      </c>
      <c r="M42" s="6" t="str">
        <f>TRIM(Dataset!M42)</f>
        <v>Instagram</v>
      </c>
      <c r="N42" s="10">
        <f>VALUE(TRIM(Dataset!N42))</f>
        <v>688.04</v>
      </c>
    </row>
    <row r="43" spans="1:14" x14ac:dyDescent="0.35">
      <c r="A43" s="6" t="str">
        <f>TRIM(Dataset!A43)</f>
        <v>ORD200041</v>
      </c>
      <c r="B43" s="4">
        <f>Dataset!B43</f>
        <v>45265</v>
      </c>
      <c r="C43" s="6" t="str">
        <f>TRIM(Dataset!C43)</f>
        <v>C20212</v>
      </c>
      <c r="D43" s="6" t="str">
        <f>TRIM(Dataset!D43)</f>
        <v>Monitor</v>
      </c>
      <c r="E43" s="13">
        <f>VALUE(TRIM(Dataset!E43))</f>
        <v>3</v>
      </c>
      <c r="F43" s="10">
        <f>VALUE(TRIM(Dataset!F43))</f>
        <v>611.45000000000005</v>
      </c>
      <c r="G43" s="6" t="str">
        <f>TRIM(Dataset!G43)</f>
        <v>657 Main St</v>
      </c>
      <c r="H43" s="6" t="str">
        <f>TRIM(Dataset!H43)</f>
        <v>Gift Card</v>
      </c>
      <c r="I43" s="6" t="str">
        <f>TRIM(Dataset!I43)</f>
        <v>Pending</v>
      </c>
      <c r="J43" s="6" t="str">
        <f>TRIM(Dataset!J43)</f>
        <v>TRK69733327</v>
      </c>
      <c r="K43" s="8" t="str">
        <f>TRIM(Dataset!K43)</f>
        <v>4</v>
      </c>
      <c r="L43" s="6" t="str">
        <f>Dataset!L43</f>
        <v>FREESHIP</v>
      </c>
      <c r="M43" s="6" t="str">
        <f>TRIM(Dataset!M43)</f>
        <v>Instagram</v>
      </c>
      <c r="N43" s="10">
        <f>VALUE(TRIM(Dataset!N43))</f>
        <v>1834.35</v>
      </c>
    </row>
    <row r="44" spans="1:14" x14ac:dyDescent="0.35">
      <c r="A44" s="6" t="str">
        <f>TRIM(Dataset!A44)</f>
        <v>ORD200042</v>
      </c>
      <c r="B44" s="4">
        <f>Dataset!B44</f>
        <v>45418</v>
      </c>
      <c r="C44" s="6" t="str">
        <f>TRIM(Dataset!C44)</f>
        <v>C28712</v>
      </c>
      <c r="D44" s="6" t="str">
        <f>TRIM(Dataset!D44)</f>
        <v>Printer</v>
      </c>
      <c r="E44" s="13">
        <f>VALUE(TRIM(Dataset!E44))</f>
        <v>2</v>
      </c>
      <c r="F44" s="10">
        <f>VALUE(TRIM(Dataset!F44))</f>
        <v>151.66</v>
      </c>
      <c r="G44" s="6" t="str">
        <f>TRIM(Dataset!G44)</f>
        <v>980 Main St</v>
      </c>
      <c r="H44" s="6" t="str">
        <f>TRIM(Dataset!H44)</f>
        <v>Cash</v>
      </c>
      <c r="I44" s="6" t="str">
        <f>TRIM(Dataset!I44)</f>
        <v>Cancelled</v>
      </c>
      <c r="J44" s="6" t="str">
        <f>TRIM(Dataset!J44)</f>
        <v>TRK40772558</v>
      </c>
      <c r="K44" s="8" t="str">
        <f>TRIM(Dataset!K44)</f>
        <v>6</v>
      </c>
      <c r="L44" s="6" t="s">
        <v>4284</v>
      </c>
      <c r="M44" s="6" t="str">
        <f>TRIM(Dataset!M44)</f>
        <v>Instagram</v>
      </c>
      <c r="N44" s="10">
        <f>VALUE(TRIM(Dataset!N44))</f>
        <v>303.32</v>
      </c>
    </row>
    <row r="45" spans="1:14" x14ac:dyDescent="0.35">
      <c r="A45" s="6" t="str">
        <f>TRIM(Dataset!A45)</f>
        <v>ORD200043</v>
      </c>
      <c r="B45" s="4">
        <f>Dataset!B45</f>
        <v>45274</v>
      </c>
      <c r="C45" s="6" t="str">
        <f>TRIM(Dataset!C45)</f>
        <v>C60572</v>
      </c>
      <c r="D45" s="6" t="str">
        <f>TRIM(Dataset!D45)</f>
        <v>Chair</v>
      </c>
      <c r="E45" s="13">
        <f>VALUE(TRIM(Dataset!E45))</f>
        <v>3</v>
      </c>
      <c r="F45" s="10">
        <f>VALUE(TRIM(Dataset!F45))</f>
        <v>499.21</v>
      </c>
      <c r="G45" s="6" t="str">
        <f>TRIM(Dataset!G45)</f>
        <v>871 Main St</v>
      </c>
      <c r="H45" s="6" t="str">
        <f>TRIM(Dataset!H45)</f>
        <v>Online</v>
      </c>
      <c r="I45" s="6" t="str">
        <f>TRIM(Dataset!I45)</f>
        <v>Cancelled</v>
      </c>
      <c r="J45" s="6" t="str">
        <f>TRIM(Dataset!J45)</f>
        <v>TRK20351666</v>
      </c>
      <c r="K45" s="8" t="str">
        <f>TRIM(Dataset!K45)</f>
        <v>8</v>
      </c>
      <c r="L45" s="6" t="s">
        <v>4284</v>
      </c>
      <c r="M45" s="6" t="str">
        <f>TRIM(Dataset!M45)</f>
        <v>Instagram</v>
      </c>
      <c r="N45" s="10">
        <f>VALUE(TRIM(Dataset!N45))</f>
        <v>1497.63</v>
      </c>
    </row>
    <row r="46" spans="1:14" x14ac:dyDescent="0.35">
      <c r="A46" s="6" t="str">
        <f>TRIM(Dataset!A46)</f>
        <v>ORD200044</v>
      </c>
      <c r="B46" s="4">
        <f>Dataset!B46</f>
        <v>45768</v>
      </c>
      <c r="C46" s="6" t="str">
        <f>TRIM(Dataset!C46)</f>
        <v>C73225</v>
      </c>
      <c r="D46" s="6" t="str">
        <f>TRIM(Dataset!D46)</f>
        <v>Phone</v>
      </c>
      <c r="E46" s="13">
        <f>VALUE(TRIM(Dataset!E46))</f>
        <v>2</v>
      </c>
      <c r="F46" s="10">
        <f>VALUE(TRIM(Dataset!F46))</f>
        <v>550.17999999999995</v>
      </c>
      <c r="G46" s="6" t="str">
        <f>TRIM(Dataset!G46)</f>
        <v>996 Main St</v>
      </c>
      <c r="H46" s="6" t="str">
        <f>TRIM(Dataset!H46)</f>
        <v>Gift Card</v>
      </c>
      <c r="I46" s="6" t="str">
        <f>TRIM(Dataset!I46)</f>
        <v>Returned</v>
      </c>
      <c r="J46" s="6" t="str">
        <f>TRIM(Dataset!J46)</f>
        <v>TRK73848522</v>
      </c>
      <c r="K46" s="8" t="str">
        <f>TRIM(Dataset!K46)</f>
        <v>3</v>
      </c>
      <c r="L46" s="6" t="str">
        <f>Dataset!L46</f>
        <v>FREESHIP</v>
      </c>
      <c r="M46" s="6" t="str">
        <f>TRIM(Dataset!M46)</f>
        <v>Referral</v>
      </c>
      <c r="N46" s="10">
        <f>VALUE(TRIM(Dataset!N46))</f>
        <v>1100.3599999999999</v>
      </c>
    </row>
    <row r="47" spans="1:14" x14ac:dyDescent="0.35">
      <c r="A47" s="6" t="str">
        <f>TRIM(Dataset!A47)</f>
        <v>ORD200045</v>
      </c>
      <c r="B47" s="4">
        <f>Dataset!B47</f>
        <v>45332</v>
      </c>
      <c r="C47" s="6" t="str">
        <f>TRIM(Dataset!C47)</f>
        <v>C17388</v>
      </c>
      <c r="D47" s="6" t="str">
        <f>TRIM(Dataset!D47)</f>
        <v>Chair</v>
      </c>
      <c r="E47" s="13">
        <f>VALUE(TRIM(Dataset!E47))</f>
        <v>1</v>
      </c>
      <c r="F47" s="10">
        <f>VALUE(TRIM(Dataset!F47))</f>
        <v>317.25</v>
      </c>
      <c r="G47" s="6" t="str">
        <f>TRIM(Dataset!G47)</f>
        <v>157 Main St</v>
      </c>
      <c r="H47" s="6" t="str">
        <f>TRIM(Dataset!H47)</f>
        <v>Debit Card</v>
      </c>
      <c r="I47" s="6" t="str">
        <f>TRIM(Dataset!I47)</f>
        <v>Returned</v>
      </c>
      <c r="J47" s="6" t="str">
        <f>TRIM(Dataset!J47)</f>
        <v>TRK47077395</v>
      </c>
      <c r="K47" s="8" t="str">
        <f>TRIM(Dataset!K47)</f>
        <v>1</v>
      </c>
      <c r="L47" s="6" t="str">
        <f>Dataset!L47</f>
        <v>SAVE10</v>
      </c>
      <c r="M47" s="6" t="str">
        <f>TRIM(Dataset!M47)</f>
        <v>Facebook</v>
      </c>
      <c r="N47" s="10">
        <f>VALUE(TRIM(Dataset!N47))</f>
        <v>317.25</v>
      </c>
    </row>
    <row r="48" spans="1:14" x14ac:dyDescent="0.35">
      <c r="A48" s="6" t="str">
        <f>TRIM(Dataset!A48)</f>
        <v>ORD200046</v>
      </c>
      <c r="B48" s="4">
        <f>Dataset!B48</f>
        <v>45469</v>
      </c>
      <c r="C48" s="6" t="str">
        <f>TRIM(Dataset!C48)</f>
        <v>C43212</v>
      </c>
      <c r="D48" s="6" t="str">
        <f>TRIM(Dataset!D48)</f>
        <v>Monitor</v>
      </c>
      <c r="E48" s="13">
        <f>VALUE(TRIM(Dataset!E48))</f>
        <v>4</v>
      </c>
      <c r="F48" s="10">
        <f>VALUE(TRIM(Dataset!F48))</f>
        <v>550.14</v>
      </c>
      <c r="G48" s="6" t="str">
        <f>TRIM(Dataset!G48)</f>
        <v>223 Main St</v>
      </c>
      <c r="H48" s="6" t="str">
        <f>TRIM(Dataset!H48)</f>
        <v>Debit Card</v>
      </c>
      <c r="I48" s="6" t="str">
        <f>TRIM(Dataset!I48)</f>
        <v>Pending</v>
      </c>
      <c r="J48" s="6" t="str">
        <f>TRIM(Dataset!J48)</f>
        <v>TRK25100762</v>
      </c>
      <c r="K48" s="8" t="str">
        <f>TRIM(Dataset!K48)</f>
        <v>4</v>
      </c>
      <c r="L48" s="6" t="str">
        <f>Dataset!L48</f>
        <v>FREESHIP</v>
      </c>
      <c r="M48" s="6" t="str">
        <f>TRIM(Dataset!M48)</f>
        <v>Instagram</v>
      </c>
      <c r="N48" s="10">
        <f>VALUE(TRIM(Dataset!N48))</f>
        <v>2200.56</v>
      </c>
    </row>
    <row r="49" spans="1:14" x14ac:dyDescent="0.35">
      <c r="A49" s="6" t="str">
        <f>TRIM(Dataset!A49)</f>
        <v>ORD200047</v>
      </c>
      <c r="B49" s="4">
        <f>Dataset!B49</f>
        <v>45126</v>
      </c>
      <c r="C49" s="6" t="str">
        <f>TRIM(Dataset!C49)</f>
        <v>C38134</v>
      </c>
      <c r="D49" s="6" t="str">
        <f>TRIM(Dataset!D49)</f>
        <v>Desk</v>
      </c>
      <c r="E49" s="13">
        <f>VALUE(TRIM(Dataset!E49))</f>
        <v>2</v>
      </c>
      <c r="F49" s="10">
        <f>VALUE(TRIM(Dataset!F49))</f>
        <v>209.94</v>
      </c>
      <c r="G49" s="6" t="str">
        <f>TRIM(Dataset!G49)</f>
        <v>323 Main St</v>
      </c>
      <c r="H49" s="6" t="str">
        <f>TRIM(Dataset!H49)</f>
        <v>Credit Card</v>
      </c>
      <c r="I49" s="6" t="str">
        <f>TRIM(Dataset!I49)</f>
        <v>Returned</v>
      </c>
      <c r="J49" s="6" t="str">
        <f>TRIM(Dataset!J49)</f>
        <v>TRK42450754</v>
      </c>
      <c r="K49" s="8" t="str">
        <f>TRIM(Dataset!K49)</f>
        <v>3</v>
      </c>
      <c r="L49" s="6" t="str">
        <f>Dataset!L49</f>
        <v>FREESHIP</v>
      </c>
      <c r="M49" s="6" t="str">
        <f>TRIM(Dataset!M49)</f>
        <v>Email</v>
      </c>
      <c r="N49" s="10">
        <f>VALUE(TRIM(Dataset!N49))</f>
        <v>419.88</v>
      </c>
    </row>
    <row r="50" spans="1:14" x14ac:dyDescent="0.35">
      <c r="A50" s="6" t="str">
        <f>TRIM(Dataset!A50)</f>
        <v>ORD200048</v>
      </c>
      <c r="B50" s="4">
        <f>Dataset!B50</f>
        <v>45164</v>
      </c>
      <c r="C50" s="6" t="str">
        <f>TRIM(Dataset!C50)</f>
        <v>C12408</v>
      </c>
      <c r="D50" s="6" t="str">
        <f>TRIM(Dataset!D50)</f>
        <v>Monitor</v>
      </c>
      <c r="E50" s="13">
        <f>VALUE(TRIM(Dataset!E50))</f>
        <v>2</v>
      </c>
      <c r="F50" s="10">
        <f>VALUE(TRIM(Dataset!F50))</f>
        <v>80.77</v>
      </c>
      <c r="G50" s="6" t="str">
        <f>TRIM(Dataset!G50)</f>
        <v>464 Main St</v>
      </c>
      <c r="H50" s="6" t="str">
        <f>TRIM(Dataset!H50)</f>
        <v>Debit Card</v>
      </c>
      <c r="I50" s="6" t="str">
        <f>TRIM(Dataset!I50)</f>
        <v>Shipped</v>
      </c>
      <c r="J50" s="6" t="str">
        <f>TRIM(Dataset!J50)</f>
        <v>TRK38938858</v>
      </c>
      <c r="K50" s="8" t="str">
        <f>TRIM(Dataset!K50)</f>
        <v>4</v>
      </c>
      <c r="L50" s="6" t="s">
        <v>4284</v>
      </c>
      <c r="M50" s="6" t="str">
        <f>TRIM(Dataset!M50)</f>
        <v>Google</v>
      </c>
      <c r="N50" s="10">
        <f>VALUE(TRIM(Dataset!N50))</f>
        <v>161.54</v>
      </c>
    </row>
    <row r="51" spans="1:14" x14ac:dyDescent="0.35">
      <c r="A51" s="6" t="str">
        <f>TRIM(Dataset!A51)</f>
        <v>ORD200049</v>
      </c>
      <c r="B51" s="4">
        <f>Dataset!B51</f>
        <v>45206</v>
      </c>
      <c r="C51" s="6" t="str">
        <f>TRIM(Dataset!C51)</f>
        <v>C11985</v>
      </c>
      <c r="D51" s="6" t="str">
        <f>TRIM(Dataset!D51)</f>
        <v>Printer</v>
      </c>
      <c r="E51" s="13">
        <f>VALUE(TRIM(Dataset!E51))</f>
        <v>1</v>
      </c>
      <c r="F51" s="10">
        <f>VALUE(TRIM(Dataset!F51))</f>
        <v>30.44</v>
      </c>
      <c r="G51" s="6" t="str">
        <f>TRIM(Dataset!G51)</f>
        <v>633 Main St</v>
      </c>
      <c r="H51" s="6" t="str">
        <f>TRIM(Dataset!H51)</f>
        <v>Credit Card</v>
      </c>
      <c r="I51" s="6" t="str">
        <f>TRIM(Dataset!I51)</f>
        <v>Shipped</v>
      </c>
      <c r="J51" s="6" t="str">
        <f>TRIM(Dataset!J51)</f>
        <v>TRK53272402</v>
      </c>
      <c r="K51" s="8" t="str">
        <f>TRIM(Dataset!K51)</f>
        <v>1</v>
      </c>
      <c r="L51" s="6" t="str">
        <f>Dataset!L51</f>
        <v>SAVE10</v>
      </c>
      <c r="M51" s="6" t="str">
        <f>TRIM(Dataset!M51)</f>
        <v>Email</v>
      </c>
      <c r="N51" s="10">
        <f>VALUE(TRIM(Dataset!N51))</f>
        <v>30.44</v>
      </c>
    </row>
    <row r="52" spans="1:14" x14ac:dyDescent="0.35">
      <c r="A52" s="6" t="str">
        <f>TRIM(Dataset!A52)</f>
        <v>ORD200050</v>
      </c>
      <c r="B52" s="4">
        <f>Dataset!B52</f>
        <v>45138</v>
      </c>
      <c r="C52" s="6" t="str">
        <f>TRIM(Dataset!C52)</f>
        <v>C96494</v>
      </c>
      <c r="D52" s="6" t="str">
        <f>TRIM(Dataset!D52)</f>
        <v>Tablet</v>
      </c>
      <c r="E52" s="13">
        <f>VALUE(TRIM(Dataset!E52))</f>
        <v>1</v>
      </c>
      <c r="F52" s="10">
        <f>VALUE(TRIM(Dataset!F52))</f>
        <v>179.22</v>
      </c>
      <c r="G52" s="6" t="str">
        <f>TRIM(Dataset!G52)</f>
        <v>446 Main St</v>
      </c>
      <c r="H52" s="6" t="str">
        <f>TRIM(Dataset!H52)</f>
        <v>Online</v>
      </c>
      <c r="I52" s="6" t="str">
        <f>TRIM(Dataset!I52)</f>
        <v>Cancelled</v>
      </c>
      <c r="J52" s="6" t="str">
        <f>TRIM(Dataset!J52)</f>
        <v>TRK14675049</v>
      </c>
      <c r="K52" s="8" t="str">
        <f>TRIM(Dataset!K52)</f>
        <v>6</v>
      </c>
      <c r="L52" s="6" t="str">
        <f>Dataset!L52</f>
        <v>FREESHIP</v>
      </c>
      <c r="M52" s="6" t="str">
        <f>TRIM(Dataset!M52)</f>
        <v>Instagram</v>
      </c>
      <c r="N52" s="10">
        <f>VALUE(TRIM(Dataset!N52))</f>
        <v>179.22</v>
      </c>
    </row>
    <row r="53" spans="1:14" x14ac:dyDescent="0.35">
      <c r="A53" s="6" t="str">
        <f>TRIM(Dataset!A53)</f>
        <v>ORD200051</v>
      </c>
      <c r="B53" s="4">
        <f>Dataset!B53</f>
        <v>45656</v>
      </c>
      <c r="C53" s="6" t="str">
        <f>TRIM(Dataset!C53)</f>
        <v>C36778</v>
      </c>
      <c r="D53" s="6" t="str">
        <f>TRIM(Dataset!D53)</f>
        <v>Tablet</v>
      </c>
      <c r="E53" s="13">
        <f>VALUE(TRIM(Dataset!E53))</f>
        <v>1</v>
      </c>
      <c r="F53" s="10">
        <f>VALUE(TRIM(Dataset!F53))</f>
        <v>388.33</v>
      </c>
      <c r="G53" s="6" t="str">
        <f>TRIM(Dataset!G53)</f>
        <v>434 Main St</v>
      </c>
      <c r="H53" s="6" t="str">
        <f>TRIM(Dataset!H53)</f>
        <v>Cash</v>
      </c>
      <c r="I53" s="6" t="str">
        <f>TRIM(Dataset!I53)</f>
        <v>Returned</v>
      </c>
      <c r="J53" s="6" t="str">
        <f>TRIM(Dataset!J53)</f>
        <v>TRK67610289</v>
      </c>
      <c r="K53" s="8" t="str">
        <f>TRIM(Dataset!K53)</f>
        <v>2</v>
      </c>
      <c r="L53" s="6" t="str">
        <f>Dataset!L53</f>
        <v>SAVE10</v>
      </c>
      <c r="M53" s="6" t="str">
        <f>TRIM(Dataset!M53)</f>
        <v>Facebook</v>
      </c>
      <c r="N53" s="10">
        <f>VALUE(TRIM(Dataset!N53))</f>
        <v>388.33</v>
      </c>
    </row>
    <row r="54" spans="1:14" x14ac:dyDescent="0.35">
      <c r="A54" s="6" t="str">
        <f>TRIM(Dataset!A54)</f>
        <v>ORD200052</v>
      </c>
      <c r="B54" s="4">
        <f>Dataset!B54</f>
        <v>45543</v>
      </c>
      <c r="C54" s="6" t="str">
        <f>TRIM(Dataset!C54)</f>
        <v>C30513</v>
      </c>
      <c r="D54" s="6" t="str">
        <f>TRIM(Dataset!D54)</f>
        <v>Tablet</v>
      </c>
      <c r="E54" s="13">
        <f>VALUE(TRIM(Dataset!E54))</f>
        <v>1</v>
      </c>
      <c r="F54" s="10">
        <f>VALUE(TRIM(Dataset!F54))</f>
        <v>586.44000000000005</v>
      </c>
      <c r="G54" s="6" t="str">
        <f>TRIM(Dataset!G54)</f>
        <v>232 Main St</v>
      </c>
      <c r="H54" s="6" t="str">
        <f>TRIM(Dataset!H54)</f>
        <v>Online</v>
      </c>
      <c r="I54" s="6" t="str">
        <f>TRIM(Dataset!I54)</f>
        <v>Returned</v>
      </c>
      <c r="J54" s="6" t="str">
        <f>TRIM(Dataset!J54)</f>
        <v>TRK64320429</v>
      </c>
      <c r="K54" s="8" t="str">
        <f>TRIM(Dataset!K54)</f>
        <v>5</v>
      </c>
      <c r="L54" s="6" t="str">
        <f>Dataset!L54</f>
        <v>SAVE10</v>
      </c>
      <c r="M54" s="6" t="str">
        <f>TRIM(Dataset!M54)</f>
        <v>Facebook</v>
      </c>
      <c r="N54" s="10">
        <f>VALUE(TRIM(Dataset!N54))</f>
        <v>586.44000000000005</v>
      </c>
    </row>
    <row r="55" spans="1:14" x14ac:dyDescent="0.35">
      <c r="A55" s="6" t="str">
        <f>TRIM(Dataset!A55)</f>
        <v>ORD200053</v>
      </c>
      <c r="B55" s="4">
        <f>Dataset!B55</f>
        <v>45430</v>
      </c>
      <c r="C55" s="6" t="str">
        <f>TRIM(Dataset!C55)</f>
        <v>C67551</v>
      </c>
      <c r="D55" s="6" t="str">
        <f>TRIM(Dataset!D55)</f>
        <v>Phone</v>
      </c>
      <c r="E55" s="13">
        <f>VALUE(TRIM(Dataset!E55))</f>
        <v>4</v>
      </c>
      <c r="F55" s="10">
        <f>VALUE(TRIM(Dataset!F55))</f>
        <v>488.78</v>
      </c>
      <c r="G55" s="6" t="str">
        <f>TRIM(Dataset!G55)</f>
        <v>512 Main St</v>
      </c>
      <c r="H55" s="6" t="str">
        <f>TRIM(Dataset!H55)</f>
        <v>Online</v>
      </c>
      <c r="I55" s="6" t="str">
        <f>TRIM(Dataset!I55)</f>
        <v>Returned</v>
      </c>
      <c r="J55" s="6" t="str">
        <f>TRIM(Dataset!J55)</f>
        <v>TRK94992552</v>
      </c>
      <c r="K55" s="8" t="str">
        <f>TRIM(Dataset!K55)</f>
        <v>5</v>
      </c>
      <c r="L55" s="6" t="str">
        <f>Dataset!L55</f>
        <v>FREESHIP</v>
      </c>
      <c r="M55" s="6" t="str">
        <f>TRIM(Dataset!M55)</f>
        <v>Google</v>
      </c>
      <c r="N55" s="10">
        <f>VALUE(TRIM(Dataset!N55))</f>
        <v>1955.12</v>
      </c>
    </row>
    <row r="56" spans="1:14" x14ac:dyDescent="0.35">
      <c r="A56" s="6" t="str">
        <f>TRIM(Dataset!A56)</f>
        <v>ORD200054</v>
      </c>
      <c r="B56" s="4">
        <f>Dataset!B56</f>
        <v>45743</v>
      </c>
      <c r="C56" s="6" t="str">
        <f>TRIM(Dataset!C56)</f>
        <v>C48120</v>
      </c>
      <c r="D56" s="6" t="str">
        <f>TRIM(Dataset!D56)</f>
        <v>Chair</v>
      </c>
      <c r="E56" s="13">
        <f>VALUE(TRIM(Dataset!E56))</f>
        <v>1</v>
      </c>
      <c r="F56" s="10">
        <f>VALUE(TRIM(Dataset!F56))</f>
        <v>280.25</v>
      </c>
      <c r="G56" s="6" t="str">
        <f>TRIM(Dataset!G56)</f>
        <v>623 Main St</v>
      </c>
      <c r="H56" s="6" t="str">
        <f>TRIM(Dataset!H56)</f>
        <v>Online</v>
      </c>
      <c r="I56" s="6" t="str">
        <f>TRIM(Dataset!I56)</f>
        <v>Pending</v>
      </c>
      <c r="J56" s="6" t="str">
        <f>TRIM(Dataset!J56)</f>
        <v>TRK11014449</v>
      </c>
      <c r="K56" s="8" t="str">
        <f>TRIM(Dataset!K56)</f>
        <v>5</v>
      </c>
      <c r="L56" s="6" t="str">
        <f>Dataset!L56</f>
        <v>WINTER15</v>
      </c>
      <c r="M56" s="6" t="str">
        <f>TRIM(Dataset!M56)</f>
        <v>Email</v>
      </c>
      <c r="N56" s="10">
        <f>VALUE(TRIM(Dataset!N56))</f>
        <v>280.25</v>
      </c>
    </row>
    <row r="57" spans="1:14" x14ac:dyDescent="0.35">
      <c r="A57" s="6" t="str">
        <f>TRIM(Dataset!A57)</f>
        <v>ORD200055</v>
      </c>
      <c r="B57" s="4">
        <f>Dataset!B57</f>
        <v>45832</v>
      </c>
      <c r="C57" s="6" t="str">
        <f>TRIM(Dataset!C57)</f>
        <v>C95984</v>
      </c>
      <c r="D57" s="6" t="str">
        <f>TRIM(Dataset!D57)</f>
        <v>Printer</v>
      </c>
      <c r="E57" s="13">
        <f>VALUE(TRIM(Dataset!E57))</f>
        <v>3</v>
      </c>
      <c r="F57" s="10">
        <f>VALUE(TRIM(Dataset!F57))</f>
        <v>344.4</v>
      </c>
      <c r="G57" s="6" t="str">
        <f>TRIM(Dataset!G57)</f>
        <v>565 Main St</v>
      </c>
      <c r="H57" s="6" t="str">
        <f>TRIM(Dataset!H57)</f>
        <v>Online</v>
      </c>
      <c r="I57" s="6" t="str">
        <f>TRIM(Dataset!I57)</f>
        <v>Cancelled</v>
      </c>
      <c r="J57" s="6" t="str">
        <f>TRIM(Dataset!J57)</f>
        <v>TRK67434829</v>
      </c>
      <c r="K57" s="8" t="str">
        <f>TRIM(Dataset!K57)</f>
        <v>3</v>
      </c>
      <c r="L57" s="6" t="s">
        <v>4284</v>
      </c>
      <c r="M57" s="6" t="str">
        <f>TRIM(Dataset!M57)</f>
        <v>Facebook</v>
      </c>
      <c r="N57" s="10">
        <f>VALUE(TRIM(Dataset!N57))</f>
        <v>1033.2</v>
      </c>
    </row>
    <row r="58" spans="1:14" x14ac:dyDescent="0.35">
      <c r="A58" s="6" t="str">
        <f>TRIM(Dataset!A58)</f>
        <v>ORD200056</v>
      </c>
      <c r="B58" s="4">
        <f>Dataset!B58</f>
        <v>45067</v>
      </c>
      <c r="C58" s="6" t="str">
        <f>TRIM(Dataset!C58)</f>
        <v>C54298</v>
      </c>
      <c r="D58" s="6" t="str">
        <f>TRIM(Dataset!D58)</f>
        <v>Tablet</v>
      </c>
      <c r="E58" s="13">
        <f>VALUE(TRIM(Dataset!E58))</f>
        <v>3</v>
      </c>
      <c r="F58" s="10">
        <f>VALUE(TRIM(Dataset!F58))</f>
        <v>479.21</v>
      </c>
      <c r="G58" s="6" t="str">
        <f>TRIM(Dataset!G58)</f>
        <v>566 Main St</v>
      </c>
      <c r="H58" s="6" t="str">
        <f>TRIM(Dataset!H58)</f>
        <v>Cash</v>
      </c>
      <c r="I58" s="6" t="str">
        <f>TRIM(Dataset!I58)</f>
        <v>Cancelled</v>
      </c>
      <c r="J58" s="6" t="str">
        <f>TRIM(Dataset!J58)</f>
        <v>TRK62902341</v>
      </c>
      <c r="K58" s="8" t="str">
        <f>TRIM(Dataset!K58)</f>
        <v>5</v>
      </c>
      <c r="L58" s="6" t="str">
        <f>Dataset!L58</f>
        <v>WINTER15</v>
      </c>
      <c r="M58" s="6" t="str">
        <f>TRIM(Dataset!M58)</f>
        <v>Referral</v>
      </c>
      <c r="N58" s="10">
        <f>VALUE(TRIM(Dataset!N58))</f>
        <v>1437.63</v>
      </c>
    </row>
    <row r="59" spans="1:14" x14ac:dyDescent="0.35">
      <c r="A59" s="6" t="str">
        <f>TRIM(Dataset!A59)</f>
        <v>ORD200057</v>
      </c>
      <c r="B59" s="4">
        <f>Dataset!B59</f>
        <v>44948</v>
      </c>
      <c r="C59" s="6" t="str">
        <f>TRIM(Dataset!C59)</f>
        <v>C88036</v>
      </c>
      <c r="D59" s="6" t="str">
        <f>TRIM(Dataset!D59)</f>
        <v>Printer</v>
      </c>
      <c r="E59" s="13">
        <f>VALUE(TRIM(Dataset!E59))</f>
        <v>5</v>
      </c>
      <c r="F59" s="10">
        <f>VALUE(TRIM(Dataset!F59))</f>
        <v>314.27</v>
      </c>
      <c r="G59" s="6" t="str">
        <f>TRIM(Dataset!G59)</f>
        <v>842 Main St</v>
      </c>
      <c r="H59" s="6" t="str">
        <f>TRIM(Dataset!H59)</f>
        <v>Cash</v>
      </c>
      <c r="I59" s="6" t="str">
        <f>TRIM(Dataset!I59)</f>
        <v>Returned</v>
      </c>
      <c r="J59" s="6" t="str">
        <f>TRIM(Dataset!J59)</f>
        <v>TRK52470128</v>
      </c>
      <c r="K59" s="8" t="str">
        <f>TRIM(Dataset!K59)</f>
        <v>6</v>
      </c>
      <c r="L59" s="6" t="str">
        <f>Dataset!L59</f>
        <v>SAVE10</v>
      </c>
      <c r="M59" s="6" t="str">
        <f>TRIM(Dataset!M59)</f>
        <v>Instagram</v>
      </c>
      <c r="N59" s="10">
        <f>VALUE(TRIM(Dataset!N59))</f>
        <v>1571.35</v>
      </c>
    </row>
    <row r="60" spans="1:14" x14ac:dyDescent="0.35">
      <c r="A60" s="6" t="str">
        <f>TRIM(Dataset!A60)</f>
        <v>ORD200058</v>
      </c>
      <c r="B60" s="4">
        <f>Dataset!B60</f>
        <v>44941</v>
      </c>
      <c r="C60" s="6" t="str">
        <f>TRIM(Dataset!C60)</f>
        <v>C60190</v>
      </c>
      <c r="D60" s="6" t="str">
        <f>TRIM(Dataset!D60)</f>
        <v>Phone</v>
      </c>
      <c r="E60" s="13">
        <f>VALUE(TRIM(Dataset!E60))</f>
        <v>4</v>
      </c>
      <c r="F60" s="10">
        <f>VALUE(TRIM(Dataset!F60))</f>
        <v>474.69</v>
      </c>
      <c r="G60" s="6" t="str">
        <f>TRIM(Dataset!G60)</f>
        <v>202 Main St</v>
      </c>
      <c r="H60" s="6" t="str">
        <f>TRIM(Dataset!H60)</f>
        <v>Gift Card</v>
      </c>
      <c r="I60" s="6" t="str">
        <f>TRIM(Dataset!I60)</f>
        <v>Cancelled</v>
      </c>
      <c r="J60" s="6" t="str">
        <f>TRIM(Dataset!J60)</f>
        <v>TRK70857868</v>
      </c>
      <c r="K60" s="8" t="str">
        <f>TRIM(Dataset!K60)</f>
        <v>6</v>
      </c>
      <c r="L60" s="6" t="str">
        <f>Dataset!L60</f>
        <v>SAVE10</v>
      </c>
      <c r="M60" s="6" t="str">
        <f>TRIM(Dataset!M60)</f>
        <v>Google</v>
      </c>
      <c r="N60" s="10">
        <f>VALUE(TRIM(Dataset!N60))</f>
        <v>1898.76</v>
      </c>
    </row>
    <row r="61" spans="1:14" x14ac:dyDescent="0.35">
      <c r="A61" s="6" t="str">
        <f>TRIM(Dataset!A61)</f>
        <v>ORD200059</v>
      </c>
      <c r="B61" s="4">
        <f>Dataset!B61</f>
        <v>45546</v>
      </c>
      <c r="C61" s="6" t="str">
        <f>TRIM(Dataset!C61)</f>
        <v>C97603</v>
      </c>
      <c r="D61" s="6" t="str">
        <f>TRIM(Dataset!D61)</f>
        <v>Chair</v>
      </c>
      <c r="E61" s="13">
        <f>VALUE(TRIM(Dataset!E61))</f>
        <v>4</v>
      </c>
      <c r="F61" s="10">
        <f>VALUE(TRIM(Dataset!F61))</f>
        <v>593.27</v>
      </c>
      <c r="G61" s="6" t="str">
        <f>TRIM(Dataset!G61)</f>
        <v>811 Main St</v>
      </c>
      <c r="H61" s="6" t="str">
        <f>TRIM(Dataset!H61)</f>
        <v>Online</v>
      </c>
      <c r="I61" s="6" t="str">
        <f>TRIM(Dataset!I61)</f>
        <v>Shipped</v>
      </c>
      <c r="J61" s="6" t="str">
        <f>TRIM(Dataset!J61)</f>
        <v>TRK47055028</v>
      </c>
      <c r="K61" s="8" t="str">
        <f>TRIM(Dataset!K61)</f>
        <v>5</v>
      </c>
      <c r="L61" s="6" t="s">
        <v>4284</v>
      </c>
      <c r="M61" s="6" t="str">
        <f>TRIM(Dataset!M61)</f>
        <v>Facebook</v>
      </c>
      <c r="N61" s="10">
        <f>VALUE(TRIM(Dataset!N61))</f>
        <v>2373.08</v>
      </c>
    </row>
    <row r="62" spans="1:14" x14ac:dyDescent="0.35">
      <c r="A62" s="6" t="str">
        <f>TRIM(Dataset!A62)</f>
        <v>ORD200060</v>
      </c>
      <c r="B62" s="4">
        <f>Dataset!B62</f>
        <v>45525</v>
      </c>
      <c r="C62" s="6" t="str">
        <f>TRIM(Dataset!C62)</f>
        <v>C39256</v>
      </c>
      <c r="D62" s="6" t="str">
        <f>TRIM(Dataset!D62)</f>
        <v>Desk</v>
      </c>
      <c r="E62" s="13">
        <f>VALUE(TRIM(Dataset!E62))</f>
        <v>1</v>
      </c>
      <c r="F62" s="10">
        <f>VALUE(TRIM(Dataset!F62))</f>
        <v>417.1</v>
      </c>
      <c r="G62" s="6" t="str">
        <f>TRIM(Dataset!G62)</f>
        <v>634 Main St</v>
      </c>
      <c r="H62" s="6" t="str">
        <f>TRIM(Dataset!H62)</f>
        <v>Debit Card</v>
      </c>
      <c r="I62" s="6" t="str">
        <f>TRIM(Dataset!I62)</f>
        <v>Returned</v>
      </c>
      <c r="J62" s="6" t="str">
        <f>TRIM(Dataset!J62)</f>
        <v>TRK23412025</v>
      </c>
      <c r="K62" s="8" t="str">
        <f>TRIM(Dataset!K62)</f>
        <v>3</v>
      </c>
      <c r="L62" s="6" t="str">
        <f>Dataset!L62</f>
        <v>FREESHIP</v>
      </c>
      <c r="M62" s="6" t="str">
        <f>TRIM(Dataset!M62)</f>
        <v>Referral</v>
      </c>
      <c r="N62" s="10">
        <f>VALUE(TRIM(Dataset!N62))</f>
        <v>417.1</v>
      </c>
    </row>
    <row r="63" spans="1:14" x14ac:dyDescent="0.35">
      <c r="A63" s="6" t="str">
        <f>TRIM(Dataset!A63)</f>
        <v>ORD200061</v>
      </c>
      <c r="B63" s="4">
        <f>Dataset!B63</f>
        <v>45375</v>
      </c>
      <c r="C63" s="6" t="str">
        <f>TRIM(Dataset!C63)</f>
        <v>C61618</v>
      </c>
      <c r="D63" s="6" t="str">
        <f>TRIM(Dataset!D63)</f>
        <v>Desk</v>
      </c>
      <c r="E63" s="13">
        <f>VALUE(TRIM(Dataset!E63))</f>
        <v>4</v>
      </c>
      <c r="F63" s="10">
        <f>VALUE(TRIM(Dataset!F63))</f>
        <v>122.2</v>
      </c>
      <c r="G63" s="6" t="str">
        <f>TRIM(Dataset!G63)</f>
        <v>104 Main St</v>
      </c>
      <c r="H63" s="6" t="str">
        <f>TRIM(Dataset!H63)</f>
        <v>Cash</v>
      </c>
      <c r="I63" s="6" t="str">
        <f>TRIM(Dataset!I63)</f>
        <v>Delivered</v>
      </c>
      <c r="J63" s="6" t="str">
        <f>TRIM(Dataset!J63)</f>
        <v>TRK43458485</v>
      </c>
      <c r="K63" s="8" t="str">
        <f>TRIM(Dataset!K63)</f>
        <v>7</v>
      </c>
      <c r="L63" s="6" t="str">
        <f>Dataset!L63</f>
        <v>FREESHIP</v>
      </c>
      <c r="M63" s="6" t="str">
        <f>TRIM(Dataset!M63)</f>
        <v>Facebook</v>
      </c>
      <c r="N63" s="10">
        <f>VALUE(TRIM(Dataset!N63))</f>
        <v>488.8</v>
      </c>
    </row>
    <row r="64" spans="1:14" x14ac:dyDescent="0.35">
      <c r="A64" s="6" t="str">
        <f>TRIM(Dataset!A64)</f>
        <v>ORD200062</v>
      </c>
      <c r="B64" s="4">
        <f>Dataset!B64</f>
        <v>45160</v>
      </c>
      <c r="C64" s="6" t="str">
        <f>TRIM(Dataset!C64)</f>
        <v>C36497</v>
      </c>
      <c r="D64" s="6" t="str">
        <f>TRIM(Dataset!D64)</f>
        <v>Desk</v>
      </c>
      <c r="E64" s="13">
        <f>VALUE(TRIM(Dataset!E64))</f>
        <v>2</v>
      </c>
      <c r="F64" s="10">
        <f>VALUE(TRIM(Dataset!F64))</f>
        <v>43.15</v>
      </c>
      <c r="G64" s="6" t="str">
        <f>TRIM(Dataset!G64)</f>
        <v>691 Main St</v>
      </c>
      <c r="H64" s="6" t="str">
        <f>TRIM(Dataset!H64)</f>
        <v>Debit Card</v>
      </c>
      <c r="I64" s="6" t="str">
        <f>TRIM(Dataset!I64)</f>
        <v>Pending</v>
      </c>
      <c r="J64" s="6" t="str">
        <f>TRIM(Dataset!J64)</f>
        <v>TRK12102911</v>
      </c>
      <c r="K64" s="8" t="str">
        <f>TRIM(Dataset!K64)</f>
        <v>3</v>
      </c>
      <c r="L64" s="6" t="str">
        <f>Dataset!L64</f>
        <v>WINTER15</v>
      </c>
      <c r="M64" s="6" t="str">
        <f>TRIM(Dataset!M64)</f>
        <v>Email</v>
      </c>
      <c r="N64" s="10">
        <f>VALUE(TRIM(Dataset!N64))</f>
        <v>86.3</v>
      </c>
    </row>
    <row r="65" spans="1:14" x14ac:dyDescent="0.35">
      <c r="A65" s="6" t="str">
        <f>TRIM(Dataset!A65)</f>
        <v>ORD200063</v>
      </c>
      <c r="B65" s="4">
        <f>Dataset!B65</f>
        <v>45690</v>
      </c>
      <c r="C65" s="6" t="str">
        <f>TRIM(Dataset!C65)</f>
        <v>C96695</v>
      </c>
      <c r="D65" s="6" t="str">
        <f>TRIM(Dataset!D65)</f>
        <v>Chair</v>
      </c>
      <c r="E65" s="13">
        <f>VALUE(TRIM(Dataset!E65))</f>
        <v>1</v>
      </c>
      <c r="F65" s="10">
        <f>VALUE(TRIM(Dataset!F65))</f>
        <v>564.86</v>
      </c>
      <c r="G65" s="6" t="str">
        <f>TRIM(Dataset!G65)</f>
        <v>813 Main St</v>
      </c>
      <c r="H65" s="6" t="str">
        <f>TRIM(Dataset!H65)</f>
        <v>Debit Card</v>
      </c>
      <c r="I65" s="6" t="str">
        <f>TRIM(Dataset!I65)</f>
        <v>Shipped</v>
      </c>
      <c r="J65" s="6" t="str">
        <f>TRIM(Dataset!J65)</f>
        <v>TRK64283851</v>
      </c>
      <c r="K65" s="8" t="str">
        <f>TRIM(Dataset!K65)</f>
        <v>6</v>
      </c>
      <c r="L65" s="6" t="str">
        <f>Dataset!L65</f>
        <v>WINTER15</v>
      </c>
      <c r="M65" s="6" t="str">
        <f>TRIM(Dataset!M65)</f>
        <v>Referral</v>
      </c>
      <c r="N65" s="10">
        <f>VALUE(TRIM(Dataset!N65))</f>
        <v>564.86</v>
      </c>
    </row>
    <row r="66" spans="1:14" x14ac:dyDescent="0.35">
      <c r="A66" s="6" t="str">
        <f>TRIM(Dataset!A66)</f>
        <v>ORD200064</v>
      </c>
      <c r="B66" s="4">
        <f>Dataset!B66</f>
        <v>45833</v>
      </c>
      <c r="C66" s="6" t="str">
        <f>TRIM(Dataset!C66)</f>
        <v>C49720</v>
      </c>
      <c r="D66" s="6" t="str">
        <f>TRIM(Dataset!D66)</f>
        <v>Printer</v>
      </c>
      <c r="E66" s="13">
        <f>VALUE(TRIM(Dataset!E66))</f>
        <v>3</v>
      </c>
      <c r="F66" s="10">
        <f>VALUE(TRIM(Dataset!F66))</f>
        <v>130.61000000000001</v>
      </c>
      <c r="G66" s="6" t="str">
        <f>TRIM(Dataset!G66)</f>
        <v>752 Main St</v>
      </c>
      <c r="H66" s="6" t="str">
        <f>TRIM(Dataset!H66)</f>
        <v>Debit Card</v>
      </c>
      <c r="I66" s="6" t="str">
        <f>TRIM(Dataset!I66)</f>
        <v>Cancelled</v>
      </c>
      <c r="J66" s="6" t="str">
        <f>TRIM(Dataset!J66)</f>
        <v>TRK55785217</v>
      </c>
      <c r="K66" s="8" t="str">
        <f>TRIM(Dataset!K66)</f>
        <v>4</v>
      </c>
      <c r="L66" s="6" t="str">
        <f>Dataset!L66</f>
        <v>FREESHIP</v>
      </c>
      <c r="M66" s="6" t="str">
        <f>TRIM(Dataset!M66)</f>
        <v>Facebook</v>
      </c>
      <c r="N66" s="10">
        <f>VALUE(TRIM(Dataset!N66))</f>
        <v>391.83</v>
      </c>
    </row>
    <row r="67" spans="1:14" x14ac:dyDescent="0.35">
      <c r="A67" s="6" t="str">
        <f>TRIM(Dataset!A67)</f>
        <v>ORD200065</v>
      </c>
      <c r="B67" s="4">
        <f>Dataset!B67</f>
        <v>45290</v>
      </c>
      <c r="C67" s="6" t="str">
        <f>TRIM(Dataset!C67)</f>
        <v>C97735</v>
      </c>
      <c r="D67" s="6" t="str">
        <f>TRIM(Dataset!D67)</f>
        <v>Monitor</v>
      </c>
      <c r="E67" s="13">
        <f>VALUE(TRIM(Dataset!E67))</f>
        <v>5</v>
      </c>
      <c r="F67" s="10">
        <f>VALUE(TRIM(Dataset!F67))</f>
        <v>81.7</v>
      </c>
      <c r="G67" s="6" t="str">
        <f>TRIM(Dataset!G67)</f>
        <v>385 Main St</v>
      </c>
      <c r="H67" s="6" t="str">
        <f>TRIM(Dataset!H67)</f>
        <v>Credit Card</v>
      </c>
      <c r="I67" s="6" t="str">
        <f>TRIM(Dataset!I67)</f>
        <v>Delivered</v>
      </c>
      <c r="J67" s="6" t="str">
        <f>TRIM(Dataset!J67)</f>
        <v>TRK13743703</v>
      </c>
      <c r="K67" s="8" t="str">
        <f>TRIM(Dataset!K67)</f>
        <v>6</v>
      </c>
      <c r="L67" s="6" t="s">
        <v>4284</v>
      </c>
      <c r="M67" s="6" t="str">
        <f>TRIM(Dataset!M67)</f>
        <v>Instagram</v>
      </c>
      <c r="N67" s="10">
        <f>VALUE(TRIM(Dataset!N67))</f>
        <v>408.5</v>
      </c>
    </row>
    <row r="68" spans="1:14" x14ac:dyDescent="0.35">
      <c r="A68" s="6" t="str">
        <f>TRIM(Dataset!A68)</f>
        <v>ORD200066</v>
      </c>
      <c r="B68" s="4">
        <f>Dataset!B68</f>
        <v>45611</v>
      </c>
      <c r="C68" s="6" t="str">
        <f>TRIM(Dataset!C68)</f>
        <v>C18104</v>
      </c>
      <c r="D68" s="6" t="str">
        <f>TRIM(Dataset!D68)</f>
        <v>Chair</v>
      </c>
      <c r="E68" s="13">
        <f>VALUE(TRIM(Dataset!E68))</f>
        <v>5</v>
      </c>
      <c r="F68" s="10">
        <f>VALUE(TRIM(Dataset!F68))</f>
        <v>127.18</v>
      </c>
      <c r="G68" s="6" t="str">
        <f>TRIM(Dataset!G68)</f>
        <v>715 Main St</v>
      </c>
      <c r="H68" s="6" t="str">
        <f>TRIM(Dataset!H68)</f>
        <v>Cash</v>
      </c>
      <c r="I68" s="6" t="str">
        <f>TRIM(Dataset!I68)</f>
        <v>Cancelled</v>
      </c>
      <c r="J68" s="6" t="str">
        <f>TRIM(Dataset!J68)</f>
        <v>TRK15488568</v>
      </c>
      <c r="K68" s="8" t="str">
        <f>TRIM(Dataset!K68)</f>
        <v>9</v>
      </c>
      <c r="L68" s="6" t="str">
        <f>Dataset!L68</f>
        <v>SAVE10</v>
      </c>
      <c r="M68" s="6" t="str">
        <f>TRIM(Dataset!M68)</f>
        <v>Referral</v>
      </c>
      <c r="N68" s="10">
        <f>VALUE(TRIM(Dataset!N68))</f>
        <v>635.9</v>
      </c>
    </row>
    <row r="69" spans="1:14" x14ac:dyDescent="0.35">
      <c r="A69" s="6" t="str">
        <f>TRIM(Dataset!A69)</f>
        <v>ORD200067</v>
      </c>
      <c r="B69" s="4">
        <f>Dataset!B69</f>
        <v>45635</v>
      </c>
      <c r="C69" s="6" t="str">
        <f>TRIM(Dataset!C69)</f>
        <v>C25587</v>
      </c>
      <c r="D69" s="6" t="str">
        <f>TRIM(Dataset!D69)</f>
        <v>Printer</v>
      </c>
      <c r="E69" s="13">
        <f>VALUE(TRIM(Dataset!E69))</f>
        <v>4</v>
      </c>
      <c r="F69" s="10">
        <f>VALUE(TRIM(Dataset!F69))</f>
        <v>12.1</v>
      </c>
      <c r="G69" s="6" t="str">
        <f>TRIM(Dataset!G69)</f>
        <v>440 Main St</v>
      </c>
      <c r="H69" s="6" t="str">
        <f>TRIM(Dataset!H69)</f>
        <v>Debit Card</v>
      </c>
      <c r="I69" s="6" t="str">
        <f>TRIM(Dataset!I69)</f>
        <v>Cancelled</v>
      </c>
      <c r="J69" s="6" t="str">
        <f>TRIM(Dataset!J69)</f>
        <v>TRK55105323</v>
      </c>
      <c r="K69" s="8" t="str">
        <f>TRIM(Dataset!K69)</f>
        <v>8</v>
      </c>
      <c r="L69" s="6" t="s">
        <v>4284</v>
      </c>
      <c r="M69" s="6" t="str">
        <f>TRIM(Dataset!M69)</f>
        <v>Google</v>
      </c>
      <c r="N69" s="10">
        <f>VALUE(TRIM(Dataset!N69))</f>
        <v>48.4</v>
      </c>
    </row>
    <row r="70" spans="1:14" x14ac:dyDescent="0.35">
      <c r="A70" s="6" t="str">
        <f>TRIM(Dataset!A70)</f>
        <v>ORD200068</v>
      </c>
      <c r="B70" s="4">
        <f>Dataset!B70</f>
        <v>45271</v>
      </c>
      <c r="C70" s="6" t="str">
        <f>TRIM(Dataset!C70)</f>
        <v>C41598</v>
      </c>
      <c r="D70" s="6" t="str">
        <f>TRIM(Dataset!D70)</f>
        <v>Chair</v>
      </c>
      <c r="E70" s="13">
        <f>VALUE(TRIM(Dataset!E70))</f>
        <v>3</v>
      </c>
      <c r="F70" s="10">
        <f>VALUE(TRIM(Dataset!F70))</f>
        <v>490.92</v>
      </c>
      <c r="G70" s="6" t="str">
        <f>TRIM(Dataset!G70)</f>
        <v>709 Main St</v>
      </c>
      <c r="H70" s="6" t="str">
        <f>TRIM(Dataset!H70)</f>
        <v>Credit Card</v>
      </c>
      <c r="I70" s="6" t="str">
        <f>TRIM(Dataset!I70)</f>
        <v>Pending</v>
      </c>
      <c r="J70" s="6" t="str">
        <f>TRIM(Dataset!J70)</f>
        <v>TRK81665940</v>
      </c>
      <c r="K70" s="8" t="str">
        <f>TRIM(Dataset!K70)</f>
        <v>5</v>
      </c>
      <c r="L70" s="6" t="str">
        <f>Dataset!L70</f>
        <v>FREESHIP</v>
      </c>
      <c r="M70" s="6" t="str">
        <f>TRIM(Dataset!M70)</f>
        <v>Email</v>
      </c>
      <c r="N70" s="10">
        <f>VALUE(TRIM(Dataset!N70))</f>
        <v>1472.76</v>
      </c>
    </row>
    <row r="71" spans="1:14" x14ac:dyDescent="0.35">
      <c r="A71" s="6" t="str">
        <f>TRIM(Dataset!A71)</f>
        <v>ORD200069</v>
      </c>
      <c r="B71" s="4">
        <f>Dataset!B71</f>
        <v>45057</v>
      </c>
      <c r="C71" s="6" t="str">
        <f>TRIM(Dataset!C71)</f>
        <v>C43338</v>
      </c>
      <c r="D71" s="6" t="str">
        <f>TRIM(Dataset!D71)</f>
        <v>Monitor</v>
      </c>
      <c r="E71" s="13">
        <f>VALUE(TRIM(Dataset!E71))</f>
        <v>3</v>
      </c>
      <c r="F71" s="10">
        <f>VALUE(TRIM(Dataset!F71))</f>
        <v>478.65</v>
      </c>
      <c r="G71" s="6" t="str">
        <f>TRIM(Dataset!G71)</f>
        <v>552 Main St</v>
      </c>
      <c r="H71" s="6" t="str">
        <f>TRIM(Dataset!H71)</f>
        <v>Online</v>
      </c>
      <c r="I71" s="6" t="str">
        <f>TRIM(Dataset!I71)</f>
        <v>Shipped</v>
      </c>
      <c r="J71" s="6" t="str">
        <f>TRIM(Dataset!J71)</f>
        <v>TRK35241775</v>
      </c>
      <c r="K71" s="8" t="str">
        <f>TRIM(Dataset!K71)</f>
        <v>4</v>
      </c>
      <c r="L71" s="6" t="s">
        <v>4284</v>
      </c>
      <c r="M71" s="6" t="str">
        <f>TRIM(Dataset!M71)</f>
        <v>Referral</v>
      </c>
      <c r="N71" s="10">
        <f>VALUE(TRIM(Dataset!N71))</f>
        <v>1435.95</v>
      </c>
    </row>
    <row r="72" spans="1:14" x14ac:dyDescent="0.35">
      <c r="A72" s="6" t="str">
        <f>TRIM(Dataset!A72)</f>
        <v>ORD200070</v>
      </c>
      <c r="B72" s="4">
        <f>Dataset!B72</f>
        <v>45072</v>
      </c>
      <c r="C72" s="6" t="str">
        <f>TRIM(Dataset!C72)</f>
        <v>C25123</v>
      </c>
      <c r="D72" s="6" t="str">
        <f>TRIM(Dataset!D72)</f>
        <v>Desk</v>
      </c>
      <c r="E72" s="13">
        <f>VALUE(TRIM(Dataset!E72))</f>
        <v>1</v>
      </c>
      <c r="F72" s="10">
        <f>VALUE(TRIM(Dataset!F72))</f>
        <v>629.21</v>
      </c>
      <c r="G72" s="6" t="str">
        <f>TRIM(Dataset!G72)</f>
        <v>384 Main St</v>
      </c>
      <c r="H72" s="6" t="str">
        <f>TRIM(Dataset!H72)</f>
        <v>Gift Card</v>
      </c>
      <c r="I72" s="6" t="str">
        <f>TRIM(Dataset!I72)</f>
        <v>Pending</v>
      </c>
      <c r="J72" s="6" t="str">
        <f>TRIM(Dataset!J72)</f>
        <v>TRK27812282</v>
      </c>
      <c r="K72" s="8" t="str">
        <f>TRIM(Dataset!K72)</f>
        <v>2</v>
      </c>
      <c r="L72" s="6" t="str">
        <f>Dataset!L72</f>
        <v>FREESHIP</v>
      </c>
      <c r="M72" s="6" t="str">
        <f>TRIM(Dataset!M72)</f>
        <v>Instagram</v>
      </c>
      <c r="N72" s="10">
        <f>VALUE(TRIM(Dataset!N72))</f>
        <v>629.21</v>
      </c>
    </row>
    <row r="73" spans="1:14" x14ac:dyDescent="0.35">
      <c r="A73" s="6" t="str">
        <f>TRIM(Dataset!A73)</f>
        <v>ORD200071</v>
      </c>
      <c r="B73" s="4">
        <f>Dataset!B73</f>
        <v>45818</v>
      </c>
      <c r="C73" s="6" t="str">
        <f>TRIM(Dataset!C73)</f>
        <v>C37454</v>
      </c>
      <c r="D73" s="6" t="str">
        <f>TRIM(Dataset!D73)</f>
        <v>Monitor</v>
      </c>
      <c r="E73" s="13">
        <f>VALUE(TRIM(Dataset!E73))</f>
        <v>3</v>
      </c>
      <c r="F73" s="10">
        <f>VALUE(TRIM(Dataset!F73))</f>
        <v>434.45</v>
      </c>
      <c r="G73" s="6" t="str">
        <f>TRIM(Dataset!G73)</f>
        <v>923 Main St</v>
      </c>
      <c r="H73" s="6" t="str">
        <f>TRIM(Dataset!H73)</f>
        <v>Credit Card</v>
      </c>
      <c r="I73" s="6" t="str">
        <f>TRIM(Dataset!I73)</f>
        <v>Pending</v>
      </c>
      <c r="J73" s="6" t="str">
        <f>TRIM(Dataset!J73)</f>
        <v>TRK28252730</v>
      </c>
      <c r="K73" s="8" t="str">
        <f>TRIM(Dataset!K73)</f>
        <v>4</v>
      </c>
      <c r="L73" s="6" t="s">
        <v>4284</v>
      </c>
      <c r="M73" s="6" t="str">
        <f>TRIM(Dataset!M73)</f>
        <v>Referral</v>
      </c>
      <c r="N73" s="10">
        <f>VALUE(TRIM(Dataset!N73))</f>
        <v>1303.3499999999999</v>
      </c>
    </row>
    <row r="74" spans="1:14" x14ac:dyDescent="0.35">
      <c r="A74" s="6" t="str">
        <f>TRIM(Dataset!A74)</f>
        <v>ORD200072</v>
      </c>
      <c r="B74" s="4">
        <f>Dataset!B74</f>
        <v>45648</v>
      </c>
      <c r="C74" s="6" t="str">
        <f>TRIM(Dataset!C74)</f>
        <v>C19451</v>
      </c>
      <c r="D74" s="6" t="str">
        <f>TRIM(Dataset!D74)</f>
        <v>Tablet</v>
      </c>
      <c r="E74" s="13">
        <f>VALUE(TRIM(Dataset!E74))</f>
        <v>4</v>
      </c>
      <c r="F74" s="10">
        <f>VALUE(TRIM(Dataset!F74))</f>
        <v>589.44000000000005</v>
      </c>
      <c r="G74" s="6" t="str">
        <f>TRIM(Dataset!G74)</f>
        <v>942 Main St</v>
      </c>
      <c r="H74" s="6" t="str">
        <f>TRIM(Dataset!H74)</f>
        <v>Gift Card</v>
      </c>
      <c r="I74" s="6" t="str">
        <f>TRIM(Dataset!I74)</f>
        <v>Returned</v>
      </c>
      <c r="J74" s="6" t="str">
        <f>TRIM(Dataset!J74)</f>
        <v>TRK87787793</v>
      </c>
      <c r="K74" s="8" t="str">
        <f>TRIM(Dataset!K74)</f>
        <v>5</v>
      </c>
      <c r="L74" s="6" t="s">
        <v>4284</v>
      </c>
      <c r="M74" s="6" t="str">
        <f>TRIM(Dataset!M74)</f>
        <v>Facebook</v>
      </c>
      <c r="N74" s="10">
        <f>VALUE(TRIM(Dataset!N74))</f>
        <v>2357.7600000000002</v>
      </c>
    </row>
    <row r="75" spans="1:14" x14ac:dyDescent="0.35">
      <c r="A75" s="6" t="str">
        <f>TRIM(Dataset!A75)</f>
        <v>ORD200073</v>
      </c>
      <c r="B75" s="4">
        <f>Dataset!B75</f>
        <v>45049</v>
      </c>
      <c r="C75" s="6" t="str">
        <f>TRIM(Dataset!C75)</f>
        <v>C17269</v>
      </c>
      <c r="D75" s="6" t="str">
        <f>TRIM(Dataset!D75)</f>
        <v>Monitor</v>
      </c>
      <c r="E75" s="13">
        <f>VALUE(TRIM(Dataset!E75))</f>
        <v>4</v>
      </c>
      <c r="F75" s="10">
        <f>VALUE(TRIM(Dataset!F75))</f>
        <v>433.45</v>
      </c>
      <c r="G75" s="6" t="str">
        <f>TRIM(Dataset!G75)</f>
        <v>129 Main St</v>
      </c>
      <c r="H75" s="6" t="str">
        <f>TRIM(Dataset!H75)</f>
        <v>Gift Card</v>
      </c>
      <c r="I75" s="6" t="str">
        <f>TRIM(Dataset!I75)</f>
        <v>Cancelled</v>
      </c>
      <c r="J75" s="6" t="str">
        <f>TRIM(Dataset!J75)</f>
        <v>TRK79608389</v>
      </c>
      <c r="K75" s="8" t="str">
        <f>TRIM(Dataset!K75)</f>
        <v>4</v>
      </c>
      <c r="L75" s="6" t="s">
        <v>4284</v>
      </c>
      <c r="M75" s="6" t="str">
        <f>TRIM(Dataset!M75)</f>
        <v>Facebook</v>
      </c>
      <c r="N75" s="10">
        <f>VALUE(TRIM(Dataset!N75))</f>
        <v>1733.8</v>
      </c>
    </row>
    <row r="76" spans="1:14" x14ac:dyDescent="0.35">
      <c r="A76" s="6" t="str">
        <f>TRIM(Dataset!A76)</f>
        <v>ORD200074</v>
      </c>
      <c r="B76" s="4">
        <f>Dataset!B76</f>
        <v>45101</v>
      </c>
      <c r="C76" s="6" t="str">
        <f>TRIM(Dataset!C76)</f>
        <v>C25382</v>
      </c>
      <c r="D76" s="6" t="str">
        <f>TRIM(Dataset!D76)</f>
        <v>Phone</v>
      </c>
      <c r="E76" s="13">
        <f>VALUE(TRIM(Dataset!E76))</f>
        <v>5</v>
      </c>
      <c r="F76" s="10">
        <f>VALUE(TRIM(Dataset!F76))</f>
        <v>90.87</v>
      </c>
      <c r="G76" s="6" t="str">
        <f>TRIM(Dataset!G76)</f>
        <v>622 Main St</v>
      </c>
      <c r="H76" s="6" t="str">
        <f>TRIM(Dataset!H76)</f>
        <v>Cash</v>
      </c>
      <c r="I76" s="6" t="str">
        <f>TRIM(Dataset!I76)</f>
        <v>Pending</v>
      </c>
      <c r="J76" s="6" t="str">
        <f>TRIM(Dataset!J76)</f>
        <v>TRK64691287</v>
      </c>
      <c r="K76" s="8" t="str">
        <f>TRIM(Dataset!K76)</f>
        <v>5</v>
      </c>
      <c r="L76" s="6" t="s">
        <v>4284</v>
      </c>
      <c r="M76" s="6" t="str">
        <f>TRIM(Dataset!M76)</f>
        <v>Instagram</v>
      </c>
      <c r="N76" s="10">
        <f>VALUE(TRIM(Dataset!N76))</f>
        <v>454.35</v>
      </c>
    </row>
    <row r="77" spans="1:14" x14ac:dyDescent="0.35">
      <c r="A77" s="6" t="str">
        <f>TRIM(Dataset!A77)</f>
        <v>ORD200075</v>
      </c>
      <c r="B77" s="4">
        <f>Dataset!B77</f>
        <v>45195</v>
      </c>
      <c r="C77" s="6" t="str">
        <f>TRIM(Dataset!C77)</f>
        <v>C80651</v>
      </c>
      <c r="D77" s="6" t="str">
        <f>TRIM(Dataset!D77)</f>
        <v>Tablet</v>
      </c>
      <c r="E77" s="13">
        <f>VALUE(TRIM(Dataset!E77))</f>
        <v>3</v>
      </c>
      <c r="F77" s="10">
        <f>VALUE(TRIM(Dataset!F77))</f>
        <v>398.17</v>
      </c>
      <c r="G77" s="6" t="str">
        <f>TRIM(Dataset!G77)</f>
        <v>917 Main St</v>
      </c>
      <c r="H77" s="6" t="str">
        <f>TRIM(Dataset!H77)</f>
        <v>Debit Card</v>
      </c>
      <c r="I77" s="6" t="str">
        <f>TRIM(Dataset!I77)</f>
        <v>Delivered</v>
      </c>
      <c r="J77" s="6" t="str">
        <f>TRIM(Dataset!J77)</f>
        <v>TRK14846720</v>
      </c>
      <c r="K77" s="8" t="str">
        <f>TRIM(Dataset!K77)</f>
        <v>5</v>
      </c>
      <c r="L77" s="6" t="str">
        <f>Dataset!L77</f>
        <v>SAVE10</v>
      </c>
      <c r="M77" s="6" t="str">
        <f>TRIM(Dataset!M77)</f>
        <v>Email</v>
      </c>
      <c r="N77" s="10">
        <f>VALUE(TRIM(Dataset!N77))</f>
        <v>1194.51</v>
      </c>
    </row>
    <row r="78" spans="1:14" x14ac:dyDescent="0.35">
      <c r="A78" s="6" t="str">
        <f>TRIM(Dataset!A78)</f>
        <v>ORD200076</v>
      </c>
      <c r="B78" s="4">
        <f>Dataset!B78</f>
        <v>45382</v>
      </c>
      <c r="C78" s="6" t="str">
        <f>TRIM(Dataset!C78)</f>
        <v>C58638</v>
      </c>
      <c r="D78" s="6" t="str">
        <f>TRIM(Dataset!D78)</f>
        <v>Laptop</v>
      </c>
      <c r="E78" s="13">
        <f>VALUE(TRIM(Dataset!E78))</f>
        <v>4</v>
      </c>
      <c r="F78" s="10">
        <f>VALUE(TRIM(Dataset!F78))</f>
        <v>382.88</v>
      </c>
      <c r="G78" s="6" t="str">
        <f>TRIM(Dataset!G78)</f>
        <v>239 Main St</v>
      </c>
      <c r="H78" s="6" t="str">
        <f>TRIM(Dataset!H78)</f>
        <v>Cash</v>
      </c>
      <c r="I78" s="6" t="str">
        <f>TRIM(Dataset!I78)</f>
        <v>Cancelled</v>
      </c>
      <c r="J78" s="6" t="str">
        <f>TRIM(Dataset!J78)</f>
        <v>TRK38224871</v>
      </c>
      <c r="K78" s="8" t="str">
        <f>TRIM(Dataset!K78)</f>
        <v>6</v>
      </c>
      <c r="L78" s="6" t="str">
        <f>Dataset!L78</f>
        <v>WINTER15</v>
      </c>
      <c r="M78" s="6" t="str">
        <f>TRIM(Dataset!M78)</f>
        <v>Email</v>
      </c>
      <c r="N78" s="10">
        <f>VALUE(TRIM(Dataset!N78))</f>
        <v>1531.52</v>
      </c>
    </row>
    <row r="79" spans="1:14" x14ac:dyDescent="0.35">
      <c r="A79" s="6" t="str">
        <f>TRIM(Dataset!A79)</f>
        <v>ORD200077</v>
      </c>
      <c r="B79" s="4">
        <f>Dataset!B79</f>
        <v>45436</v>
      </c>
      <c r="C79" s="6" t="str">
        <f>TRIM(Dataset!C79)</f>
        <v>C50121</v>
      </c>
      <c r="D79" s="6" t="str">
        <f>TRIM(Dataset!D79)</f>
        <v>Phone</v>
      </c>
      <c r="E79" s="13">
        <f>VALUE(TRIM(Dataset!E79))</f>
        <v>1</v>
      </c>
      <c r="F79" s="10">
        <f>VALUE(TRIM(Dataset!F79))</f>
        <v>583.17999999999995</v>
      </c>
      <c r="G79" s="6" t="str">
        <f>TRIM(Dataset!G79)</f>
        <v>348 Main St</v>
      </c>
      <c r="H79" s="6" t="str">
        <f>TRIM(Dataset!H79)</f>
        <v>Credit Card</v>
      </c>
      <c r="I79" s="6" t="str">
        <f>TRIM(Dataset!I79)</f>
        <v>Returned</v>
      </c>
      <c r="J79" s="6" t="str">
        <f>TRIM(Dataset!J79)</f>
        <v>TRK79810059</v>
      </c>
      <c r="K79" s="8" t="str">
        <f>TRIM(Dataset!K79)</f>
        <v>5</v>
      </c>
      <c r="L79" s="6" t="s">
        <v>4284</v>
      </c>
      <c r="M79" s="6" t="str">
        <f>TRIM(Dataset!M79)</f>
        <v>Google</v>
      </c>
      <c r="N79" s="10">
        <f>VALUE(TRIM(Dataset!N79))</f>
        <v>583.17999999999995</v>
      </c>
    </row>
    <row r="80" spans="1:14" x14ac:dyDescent="0.35">
      <c r="A80" s="6" t="str">
        <f>TRIM(Dataset!A80)</f>
        <v>ORD200078</v>
      </c>
      <c r="B80" s="4">
        <f>Dataset!B80</f>
        <v>45510</v>
      </c>
      <c r="C80" s="6" t="str">
        <f>TRIM(Dataset!C80)</f>
        <v>C32029</v>
      </c>
      <c r="D80" s="6" t="str">
        <f>TRIM(Dataset!D80)</f>
        <v>Printer</v>
      </c>
      <c r="E80" s="13">
        <f>VALUE(TRIM(Dataset!E80))</f>
        <v>4</v>
      </c>
      <c r="F80" s="10">
        <f>VALUE(TRIM(Dataset!F80))</f>
        <v>175.36</v>
      </c>
      <c r="G80" s="6" t="str">
        <f>TRIM(Dataset!G80)</f>
        <v>146 Main St</v>
      </c>
      <c r="H80" s="6" t="str">
        <f>TRIM(Dataset!H80)</f>
        <v>Debit Card</v>
      </c>
      <c r="I80" s="6" t="str">
        <f>TRIM(Dataset!I80)</f>
        <v>Delivered</v>
      </c>
      <c r="J80" s="6" t="str">
        <f>TRIM(Dataset!J80)</f>
        <v>TRK68535532</v>
      </c>
      <c r="K80" s="8" t="str">
        <f>TRIM(Dataset!K80)</f>
        <v>4</v>
      </c>
      <c r="L80" s="6" t="str">
        <f>Dataset!L80</f>
        <v>FREESHIP</v>
      </c>
      <c r="M80" s="6" t="str">
        <f>TRIM(Dataset!M80)</f>
        <v>Instagram</v>
      </c>
      <c r="N80" s="10">
        <f>VALUE(TRIM(Dataset!N80))</f>
        <v>701.44</v>
      </c>
    </row>
    <row r="81" spans="1:14" x14ac:dyDescent="0.35">
      <c r="A81" s="6" t="str">
        <f>TRIM(Dataset!A81)</f>
        <v>ORD200079</v>
      </c>
      <c r="B81" s="4">
        <f>Dataset!B81</f>
        <v>45726</v>
      </c>
      <c r="C81" s="6" t="str">
        <f>TRIM(Dataset!C81)</f>
        <v>C76700</v>
      </c>
      <c r="D81" s="6" t="str">
        <f>TRIM(Dataset!D81)</f>
        <v>Tablet</v>
      </c>
      <c r="E81" s="13">
        <f>VALUE(TRIM(Dataset!E81))</f>
        <v>2</v>
      </c>
      <c r="F81" s="10">
        <f>VALUE(TRIM(Dataset!F81))</f>
        <v>311.91000000000003</v>
      </c>
      <c r="G81" s="6" t="str">
        <f>TRIM(Dataset!G81)</f>
        <v>103 Main St</v>
      </c>
      <c r="H81" s="6" t="str">
        <f>TRIM(Dataset!H81)</f>
        <v>Online</v>
      </c>
      <c r="I81" s="6" t="str">
        <f>TRIM(Dataset!I81)</f>
        <v>Shipped</v>
      </c>
      <c r="J81" s="6" t="str">
        <f>TRIM(Dataset!J81)</f>
        <v>TRK13036341</v>
      </c>
      <c r="K81" s="8" t="str">
        <f>TRIM(Dataset!K81)</f>
        <v>2</v>
      </c>
      <c r="L81" s="6" t="s">
        <v>4284</v>
      </c>
      <c r="M81" s="6" t="str">
        <f>TRIM(Dataset!M81)</f>
        <v>Facebook</v>
      </c>
      <c r="N81" s="10">
        <f>VALUE(TRIM(Dataset!N81))</f>
        <v>623.82000000000005</v>
      </c>
    </row>
    <row r="82" spans="1:14" x14ac:dyDescent="0.35">
      <c r="A82" s="6" t="str">
        <f>TRIM(Dataset!A82)</f>
        <v>ORD200080</v>
      </c>
      <c r="B82" s="4">
        <f>Dataset!B82</f>
        <v>45104</v>
      </c>
      <c r="C82" s="6" t="str">
        <f>TRIM(Dataset!C82)</f>
        <v>C29041</v>
      </c>
      <c r="D82" s="6" t="str">
        <f>TRIM(Dataset!D82)</f>
        <v>Phone</v>
      </c>
      <c r="E82" s="13">
        <f>VALUE(TRIM(Dataset!E82))</f>
        <v>3</v>
      </c>
      <c r="F82" s="10">
        <f>VALUE(TRIM(Dataset!F82))</f>
        <v>589.55999999999995</v>
      </c>
      <c r="G82" s="6" t="str">
        <f>TRIM(Dataset!G82)</f>
        <v>591 Main St</v>
      </c>
      <c r="H82" s="6" t="str">
        <f>TRIM(Dataset!H82)</f>
        <v>Online</v>
      </c>
      <c r="I82" s="6" t="str">
        <f>TRIM(Dataset!I82)</f>
        <v>Returned</v>
      </c>
      <c r="J82" s="6" t="str">
        <f>TRIM(Dataset!J82)</f>
        <v>TRK28840655</v>
      </c>
      <c r="K82" s="8" t="str">
        <f>TRIM(Dataset!K82)</f>
        <v>6</v>
      </c>
      <c r="L82" s="6" t="s">
        <v>4284</v>
      </c>
      <c r="M82" s="6" t="str">
        <f>TRIM(Dataset!M82)</f>
        <v>Facebook</v>
      </c>
      <c r="N82" s="10">
        <f>VALUE(TRIM(Dataset!N82))</f>
        <v>1768.68</v>
      </c>
    </row>
    <row r="83" spans="1:14" x14ac:dyDescent="0.35">
      <c r="A83" s="6" t="str">
        <f>TRIM(Dataset!A83)</f>
        <v>ORD200081</v>
      </c>
      <c r="B83" s="4">
        <f>Dataset!B83</f>
        <v>45085</v>
      </c>
      <c r="C83" s="6" t="str">
        <f>TRIM(Dataset!C83)</f>
        <v>C29314</v>
      </c>
      <c r="D83" s="6" t="str">
        <f>TRIM(Dataset!D83)</f>
        <v>Monitor</v>
      </c>
      <c r="E83" s="13">
        <f>VALUE(TRIM(Dataset!E83))</f>
        <v>2</v>
      </c>
      <c r="F83" s="10">
        <f>VALUE(TRIM(Dataset!F83))</f>
        <v>394.3</v>
      </c>
      <c r="G83" s="6" t="str">
        <f>TRIM(Dataset!G83)</f>
        <v>496 Main St</v>
      </c>
      <c r="H83" s="6" t="str">
        <f>TRIM(Dataset!H83)</f>
        <v>Cash</v>
      </c>
      <c r="I83" s="6" t="str">
        <f>TRIM(Dataset!I83)</f>
        <v>Shipped</v>
      </c>
      <c r="J83" s="6" t="str">
        <f>TRIM(Dataset!J83)</f>
        <v>TRK59876213</v>
      </c>
      <c r="K83" s="8" t="str">
        <f>TRIM(Dataset!K83)</f>
        <v>6</v>
      </c>
      <c r="L83" s="6" t="str">
        <f>Dataset!L83</f>
        <v>FREESHIP</v>
      </c>
      <c r="M83" s="6" t="str">
        <f>TRIM(Dataset!M83)</f>
        <v>Email</v>
      </c>
      <c r="N83" s="10">
        <f>VALUE(TRIM(Dataset!N83))</f>
        <v>788.6</v>
      </c>
    </row>
    <row r="84" spans="1:14" x14ac:dyDescent="0.35">
      <c r="A84" s="6" t="str">
        <f>TRIM(Dataset!A84)</f>
        <v>ORD200082</v>
      </c>
      <c r="B84" s="4">
        <f>Dataset!B84</f>
        <v>45296</v>
      </c>
      <c r="C84" s="6" t="str">
        <f>TRIM(Dataset!C84)</f>
        <v>C65799</v>
      </c>
      <c r="D84" s="6" t="str">
        <f>TRIM(Dataset!D84)</f>
        <v>Tablet</v>
      </c>
      <c r="E84" s="13">
        <f>VALUE(TRIM(Dataset!E84))</f>
        <v>4</v>
      </c>
      <c r="F84" s="10">
        <f>VALUE(TRIM(Dataset!F84))</f>
        <v>565.20000000000005</v>
      </c>
      <c r="G84" s="6" t="str">
        <f>TRIM(Dataset!G84)</f>
        <v>971 Main St</v>
      </c>
      <c r="H84" s="6" t="str">
        <f>TRIM(Dataset!H84)</f>
        <v>Debit Card</v>
      </c>
      <c r="I84" s="6" t="str">
        <f>TRIM(Dataset!I84)</f>
        <v>Shipped</v>
      </c>
      <c r="J84" s="6" t="str">
        <f>TRIM(Dataset!J84)</f>
        <v>TRK66906607</v>
      </c>
      <c r="K84" s="8" t="str">
        <f>TRIM(Dataset!K84)</f>
        <v>9</v>
      </c>
      <c r="L84" s="6" t="str">
        <f>Dataset!L84</f>
        <v>SAVE10</v>
      </c>
      <c r="M84" s="6" t="str">
        <f>TRIM(Dataset!M84)</f>
        <v>Google</v>
      </c>
      <c r="N84" s="10">
        <f>VALUE(TRIM(Dataset!N84))</f>
        <v>2260.8000000000002</v>
      </c>
    </row>
    <row r="85" spans="1:14" x14ac:dyDescent="0.35">
      <c r="A85" s="6" t="str">
        <f>TRIM(Dataset!A85)</f>
        <v>ORD200083</v>
      </c>
      <c r="B85" s="4">
        <f>Dataset!B85</f>
        <v>45160</v>
      </c>
      <c r="C85" s="6" t="str">
        <f>TRIM(Dataset!C85)</f>
        <v>C15681</v>
      </c>
      <c r="D85" s="6" t="str">
        <f>TRIM(Dataset!D85)</f>
        <v>Laptop</v>
      </c>
      <c r="E85" s="13">
        <f>VALUE(TRIM(Dataset!E85))</f>
        <v>4</v>
      </c>
      <c r="F85" s="10">
        <f>VALUE(TRIM(Dataset!F85))</f>
        <v>540.41</v>
      </c>
      <c r="G85" s="6" t="str">
        <f>TRIM(Dataset!G85)</f>
        <v>989 Main St</v>
      </c>
      <c r="H85" s="6" t="str">
        <f>TRIM(Dataset!H85)</f>
        <v>Credit Card</v>
      </c>
      <c r="I85" s="6" t="str">
        <f>TRIM(Dataset!I85)</f>
        <v>Cancelled</v>
      </c>
      <c r="J85" s="6" t="str">
        <f>TRIM(Dataset!J85)</f>
        <v>TRK75112172</v>
      </c>
      <c r="K85" s="8" t="str">
        <f>TRIM(Dataset!K85)</f>
        <v>6</v>
      </c>
      <c r="L85" s="6" t="s">
        <v>4284</v>
      </c>
      <c r="M85" s="6" t="str">
        <f>TRIM(Dataset!M85)</f>
        <v>Referral</v>
      </c>
      <c r="N85" s="10">
        <f>VALUE(TRIM(Dataset!N85))</f>
        <v>2161.64</v>
      </c>
    </row>
    <row r="86" spans="1:14" x14ac:dyDescent="0.35">
      <c r="A86" s="6" t="str">
        <f>TRIM(Dataset!A86)</f>
        <v>ORD200084</v>
      </c>
      <c r="B86" s="4">
        <f>Dataset!B86</f>
        <v>45166</v>
      </c>
      <c r="C86" s="6" t="str">
        <f>TRIM(Dataset!C86)</f>
        <v>C64160</v>
      </c>
      <c r="D86" s="6" t="str">
        <f>TRIM(Dataset!D86)</f>
        <v>Monitor</v>
      </c>
      <c r="E86" s="13">
        <f>VALUE(TRIM(Dataset!E86))</f>
        <v>2</v>
      </c>
      <c r="F86" s="10">
        <f>VALUE(TRIM(Dataset!F86))</f>
        <v>165.49</v>
      </c>
      <c r="G86" s="6" t="str">
        <f>TRIM(Dataset!G86)</f>
        <v>967 Main St</v>
      </c>
      <c r="H86" s="6" t="str">
        <f>TRIM(Dataset!H86)</f>
        <v>Online</v>
      </c>
      <c r="I86" s="6" t="str">
        <f>TRIM(Dataset!I86)</f>
        <v>Shipped</v>
      </c>
      <c r="J86" s="6" t="str">
        <f>TRIM(Dataset!J86)</f>
        <v>TRK34121529</v>
      </c>
      <c r="K86" s="8" t="str">
        <f>TRIM(Dataset!K86)</f>
        <v>4</v>
      </c>
      <c r="L86" s="6" t="str">
        <f>Dataset!L86</f>
        <v>WINTER15</v>
      </c>
      <c r="M86" s="6" t="str">
        <f>TRIM(Dataset!M86)</f>
        <v>Instagram</v>
      </c>
      <c r="N86" s="10">
        <f>VALUE(TRIM(Dataset!N86))</f>
        <v>330.98</v>
      </c>
    </row>
    <row r="87" spans="1:14" x14ac:dyDescent="0.35">
      <c r="A87" s="6" t="str">
        <f>TRIM(Dataset!A87)</f>
        <v>ORD200085</v>
      </c>
      <c r="B87" s="4">
        <f>Dataset!B87</f>
        <v>45544</v>
      </c>
      <c r="C87" s="6" t="str">
        <f>TRIM(Dataset!C87)</f>
        <v>C14553</v>
      </c>
      <c r="D87" s="6" t="str">
        <f>TRIM(Dataset!D87)</f>
        <v>Tablet</v>
      </c>
      <c r="E87" s="13">
        <f>VALUE(TRIM(Dataset!E87))</f>
        <v>3</v>
      </c>
      <c r="F87" s="10">
        <f>VALUE(TRIM(Dataset!F87))</f>
        <v>146.72999999999999</v>
      </c>
      <c r="G87" s="6" t="str">
        <f>TRIM(Dataset!G87)</f>
        <v>768 Main St</v>
      </c>
      <c r="H87" s="6" t="str">
        <f>TRIM(Dataset!H87)</f>
        <v>Cash</v>
      </c>
      <c r="I87" s="6" t="str">
        <f>TRIM(Dataset!I87)</f>
        <v>Delivered</v>
      </c>
      <c r="J87" s="6" t="str">
        <f>TRIM(Dataset!J87)</f>
        <v>TRK93538334</v>
      </c>
      <c r="K87" s="8" t="str">
        <f>TRIM(Dataset!K87)</f>
        <v>8</v>
      </c>
      <c r="L87" s="6" t="str">
        <f>Dataset!L87</f>
        <v>FREESHIP</v>
      </c>
      <c r="M87" s="6" t="str">
        <f>TRIM(Dataset!M87)</f>
        <v>Email</v>
      </c>
      <c r="N87" s="10">
        <f>VALUE(TRIM(Dataset!N87))</f>
        <v>440.19</v>
      </c>
    </row>
    <row r="88" spans="1:14" x14ac:dyDescent="0.35">
      <c r="A88" s="6" t="str">
        <f>TRIM(Dataset!A88)</f>
        <v>ORD200086</v>
      </c>
      <c r="B88" s="4">
        <f>Dataset!B88</f>
        <v>45462</v>
      </c>
      <c r="C88" s="6" t="str">
        <f>TRIM(Dataset!C88)</f>
        <v>C88205</v>
      </c>
      <c r="D88" s="6" t="str">
        <f>TRIM(Dataset!D88)</f>
        <v>Printer</v>
      </c>
      <c r="E88" s="13">
        <f>VALUE(TRIM(Dataset!E88))</f>
        <v>5</v>
      </c>
      <c r="F88" s="10">
        <f>VALUE(TRIM(Dataset!F88))</f>
        <v>643.03</v>
      </c>
      <c r="G88" s="6" t="str">
        <f>TRIM(Dataset!G88)</f>
        <v>447 Main St</v>
      </c>
      <c r="H88" s="6" t="str">
        <f>TRIM(Dataset!H88)</f>
        <v>Online</v>
      </c>
      <c r="I88" s="6" t="str">
        <f>TRIM(Dataset!I88)</f>
        <v>Cancelled</v>
      </c>
      <c r="J88" s="6" t="str">
        <f>TRIM(Dataset!J88)</f>
        <v>TRK93504166</v>
      </c>
      <c r="K88" s="8" t="str">
        <f>TRIM(Dataset!K88)</f>
        <v>5</v>
      </c>
      <c r="L88" s="6" t="str">
        <f>Dataset!L88</f>
        <v>FREESHIP</v>
      </c>
      <c r="M88" s="6" t="str">
        <f>TRIM(Dataset!M88)</f>
        <v>Referral</v>
      </c>
      <c r="N88" s="10">
        <f>VALUE(TRIM(Dataset!N88))</f>
        <v>3215.15</v>
      </c>
    </row>
    <row r="89" spans="1:14" x14ac:dyDescent="0.35">
      <c r="A89" s="6" t="str">
        <f>TRIM(Dataset!A89)</f>
        <v>ORD200087</v>
      </c>
      <c r="B89" s="4">
        <f>Dataset!B89</f>
        <v>45575</v>
      </c>
      <c r="C89" s="6" t="str">
        <f>TRIM(Dataset!C89)</f>
        <v>C91245</v>
      </c>
      <c r="D89" s="6" t="str">
        <f>TRIM(Dataset!D89)</f>
        <v>Tablet</v>
      </c>
      <c r="E89" s="13">
        <f>VALUE(TRIM(Dataset!E89))</f>
        <v>3</v>
      </c>
      <c r="F89" s="10">
        <f>VALUE(TRIM(Dataset!F89))</f>
        <v>225.11</v>
      </c>
      <c r="G89" s="6" t="str">
        <f>TRIM(Dataset!G89)</f>
        <v>915 Main St</v>
      </c>
      <c r="H89" s="6" t="str">
        <f>TRIM(Dataset!H89)</f>
        <v>Cash</v>
      </c>
      <c r="I89" s="6" t="str">
        <f>TRIM(Dataset!I89)</f>
        <v>Shipped</v>
      </c>
      <c r="J89" s="6" t="str">
        <f>TRIM(Dataset!J89)</f>
        <v>TRK46976391</v>
      </c>
      <c r="K89" s="8" t="str">
        <f>TRIM(Dataset!K89)</f>
        <v>4</v>
      </c>
      <c r="L89" s="6" t="str">
        <f>Dataset!L89</f>
        <v>SAVE10</v>
      </c>
      <c r="M89" s="6" t="str">
        <f>TRIM(Dataset!M89)</f>
        <v>Facebook</v>
      </c>
      <c r="N89" s="10">
        <f>VALUE(TRIM(Dataset!N89))</f>
        <v>675.33</v>
      </c>
    </row>
    <row r="90" spans="1:14" x14ac:dyDescent="0.35">
      <c r="A90" s="6" t="str">
        <f>TRIM(Dataset!A90)</f>
        <v>ORD200088</v>
      </c>
      <c r="B90" s="4">
        <f>Dataset!B90</f>
        <v>45813</v>
      </c>
      <c r="C90" s="6" t="str">
        <f>TRIM(Dataset!C90)</f>
        <v>C75439</v>
      </c>
      <c r="D90" s="6" t="str">
        <f>TRIM(Dataset!D90)</f>
        <v>Desk</v>
      </c>
      <c r="E90" s="13">
        <f>VALUE(TRIM(Dataset!E90))</f>
        <v>3</v>
      </c>
      <c r="F90" s="10">
        <f>VALUE(TRIM(Dataset!F90))</f>
        <v>114.81</v>
      </c>
      <c r="G90" s="6" t="str">
        <f>TRIM(Dataset!G90)</f>
        <v>318 Main St</v>
      </c>
      <c r="H90" s="6" t="str">
        <f>TRIM(Dataset!H90)</f>
        <v>Gift Card</v>
      </c>
      <c r="I90" s="6" t="str">
        <f>TRIM(Dataset!I90)</f>
        <v>Cancelled</v>
      </c>
      <c r="J90" s="6" t="str">
        <f>TRIM(Dataset!J90)</f>
        <v>TRK19831653</v>
      </c>
      <c r="K90" s="8" t="str">
        <f>TRIM(Dataset!K90)</f>
        <v>7</v>
      </c>
      <c r="L90" s="6" t="s">
        <v>4284</v>
      </c>
      <c r="M90" s="6" t="str">
        <f>TRIM(Dataset!M90)</f>
        <v>Google</v>
      </c>
      <c r="N90" s="10">
        <f>VALUE(TRIM(Dataset!N90))</f>
        <v>344.43</v>
      </c>
    </row>
    <row r="91" spans="1:14" x14ac:dyDescent="0.35">
      <c r="A91" s="6" t="str">
        <f>TRIM(Dataset!A91)</f>
        <v>ORD200089</v>
      </c>
      <c r="B91" s="4">
        <f>Dataset!B91</f>
        <v>45713</v>
      </c>
      <c r="C91" s="6" t="str">
        <f>TRIM(Dataset!C91)</f>
        <v>C17181</v>
      </c>
      <c r="D91" s="6" t="str">
        <f>TRIM(Dataset!D91)</f>
        <v>Printer</v>
      </c>
      <c r="E91" s="13">
        <f>VALUE(TRIM(Dataset!E91))</f>
        <v>5</v>
      </c>
      <c r="F91" s="10">
        <f>VALUE(TRIM(Dataset!F91))</f>
        <v>455.33</v>
      </c>
      <c r="G91" s="6" t="str">
        <f>TRIM(Dataset!G91)</f>
        <v>291 Main St</v>
      </c>
      <c r="H91" s="6" t="str">
        <f>TRIM(Dataset!H91)</f>
        <v>Credit Card</v>
      </c>
      <c r="I91" s="6" t="str">
        <f>TRIM(Dataset!I91)</f>
        <v>Cancelled</v>
      </c>
      <c r="J91" s="6" t="str">
        <f>TRIM(Dataset!J91)</f>
        <v>TRK78912978</v>
      </c>
      <c r="K91" s="8" t="str">
        <f>TRIM(Dataset!K91)</f>
        <v>8</v>
      </c>
      <c r="L91" s="6" t="str">
        <f>Dataset!L91</f>
        <v>FREESHIP</v>
      </c>
      <c r="M91" s="6" t="str">
        <f>TRIM(Dataset!M91)</f>
        <v>Google</v>
      </c>
      <c r="N91" s="10">
        <f>VALUE(TRIM(Dataset!N91))</f>
        <v>2276.65</v>
      </c>
    </row>
    <row r="92" spans="1:14" x14ac:dyDescent="0.35">
      <c r="A92" s="6" t="str">
        <f>TRIM(Dataset!A92)</f>
        <v>ORD200090</v>
      </c>
      <c r="B92" s="4">
        <f>Dataset!B92</f>
        <v>45187</v>
      </c>
      <c r="C92" s="6" t="str">
        <f>TRIM(Dataset!C92)</f>
        <v>C36540</v>
      </c>
      <c r="D92" s="6" t="str">
        <f>TRIM(Dataset!D92)</f>
        <v>Chair</v>
      </c>
      <c r="E92" s="13">
        <f>VALUE(TRIM(Dataset!E92))</f>
        <v>4</v>
      </c>
      <c r="F92" s="10">
        <f>VALUE(TRIM(Dataset!F92))</f>
        <v>182.08</v>
      </c>
      <c r="G92" s="6" t="str">
        <f>TRIM(Dataset!G92)</f>
        <v>611 Main St</v>
      </c>
      <c r="H92" s="6" t="str">
        <f>TRIM(Dataset!H92)</f>
        <v>Gift Card</v>
      </c>
      <c r="I92" s="6" t="str">
        <f>TRIM(Dataset!I92)</f>
        <v>Delivered</v>
      </c>
      <c r="J92" s="6" t="str">
        <f>TRIM(Dataset!J92)</f>
        <v>TRK35828122</v>
      </c>
      <c r="K92" s="8" t="str">
        <f>TRIM(Dataset!K92)</f>
        <v>4</v>
      </c>
      <c r="L92" s="6" t="str">
        <f>Dataset!L92</f>
        <v>SAVE10</v>
      </c>
      <c r="M92" s="6" t="str">
        <f>TRIM(Dataset!M92)</f>
        <v>Email</v>
      </c>
      <c r="N92" s="10">
        <f>VALUE(TRIM(Dataset!N92))</f>
        <v>728.32</v>
      </c>
    </row>
    <row r="93" spans="1:14" x14ac:dyDescent="0.35">
      <c r="A93" s="6" t="str">
        <f>TRIM(Dataset!A93)</f>
        <v>ORD200091</v>
      </c>
      <c r="B93" s="4">
        <f>Dataset!B93</f>
        <v>45000</v>
      </c>
      <c r="C93" s="6" t="str">
        <f>TRIM(Dataset!C93)</f>
        <v>C98216</v>
      </c>
      <c r="D93" s="6" t="str">
        <f>TRIM(Dataset!D93)</f>
        <v>Laptop</v>
      </c>
      <c r="E93" s="13">
        <f>VALUE(TRIM(Dataset!E93))</f>
        <v>5</v>
      </c>
      <c r="F93" s="10">
        <f>VALUE(TRIM(Dataset!F93))</f>
        <v>492.75</v>
      </c>
      <c r="G93" s="6" t="str">
        <f>TRIM(Dataset!G93)</f>
        <v>196 Main St</v>
      </c>
      <c r="H93" s="6" t="str">
        <f>TRIM(Dataset!H93)</f>
        <v>Cash</v>
      </c>
      <c r="I93" s="6" t="str">
        <f>TRIM(Dataset!I93)</f>
        <v>Shipped</v>
      </c>
      <c r="J93" s="6" t="str">
        <f>TRIM(Dataset!J93)</f>
        <v>TRK40986666</v>
      </c>
      <c r="K93" s="8" t="str">
        <f>TRIM(Dataset!K93)</f>
        <v>6</v>
      </c>
      <c r="L93" s="6" t="str">
        <f>Dataset!L93</f>
        <v>WINTER15</v>
      </c>
      <c r="M93" s="6" t="str">
        <f>TRIM(Dataset!M93)</f>
        <v>Referral</v>
      </c>
      <c r="N93" s="10">
        <f>VALUE(TRIM(Dataset!N93))</f>
        <v>2463.75</v>
      </c>
    </row>
    <row r="94" spans="1:14" x14ac:dyDescent="0.35">
      <c r="A94" s="6" t="str">
        <f>TRIM(Dataset!A94)</f>
        <v>ORD200092</v>
      </c>
      <c r="B94" s="4">
        <f>Dataset!B94</f>
        <v>45453</v>
      </c>
      <c r="C94" s="6" t="str">
        <f>TRIM(Dataset!C94)</f>
        <v>C29568</v>
      </c>
      <c r="D94" s="6" t="str">
        <f>TRIM(Dataset!D94)</f>
        <v>Printer</v>
      </c>
      <c r="E94" s="13">
        <f>VALUE(TRIM(Dataset!E94))</f>
        <v>4</v>
      </c>
      <c r="F94" s="10">
        <f>VALUE(TRIM(Dataset!F94))</f>
        <v>48.61</v>
      </c>
      <c r="G94" s="6" t="str">
        <f>TRIM(Dataset!G94)</f>
        <v>203 Main St</v>
      </c>
      <c r="H94" s="6" t="str">
        <f>TRIM(Dataset!H94)</f>
        <v>Online</v>
      </c>
      <c r="I94" s="6" t="str">
        <f>TRIM(Dataset!I94)</f>
        <v>Shipped</v>
      </c>
      <c r="J94" s="6" t="str">
        <f>TRIM(Dataset!J94)</f>
        <v>TRK46531075</v>
      </c>
      <c r="K94" s="8" t="str">
        <f>TRIM(Dataset!K94)</f>
        <v>7</v>
      </c>
      <c r="L94" s="6" t="str">
        <f>Dataset!L94</f>
        <v>FREESHIP</v>
      </c>
      <c r="M94" s="6" t="str">
        <f>TRIM(Dataset!M94)</f>
        <v>Facebook</v>
      </c>
      <c r="N94" s="10">
        <f>VALUE(TRIM(Dataset!N94))</f>
        <v>194.44</v>
      </c>
    </row>
    <row r="95" spans="1:14" x14ac:dyDescent="0.35">
      <c r="A95" s="6" t="str">
        <f>TRIM(Dataset!A95)</f>
        <v>ORD200093</v>
      </c>
      <c r="B95" s="4">
        <f>Dataset!B95</f>
        <v>44940</v>
      </c>
      <c r="C95" s="6" t="str">
        <f>TRIM(Dataset!C95)</f>
        <v>C97262</v>
      </c>
      <c r="D95" s="6" t="str">
        <f>TRIM(Dataset!D95)</f>
        <v>Desk</v>
      </c>
      <c r="E95" s="13">
        <f>VALUE(TRIM(Dataset!E95))</f>
        <v>4</v>
      </c>
      <c r="F95" s="10">
        <f>VALUE(TRIM(Dataset!F95))</f>
        <v>431.01</v>
      </c>
      <c r="G95" s="6" t="str">
        <f>TRIM(Dataset!G95)</f>
        <v>837 Main St</v>
      </c>
      <c r="H95" s="6" t="str">
        <f>TRIM(Dataset!H95)</f>
        <v>Credit Card</v>
      </c>
      <c r="I95" s="6" t="str">
        <f>TRIM(Dataset!I95)</f>
        <v>Returned</v>
      </c>
      <c r="J95" s="6" t="str">
        <f>TRIM(Dataset!J95)</f>
        <v>TRK65990229</v>
      </c>
      <c r="K95" s="8" t="str">
        <f>TRIM(Dataset!K95)</f>
        <v>7</v>
      </c>
      <c r="L95" s="6" t="s">
        <v>4284</v>
      </c>
      <c r="M95" s="6" t="str">
        <f>TRIM(Dataset!M95)</f>
        <v>Referral</v>
      </c>
      <c r="N95" s="10">
        <f>VALUE(TRIM(Dataset!N95))</f>
        <v>1724.04</v>
      </c>
    </row>
    <row r="96" spans="1:14" x14ac:dyDescent="0.35">
      <c r="A96" s="6" t="str">
        <f>TRIM(Dataset!A96)</f>
        <v>ORD200094</v>
      </c>
      <c r="B96" s="4">
        <f>Dataset!B96</f>
        <v>44968</v>
      </c>
      <c r="C96" s="6" t="str">
        <f>TRIM(Dataset!C96)</f>
        <v>C79821</v>
      </c>
      <c r="D96" s="6" t="str">
        <f>TRIM(Dataset!D96)</f>
        <v>Chair</v>
      </c>
      <c r="E96" s="13">
        <f>VALUE(TRIM(Dataset!E96))</f>
        <v>1</v>
      </c>
      <c r="F96" s="10">
        <f>VALUE(TRIM(Dataset!F96))</f>
        <v>531.17999999999995</v>
      </c>
      <c r="G96" s="6" t="str">
        <f>TRIM(Dataset!G96)</f>
        <v>781 Main St</v>
      </c>
      <c r="H96" s="6" t="str">
        <f>TRIM(Dataset!H96)</f>
        <v>Gift Card</v>
      </c>
      <c r="I96" s="6" t="str">
        <f>TRIM(Dataset!I96)</f>
        <v>Returned</v>
      </c>
      <c r="J96" s="6" t="str">
        <f>TRIM(Dataset!J96)</f>
        <v>TRK12780193</v>
      </c>
      <c r="K96" s="8" t="str">
        <f>TRIM(Dataset!K96)</f>
        <v>6</v>
      </c>
      <c r="L96" s="6" t="str">
        <f>Dataset!L96</f>
        <v>WINTER15</v>
      </c>
      <c r="M96" s="6" t="str">
        <f>TRIM(Dataset!M96)</f>
        <v>Instagram</v>
      </c>
      <c r="N96" s="10">
        <f>VALUE(TRIM(Dataset!N96))</f>
        <v>531.17999999999995</v>
      </c>
    </row>
    <row r="97" spans="1:14" x14ac:dyDescent="0.35">
      <c r="A97" s="6" t="str">
        <f>TRIM(Dataset!A97)</f>
        <v>ORD200095</v>
      </c>
      <c r="B97" s="4">
        <f>Dataset!B97</f>
        <v>45009</v>
      </c>
      <c r="C97" s="6" t="str">
        <f>TRIM(Dataset!C97)</f>
        <v>C76761</v>
      </c>
      <c r="D97" s="6" t="str">
        <f>TRIM(Dataset!D97)</f>
        <v>Printer</v>
      </c>
      <c r="E97" s="13">
        <f>VALUE(TRIM(Dataset!E97))</f>
        <v>4</v>
      </c>
      <c r="F97" s="10">
        <f>VALUE(TRIM(Dataset!F97))</f>
        <v>117.51</v>
      </c>
      <c r="G97" s="6" t="str">
        <f>TRIM(Dataset!G97)</f>
        <v>839 Main St</v>
      </c>
      <c r="H97" s="6" t="str">
        <f>TRIM(Dataset!H97)</f>
        <v>Debit Card</v>
      </c>
      <c r="I97" s="6" t="str">
        <f>TRIM(Dataset!I97)</f>
        <v>Returned</v>
      </c>
      <c r="J97" s="6" t="str">
        <f>TRIM(Dataset!J97)</f>
        <v>TRK60179774</v>
      </c>
      <c r="K97" s="8" t="str">
        <f>TRIM(Dataset!K97)</f>
        <v>7</v>
      </c>
      <c r="L97" s="6" t="s">
        <v>4284</v>
      </c>
      <c r="M97" s="6" t="str">
        <f>TRIM(Dataset!M97)</f>
        <v>Referral</v>
      </c>
      <c r="N97" s="10">
        <f>VALUE(TRIM(Dataset!N97))</f>
        <v>470.04</v>
      </c>
    </row>
    <row r="98" spans="1:14" x14ac:dyDescent="0.35">
      <c r="A98" s="6" t="str">
        <f>TRIM(Dataset!A98)</f>
        <v>ORD200096</v>
      </c>
      <c r="B98" s="4">
        <f>Dataset!B98</f>
        <v>45444</v>
      </c>
      <c r="C98" s="6" t="str">
        <f>TRIM(Dataset!C98)</f>
        <v>C93007</v>
      </c>
      <c r="D98" s="6" t="str">
        <f>TRIM(Dataset!D98)</f>
        <v>Phone</v>
      </c>
      <c r="E98" s="13">
        <f>VALUE(TRIM(Dataset!E98))</f>
        <v>2</v>
      </c>
      <c r="F98" s="10">
        <f>VALUE(TRIM(Dataset!F98))</f>
        <v>232.83</v>
      </c>
      <c r="G98" s="6" t="str">
        <f>TRIM(Dataset!G98)</f>
        <v>103 Main St</v>
      </c>
      <c r="H98" s="6" t="str">
        <f>TRIM(Dataset!H98)</f>
        <v>Gift Card</v>
      </c>
      <c r="I98" s="6" t="str">
        <f>TRIM(Dataset!I98)</f>
        <v>Delivered</v>
      </c>
      <c r="J98" s="6" t="str">
        <f>TRIM(Dataset!J98)</f>
        <v>TRK85696091</v>
      </c>
      <c r="K98" s="8" t="str">
        <f>TRIM(Dataset!K98)</f>
        <v>7</v>
      </c>
      <c r="L98" s="6" t="s">
        <v>4284</v>
      </c>
      <c r="M98" s="6" t="str">
        <f>TRIM(Dataset!M98)</f>
        <v>Instagram</v>
      </c>
      <c r="N98" s="10">
        <f>VALUE(TRIM(Dataset!N98))</f>
        <v>465.66</v>
      </c>
    </row>
    <row r="99" spans="1:14" x14ac:dyDescent="0.35">
      <c r="A99" s="6" t="str">
        <f>TRIM(Dataset!A99)</f>
        <v>ORD200097</v>
      </c>
      <c r="B99" s="4">
        <f>Dataset!B99</f>
        <v>45678</v>
      </c>
      <c r="C99" s="6" t="str">
        <f>TRIM(Dataset!C99)</f>
        <v>C15624</v>
      </c>
      <c r="D99" s="6" t="str">
        <f>TRIM(Dataset!D99)</f>
        <v>Tablet</v>
      </c>
      <c r="E99" s="13">
        <f>VALUE(TRIM(Dataset!E99))</f>
        <v>5</v>
      </c>
      <c r="F99" s="10">
        <f>VALUE(TRIM(Dataset!F99))</f>
        <v>619.52</v>
      </c>
      <c r="G99" s="6" t="str">
        <f>TRIM(Dataset!G99)</f>
        <v>922 Main St</v>
      </c>
      <c r="H99" s="6" t="str">
        <f>TRIM(Dataset!H99)</f>
        <v>Debit Card</v>
      </c>
      <c r="I99" s="6" t="str">
        <f>TRIM(Dataset!I99)</f>
        <v>Pending</v>
      </c>
      <c r="J99" s="6" t="str">
        <f>TRIM(Dataset!J99)</f>
        <v>TRK40621141</v>
      </c>
      <c r="K99" s="8" t="str">
        <f>TRIM(Dataset!K99)</f>
        <v>9</v>
      </c>
      <c r="L99" s="6" t="s">
        <v>4284</v>
      </c>
      <c r="M99" s="6" t="str">
        <f>TRIM(Dataset!M99)</f>
        <v>Email</v>
      </c>
      <c r="N99" s="10">
        <f>VALUE(TRIM(Dataset!N99))</f>
        <v>3097.6</v>
      </c>
    </row>
    <row r="100" spans="1:14" x14ac:dyDescent="0.35">
      <c r="A100" s="6" t="str">
        <f>TRIM(Dataset!A100)</f>
        <v>ORD200098</v>
      </c>
      <c r="B100" s="4">
        <f>Dataset!B100</f>
        <v>44940</v>
      </c>
      <c r="C100" s="6" t="str">
        <f>TRIM(Dataset!C100)</f>
        <v>C70921</v>
      </c>
      <c r="D100" s="6" t="str">
        <f>TRIM(Dataset!D100)</f>
        <v>Printer</v>
      </c>
      <c r="E100" s="13">
        <f>VALUE(TRIM(Dataset!E100))</f>
        <v>2</v>
      </c>
      <c r="F100" s="10">
        <f>VALUE(TRIM(Dataset!F100))</f>
        <v>228.54</v>
      </c>
      <c r="G100" s="6" t="str">
        <f>TRIM(Dataset!G100)</f>
        <v>533 Main St</v>
      </c>
      <c r="H100" s="6" t="str">
        <f>TRIM(Dataset!H100)</f>
        <v>Debit Card</v>
      </c>
      <c r="I100" s="6" t="str">
        <f>TRIM(Dataset!I100)</f>
        <v>Pending</v>
      </c>
      <c r="J100" s="6" t="str">
        <f>TRIM(Dataset!J100)</f>
        <v>TRK54983109</v>
      </c>
      <c r="K100" s="8" t="str">
        <f>TRIM(Dataset!K100)</f>
        <v>3</v>
      </c>
      <c r="L100" s="6" t="s">
        <v>4284</v>
      </c>
      <c r="M100" s="6" t="str">
        <f>TRIM(Dataset!M100)</f>
        <v>Email</v>
      </c>
      <c r="N100" s="10">
        <f>VALUE(TRIM(Dataset!N100))</f>
        <v>457.08</v>
      </c>
    </row>
    <row r="101" spans="1:14" x14ac:dyDescent="0.35">
      <c r="A101" s="6" t="str">
        <f>TRIM(Dataset!A101)</f>
        <v>ORD200099</v>
      </c>
      <c r="B101" s="4">
        <f>Dataset!B101</f>
        <v>45759</v>
      </c>
      <c r="C101" s="6" t="str">
        <f>TRIM(Dataset!C101)</f>
        <v>C30477</v>
      </c>
      <c r="D101" s="6" t="str">
        <f>TRIM(Dataset!D101)</f>
        <v>Printer</v>
      </c>
      <c r="E101" s="13">
        <f>VALUE(TRIM(Dataset!E101))</f>
        <v>1</v>
      </c>
      <c r="F101" s="10">
        <f>VALUE(TRIM(Dataset!F101))</f>
        <v>201.58</v>
      </c>
      <c r="G101" s="6" t="str">
        <f>TRIM(Dataset!G101)</f>
        <v>717 Main St</v>
      </c>
      <c r="H101" s="6" t="str">
        <f>TRIM(Dataset!H101)</f>
        <v>Debit Card</v>
      </c>
      <c r="I101" s="6" t="str">
        <f>TRIM(Dataset!I101)</f>
        <v>Cancelled</v>
      </c>
      <c r="J101" s="6" t="str">
        <f>TRIM(Dataset!J101)</f>
        <v>TRK51829648</v>
      </c>
      <c r="K101" s="8" t="str">
        <f>TRIM(Dataset!K101)</f>
        <v>2</v>
      </c>
      <c r="L101" s="6" t="str">
        <f>Dataset!L101</f>
        <v>WINTER15</v>
      </c>
      <c r="M101" s="6" t="str">
        <f>TRIM(Dataset!M101)</f>
        <v>Email</v>
      </c>
      <c r="N101" s="10">
        <f>VALUE(TRIM(Dataset!N101))</f>
        <v>201.58</v>
      </c>
    </row>
    <row r="102" spans="1:14" x14ac:dyDescent="0.35">
      <c r="A102" s="6" t="str">
        <f>TRIM(Dataset!A102)</f>
        <v>ORD200100</v>
      </c>
      <c r="B102" s="4">
        <f>Dataset!B102</f>
        <v>44974</v>
      </c>
      <c r="C102" s="6" t="str">
        <f>TRIM(Dataset!C102)</f>
        <v>C74866</v>
      </c>
      <c r="D102" s="6" t="str">
        <f>TRIM(Dataset!D102)</f>
        <v>Phone</v>
      </c>
      <c r="E102" s="13">
        <f>VALUE(TRIM(Dataset!E102))</f>
        <v>3</v>
      </c>
      <c r="F102" s="10">
        <f>VALUE(TRIM(Dataset!F102))</f>
        <v>664.79</v>
      </c>
      <c r="G102" s="6" t="str">
        <f>TRIM(Dataset!G102)</f>
        <v>743 Main St</v>
      </c>
      <c r="H102" s="6" t="str">
        <f>TRIM(Dataset!H102)</f>
        <v>Online</v>
      </c>
      <c r="I102" s="6" t="str">
        <f>TRIM(Dataset!I102)</f>
        <v>Delivered</v>
      </c>
      <c r="J102" s="6" t="str">
        <f>TRIM(Dataset!J102)</f>
        <v>TRK53783265</v>
      </c>
      <c r="K102" s="8" t="str">
        <f>TRIM(Dataset!K102)</f>
        <v>6</v>
      </c>
      <c r="L102" s="6" t="s">
        <v>4284</v>
      </c>
      <c r="M102" s="6" t="str">
        <f>TRIM(Dataset!M102)</f>
        <v>Facebook</v>
      </c>
      <c r="N102" s="10">
        <f>VALUE(TRIM(Dataset!N102))</f>
        <v>1994.37</v>
      </c>
    </row>
    <row r="103" spans="1:14" x14ac:dyDescent="0.35">
      <c r="A103" s="6" t="str">
        <f>TRIM(Dataset!A103)</f>
        <v>ORD200101</v>
      </c>
      <c r="B103" s="4">
        <f>Dataset!B103</f>
        <v>45255</v>
      </c>
      <c r="C103" s="6" t="str">
        <f>TRIM(Dataset!C103)</f>
        <v>C15283</v>
      </c>
      <c r="D103" s="6" t="str">
        <f>TRIM(Dataset!D103)</f>
        <v>Printer</v>
      </c>
      <c r="E103" s="13">
        <f>VALUE(TRIM(Dataset!E103))</f>
        <v>1</v>
      </c>
      <c r="F103" s="10">
        <f>VALUE(TRIM(Dataset!F103))</f>
        <v>381.02</v>
      </c>
      <c r="G103" s="6" t="str">
        <f>TRIM(Dataset!G103)</f>
        <v>152 Main St</v>
      </c>
      <c r="H103" s="6" t="str">
        <f>TRIM(Dataset!H103)</f>
        <v>Cash</v>
      </c>
      <c r="I103" s="6" t="str">
        <f>TRIM(Dataset!I103)</f>
        <v>Shipped</v>
      </c>
      <c r="J103" s="6" t="str">
        <f>TRIM(Dataset!J103)</f>
        <v>TRK19286291</v>
      </c>
      <c r="K103" s="8" t="str">
        <f>TRIM(Dataset!K103)</f>
        <v>6</v>
      </c>
      <c r="L103" s="6" t="s">
        <v>4284</v>
      </c>
      <c r="M103" s="6" t="str">
        <f>TRIM(Dataset!M103)</f>
        <v>Google</v>
      </c>
      <c r="N103" s="10">
        <f>VALUE(TRIM(Dataset!N103))</f>
        <v>381.02</v>
      </c>
    </row>
    <row r="104" spans="1:14" x14ac:dyDescent="0.35">
      <c r="A104" s="6" t="str">
        <f>TRIM(Dataset!A104)</f>
        <v>ORD200102</v>
      </c>
      <c r="B104" s="4">
        <f>Dataset!B104</f>
        <v>44993</v>
      </c>
      <c r="C104" s="6" t="str">
        <f>TRIM(Dataset!C104)</f>
        <v>C18037</v>
      </c>
      <c r="D104" s="6" t="str">
        <f>TRIM(Dataset!D104)</f>
        <v>Laptop</v>
      </c>
      <c r="E104" s="13">
        <f>VALUE(TRIM(Dataset!E104))</f>
        <v>2</v>
      </c>
      <c r="F104" s="10">
        <f>VALUE(TRIM(Dataset!F104))</f>
        <v>70.34</v>
      </c>
      <c r="G104" s="6" t="str">
        <f>TRIM(Dataset!G104)</f>
        <v>944 Main St</v>
      </c>
      <c r="H104" s="6" t="str">
        <f>TRIM(Dataset!H104)</f>
        <v>Gift Card</v>
      </c>
      <c r="I104" s="6" t="str">
        <f>TRIM(Dataset!I104)</f>
        <v>Cancelled</v>
      </c>
      <c r="J104" s="6" t="str">
        <f>TRIM(Dataset!J104)</f>
        <v>TRK47362236</v>
      </c>
      <c r="K104" s="8" t="str">
        <f>TRIM(Dataset!K104)</f>
        <v>3</v>
      </c>
      <c r="L104" s="6" t="str">
        <f>Dataset!L104</f>
        <v>FREESHIP</v>
      </c>
      <c r="M104" s="6" t="str">
        <f>TRIM(Dataset!M104)</f>
        <v>Email</v>
      </c>
      <c r="N104" s="10">
        <f>VALUE(TRIM(Dataset!N104))</f>
        <v>140.68</v>
      </c>
    </row>
    <row r="105" spans="1:14" x14ac:dyDescent="0.35">
      <c r="A105" s="6" t="str">
        <f>TRIM(Dataset!A105)</f>
        <v>ORD200103</v>
      </c>
      <c r="B105" s="4">
        <f>Dataset!B105</f>
        <v>45682</v>
      </c>
      <c r="C105" s="6" t="str">
        <f>TRIM(Dataset!C105)</f>
        <v>C62656</v>
      </c>
      <c r="D105" s="6" t="str">
        <f>TRIM(Dataset!D105)</f>
        <v>Phone</v>
      </c>
      <c r="E105" s="13">
        <f>VALUE(TRIM(Dataset!E105))</f>
        <v>4</v>
      </c>
      <c r="F105" s="10">
        <f>VALUE(TRIM(Dataset!F105))</f>
        <v>218.43</v>
      </c>
      <c r="G105" s="6" t="str">
        <f>TRIM(Dataset!G105)</f>
        <v>514 Main St</v>
      </c>
      <c r="H105" s="6" t="str">
        <f>TRIM(Dataset!H105)</f>
        <v>Credit Card</v>
      </c>
      <c r="I105" s="6" t="str">
        <f>TRIM(Dataset!I105)</f>
        <v>Cancelled</v>
      </c>
      <c r="J105" s="6" t="str">
        <f>TRIM(Dataset!J105)</f>
        <v>TRK86296459</v>
      </c>
      <c r="K105" s="8" t="str">
        <f>TRIM(Dataset!K105)</f>
        <v>9</v>
      </c>
      <c r="L105" s="6" t="str">
        <f>Dataset!L105</f>
        <v>SAVE10</v>
      </c>
      <c r="M105" s="6" t="str">
        <f>TRIM(Dataset!M105)</f>
        <v>Email</v>
      </c>
      <c r="N105" s="10">
        <f>VALUE(TRIM(Dataset!N105))</f>
        <v>873.72</v>
      </c>
    </row>
    <row r="106" spans="1:14" x14ac:dyDescent="0.35">
      <c r="A106" s="6" t="str">
        <f>TRIM(Dataset!A106)</f>
        <v>ORD200104</v>
      </c>
      <c r="B106" s="4">
        <f>Dataset!B106</f>
        <v>45503</v>
      </c>
      <c r="C106" s="6" t="str">
        <f>TRIM(Dataset!C106)</f>
        <v>C65744</v>
      </c>
      <c r="D106" s="6" t="str">
        <f>TRIM(Dataset!D106)</f>
        <v>Phone</v>
      </c>
      <c r="E106" s="13">
        <f>VALUE(TRIM(Dataset!E106))</f>
        <v>1</v>
      </c>
      <c r="F106" s="10">
        <f>VALUE(TRIM(Dataset!F106))</f>
        <v>582.04</v>
      </c>
      <c r="G106" s="6" t="str">
        <f>TRIM(Dataset!G106)</f>
        <v>647 Main St</v>
      </c>
      <c r="H106" s="6" t="str">
        <f>TRIM(Dataset!H106)</f>
        <v>Gift Card</v>
      </c>
      <c r="I106" s="6" t="str">
        <f>TRIM(Dataset!I106)</f>
        <v>Delivered</v>
      </c>
      <c r="J106" s="6" t="str">
        <f>TRIM(Dataset!J106)</f>
        <v>TRK39906058</v>
      </c>
      <c r="K106" s="8" t="str">
        <f>TRIM(Dataset!K106)</f>
        <v>1</v>
      </c>
      <c r="L106" s="6" t="str">
        <f>Dataset!L106</f>
        <v>FREESHIP</v>
      </c>
      <c r="M106" s="6" t="str">
        <f>TRIM(Dataset!M106)</f>
        <v>Email</v>
      </c>
      <c r="N106" s="10">
        <f>VALUE(TRIM(Dataset!N106))</f>
        <v>582.04</v>
      </c>
    </row>
    <row r="107" spans="1:14" x14ac:dyDescent="0.35">
      <c r="A107" s="6" t="str">
        <f>TRIM(Dataset!A107)</f>
        <v>ORD200105</v>
      </c>
      <c r="B107" s="4">
        <f>Dataset!B107</f>
        <v>45589</v>
      </c>
      <c r="C107" s="6" t="str">
        <f>TRIM(Dataset!C107)</f>
        <v>C72290</v>
      </c>
      <c r="D107" s="6" t="str">
        <f>TRIM(Dataset!D107)</f>
        <v>Printer</v>
      </c>
      <c r="E107" s="13">
        <f>VALUE(TRIM(Dataset!E107))</f>
        <v>3</v>
      </c>
      <c r="F107" s="10">
        <f>VALUE(TRIM(Dataset!F107))</f>
        <v>185.4</v>
      </c>
      <c r="G107" s="6" t="str">
        <f>TRIM(Dataset!G107)</f>
        <v>810 Main St</v>
      </c>
      <c r="H107" s="6" t="str">
        <f>TRIM(Dataset!H107)</f>
        <v>Gift Card</v>
      </c>
      <c r="I107" s="6" t="str">
        <f>TRIM(Dataset!I107)</f>
        <v>Cancelled</v>
      </c>
      <c r="J107" s="6" t="str">
        <f>TRIM(Dataset!J107)</f>
        <v>TRK68792129</v>
      </c>
      <c r="K107" s="8" t="str">
        <f>TRIM(Dataset!K107)</f>
        <v>7</v>
      </c>
      <c r="L107" s="6" t="s">
        <v>4284</v>
      </c>
      <c r="M107" s="6" t="str">
        <f>TRIM(Dataset!M107)</f>
        <v>Facebook</v>
      </c>
      <c r="N107" s="10">
        <f>VALUE(TRIM(Dataset!N107))</f>
        <v>556.20000000000005</v>
      </c>
    </row>
    <row r="108" spans="1:14" x14ac:dyDescent="0.35">
      <c r="A108" s="6" t="str">
        <f>TRIM(Dataset!A108)</f>
        <v>ORD200106</v>
      </c>
      <c r="B108" s="4">
        <f>Dataset!B108</f>
        <v>45177</v>
      </c>
      <c r="C108" s="6" t="str">
        <f>TRIM(Dataset!C108)</f>
        <v>C73514</v>
      </c>
      <c r="D108" s="6" t="str">
        <f>TRIM(Dataset!D108)</f>
        <v>Desk</v>
      </c>
      <c r="E108" s="13">
        <f>VALUE(TRIM(Dataset!E108))</f>
        <v>3</v>
      </c>
      <c r="F108" s="10">
        <f>VALUE(TRIM(Dataset!F108))</f>
        <v>465.05</v>
      </c>
      <c r="G108" s="6" t="str">
        <f>TRIM(Dataset!G108)</f>
        <v>126 Main St</v>
      </c>
      <c r="H108" s="6" t="str">
        <f>TRIM(Dataset!H108)</f>
        <v>Credit Card</v>
      </c>
      <c r="I108" s="6" t="str">
        <f>TRIM(Dataset!I108)</f>
        <v>Cancelled</v>
      </c>
      <c r="J108" s="6" t="str">
        <f>TRIM(Dataset!J108)</f>
        <v>TRK96777924</v>
      </c>
      <c r="K108" s="8" t="str">
        <f>TRIM(Dataset!K108)</f>
        <v>3</v>
      </c>
      <c r="L108" s="6" t="str">
        <f>Dataset!L108</f>
        <v>SAVE10</v>
      </c>
      <c r="M108" s="6" t="str">
        <f>TRIM(Dataset!M108)</f>
        <v>Email</v>
      </c>
      <c r="N108" s="10">
        <f>VALUE(TRIM(Dataset!N108))</f>
        <v>1395.15</v>
      </c>
    </row>
    <row r="109" spans="1:14" x14ac:dyDescent="0.35">
      <c r="A109" s="6" t="str">
        <f>TRIM(Dataset!A109)</f>
        <v>ORD200107</v>
      </c>
      <c r="B109" s="4">
        <f>Dataset!B109</f>
        <v>45012</v>
      </c>
      <c r="C109" s="6" t="str">
        <f>TRIM(Dataset!C109)</f>
        <v>C16775</v>
      </c>
      <c r="D109" s="6" t="str">
        <f>TRIM(Dataset!D109)</f>
        <v>Printer</v>
      </c>
      <c r="E109" s="13">
        <f>VALUE(TRIM(Dataset!E109))</f>
        <v>5</v>
      </c>
      <c r="F109" s="10">
        <f>VALUE(TRIM(Dataset!F109))</f>
        <v>670.75</v>
      </c>
      <c r="G109" s="6" t="str">
        <f>TRIM(Dataset!G109)</f>
        <v>848 Main St</v>
      </c>
      <c r="H109" s="6" t="str">
        <f>TRIM(Dataset!H109)</f>
        <v>Gift Card</v>
      </c>
      <c r="I109" s="6" t="str">
        <f>TRIM(Dataset!I109)</f>
        <v>Shipped</v>
      </c>
      <c r="J109" s="6" t="str">
        <f>TRIM(Dataset!J109)</f>
        <v>TRK34392124</v>
      </c>
      <c r="K109" s="8" t="str">
        <f>TRIM(Dataset!K109)</f>
        <v>8</v>
      </c>
      <c r="L109" s="6" t="str">
        <f>Dataset!L109</f>
        <v>FREESHIP</v>
      </c>
      <c r="M109" s="6" t="str">
        <f>TRIM(Dataset!M109)</f>
        <v>Instagram</v>
      </c>
      <c r="N109" s="10">
        <f>VALUE(TRIM(Dataset!N109))</f>
        <v>3353.75</v>
      </c>
    </row>
    <row r="110" spans="1:14" x14ac:dyDescent="0.35">
      <c r="A110" s="6" t="str">
        <f>TRIM(Dataset!A110)</f>
        <v>ORD200108</v>
      </c>
      <c r="B110" s="4">
        <f>Dataset!B110</f>
        <v>45654</v>
      </c>
      <c r="C110" s="6" t="str">
        <f>TRIM(Dataset!C110)</f>
        <v>C33099</v>
      </c>
      <c r="D110" s="6" t="str">
        <f>TRIM(Dataset!D110)</f>
        <v>Laptop</v>
      </c>
      <c r="E110" s="13">
        <f>VALUE(TRIM(Dataset!E110))</f>
        <v>5</v>
      </c>
      <c r="F110" s="10">
        <f>VALUE(TRIM(Dataset!F110))</f>
        <v>48.38</v>
      </c>
      <c r="G110" s="6" t="str">
        <f>TRIM(Dataset!G110)</f>
        <v>522 Main St</v>
      </c>
      <c r="H110" s="6" t="str">
        <f>TRIM(Dataset!H110)</f>
        <v>Gift Card</v>
      </c>
      <c r="I110" s="6" t="str">
        <f>TRIM(Dataset!I110)</f>
        <v>Delivered</v>
      </c>
      <c r="J110" s="6" t="str">
        <f>TRIM(Dataset!J110)</f>
        <v>TRK28522330</v>
      </c>
      <c r="K110" s="8" t="str">
        <f>TRIM(Dataset!K110)</f>
        <v>9</v>
      </c>
      <c r="L110" s="6" t="str">
        <f>Dataset!L110</f>
        <v>WINTER15</v>
      </c>
      <c r="M110" s="6" t="str">
        <f>TRIM(Dataset!M110)</f>
        <v>Email</v>
      </c>
      <c r="N110" s="10">
        <f>VALUE(TRIM(Dataset!N110))</f>
        <v>241.9</v>
      </c>
    </row>
    <row r="111" spans="1:14" x14ac:dyDescent="0.35">
      <c r="A111" s="6" t="str">
        <f>TRIM(Dataset!A111)</f>
        <v>ORD200109</v>
      </c>
      <c r="B111" s="4">
        <f>Dataset!B111</f>
        <v>45186</v>
      </c>
      <c r="C111" s="6" t="str">
        <f>TRIM(Dataset!C111)</f>
        <v>C51157</v>
      </c>
      <c r="D111" s="6" t="str">
        <f>TRIM(Dataset!D111)</f>
        <v>Desk</v>
      </c>
      <c r="E111" s="13">
        <f>VALUE(TRIM(Dataset!E111))</f>
        <v>3</v>
      </c>
      <c r="F111" s="10">
        <f>VALUE(TRIM(Dataset!F111))</f>
        <v>592.87</v>
      </c>
      <c r="G111" s="6" t="str">
        <f>TRIM(Dataset!G111)</f>
        <v>131 Main St</v>
      </c>
      <c r="H111" s="6" t="str">
        <f>TRIM(Dataset!H111)</f>
        <v>Gift Card</v>
      </c>
      <c r="I111" s="6" t="str">
        <f>TRIM(Dataset!I111)</f>
        <v>Shipped</v>
      </c>
      <c r="J111" s="6" t="str">
        <f>TRIM(Dataset!J111)</f>
        <v>TRK18674578</v>
      </c>
      <c r="K111" s="8" t="str">
        <f>TRIM(Dataset!K111)</f>
        <v>3</v>
      </c>
      <c r="L111" s="6" t="str">
        <f>Dataset!L111</f>
        <v>FREESHIP</v>
      </c>
      <c r="M111" s="6" t="str">
        <f>TRIM(Dataset!M111)</f>
        <v>Referral</v>
      </c>
      <c r="N111" s="10">
        <f>VALUE(TRIM(Dataset!N111))</f>
        <v>1778.61</v>
      </c>
    </row>
    <row r="112" spans="1:14" x14ac:dyDescent="0.35">
      <c r="A112" s="6" t="str">
        <f>TRIM(Dataset!A112)</f>
        <v>ORD200110</v>
      </c>
      <c r="B112" s="4">
        <f>Dataset!B112</f>
        <v>45403</v>
      </c>
      <c r="C112" s="6" t="str">
        <f>TRIM(Dataset!C112)</f>
        <v>C74562</v>
      </c>
      <c r="D112" s="6" t="str">
        <f>TRIM(Dataset!D112)</f>
        <v>Tablet</v>
      </c>
      <c r="E112" s="13">
        <f>VALUE(TRIM(Dataset!E112))</f>
        <v>1</v>
      </c>
      <c r="F112" s="10">
        <f>VALUE(TRIM(Dataset!F112))</f>
        <v>220.77</v>
      </c>
      <c r="G112" s="6" t="str">
        <f>TRIM(Dataset!G112)</f>
        <v>388 Main St</v>
      </c>
      <c r="H112" s="6" t="str">
        <f>TRIM(Dataset!H112)</f>
        <v>Gift Card</v>
      </c>
      <c r="I112" s="6" t="str">
        <f>TRIM(Dataset!I112)</f>
        <v>Pending</v>
      </c>
      <c r="J112" s="6" t="str">
        <f>TRIM(Dataset!J112)</f>
        <v>TRK32062079</v>
      </c>
      <c r="K112" s="8" t="str">
        <f>TRIM(Dataset!K112)</f>
        <v>5</v>
      </c>
      <c r="L112" s="6" t="str">
        <f>Dataset!L112</f>
        <v>FREESHIP</v>
      </c>
      <c r="M112" s="6" t="str">
        <f>TRIM(Dataset!M112)</f>
        <v>Instagram</v>
      </c>
      <c r="N112" s="10">
        <f>VALUE(TRIM(Dataset!N112))</f>
        <v>220.77</v>
      </c>
    </row>
    <row r="113" spans="1:14" x14ac:dyDescent="0.35">
      <c r="A113" s="6" t="str">
        <f>TRIM(Dataset!A113)</f>
        <v>ORD200111</v>
      </c>
      <c r="B113" s="4">
        <f>Dataset!B113</f>
        <v>45784</v>
      </c>
      <c r="C113" s="6" t="str">
        <f>TRIM(Dataset!C113)</f>
        <v>C95271</v>
      </c>
      <c r="D113" s="6" t="str">
        <f>TRIM(Dataset!D113)</f>
        <v>Desk</v>
      </c>
      <c r="E113" s="13">
        <f>VALUE(TRIM(Dataset!E113))</f>
        <v>3</v>
      </c>
      <c r="F113" s="10">
        <f>VALUE(TRIM(Dataset!F113))</f>
        <v>309.22000000000003</v>
      </c>
      <c r="G113" s="6" t="str">
        <f>TRIM(Dataset!G113)</f>
        <v>620 Main St</v>
      </c>
      <c r="H113" s="6" t="str">
        <f>TRIM(Dataset!H113)</f>
        <v>Online</v>
      </c>
      <c r="I113" s="6" t="str">
        <f>TRIM(Dataset!I113)</f>
        <v>Cancelled</v>
      </c>
      <c r="J113" s="6" t="str">
        <f>TRIM(Dataset!J113)</f>
        <v>TRK74904969</v>
      </c>
      <c r="K113" s="8" t="str">
        <f>TRIM(Dataset!K113)</f>
        <v>7</v>
      </c>
      <c r="L113" s="6" t="str">
        <f>Dataset!L113</f>
        <v>FREESHIP</v>
      </c>
      <c r="M113" s="6" t="str">
        <f>TRIM(Dataset!M113)</f>
        <v>Google</v>
      </c>
      <c r="N113" s="10">
        <f>VALUE(TRIM(Dataset!N113))</f>
        <v>927.66</v>
      </c>
    </row>
    <row r="114" spans="1:14" x14ac:dyDescent="0.35">
      <c r="A114" s="6" t="str">
        <f>TRIM(Dataset!A114)</f>
        <v>ORD200112</v>
      </c>
      <c r="B114" s="4">
        <f>Dataset!B114</f>
        <v>44927</v>
      </c>
      <c r="C114" s="6" t="str">
        <f>TRIM(Dataset!C114)</f>
        <v>C81366</v>
      </c>
      <c r="D114" s="6" t="str">
        <f>TRIM(Dataset!D114)</f>
        <v>Monitor</v>
      </c>
      <c r="E114" s="13">
        <f>VALUE(TRIM(Dataset!E114))</f>
        <v>1</v>
      </c>
      <c r="F114" s="10">
        <f>VALUE(TRIM(Dataset!F114))</f>
        <v>410.6</v>
      </c>
      <c r="G114" s="6" t="str">
        <f>TRIM(Dataset!G114)</f>
        <v>423 Main St</v>
      </c>
      <c r="H114" s="6" t="str">
        <f>TRIM(Dataset!H114)</f>
        <v>Online</v>
      </c>
      <c r="I114" s="6" t="str">
        <f>TRIM(Dataset!I114)</f>
        <v>Cancelled</v>
      </c>
      <c r="J114" s="6" t="str">
        <f>TRIM(Dataset!J114)</f>
        <v>TRK17062206</v>
      </c>
      <c r="K114" s="8" t="str">
        <f>TRIM(Dataset!K114)</f>
        <v>2</v>
      </c>
      <c r="L114" s="6" t="str">
        <f>Dataset!L114</f>
        <v>WINTER15</v>
      </c>
      <c r="M114" s="6" t="str">
        <f>TRIM(Dataset!M114)</f>
        <v>Referral</v>
      </c>
      <c r="N114" s="10">
        <f>VALUE(TRIM(Dataset!N114))</f>
        <v>410.6</v>
      </c>
    </row>
    <row r="115" spans="1:14" x14ac:dyDescent="0.35">
      <c r="A115" s="6" t="str">
        <f>TRIM(Dataset!A115)</f>
        <v>ORD200113</v>
      </c>
      <c r="B115" s="4">
        <f>Dataset!B115</f>
        <v>45308</v>
      </c>
      <c r="C115" s="6" t="str">
        <f>TRIM(Dataset!C115)</f>
        <v>C65905</v>
      </c>
      <c r="D115" s="6" t="str">
        <f>TRIM(Dataset!D115)</f>
        <v>Laptop</v>
      </c>
      <c r="E115" s="13">
        <f>VALUE(TRIM(Dataset!E115))</f>
        <v>5</v>
      </c>
      <c r="F115" s="10">
        <f>VALUE(TRIM(Dataset!F115))</f>
        <v>190.08</v>
      </c>
      <c r="G115" s="6" t="str">
        <f>TRIM(Dataset!G115)</f>
        <v>605 Main St</v>
      </c>
      <c r="H115" s="6" t="str">
        <f>TRIM(Dataset!H115)</f>
        <v>Cash</v>
      </c>
      <c r="I115" s="6" t="str">
        <f>TRIM(Dataset!I115)</f>
        <v>Shipped</v>
      </c>
      <c r="J115" s="6" t="str">
        <f>TRIM(Dataset!J115)</f>
        <v>TRK73954365</v>
      </c>
      <c r="K115" s="8" t="str">
        <f>TRIM(Dataset!K115)</f>
        <v>9</v>
      </c>
      <c r="L115" s="6" t="str">
        <f>Dataset!L115</f>
        <v>FREESHIP</v>
      </c>
      <c r="M115" s="6" t="str">
        <f>TRIM(Dataset!M115)</f>
        <v>Instagram</v>
      </c>
      <c r="N115" s="10">
        <f>VALUE(TRIM(Dataset!N115))</f>
        <v>950.4</v>
      </c>
    </row>
    <row r="116" spans="1:14" x14ac:dyDescent="0.35">
      <c r="A116" s="6" t="str">
        <f>TRIM(Dataset!A116)</f>
        <v>ORD200114</v>
      </c>
      <c r="B116" s="4">
        <f>Dataset!B116</f>
        <v>45684</v>
      </c>
      <c r="C116" s="6" t="str">
        <f>TRIM(Dataset!C116)</f>
        <v>C77272</v>
      </c>
      <c r="D116" s="6" t="str">
        <f>TRIM(Dataset!D116)</f>
        <v>Monitor</v>
      </c>
      <c r="E116" s="13">
        <f>VALUE(TRIM(Dataset!E116))</f>
        <v>5</v>
      </c>
      <c r="F116" s="10">
        <f>VALUE(TRIM(Dataset!F116))</f>
        <v>498.48</v>
      </c>
      <c r="G116" s="6" t="str">
        <f>TRIM(Dataset!G116)</f>
        <v>115 Main St</v>
      </c>
      <c r="H116" s="6" t="str">
        <f>TRIM(Dataset!H116)</f>
        <v>Online</v>
      </c>
      <c r="I116" s="6" t="str">
        <f>TRIM(Dataset!I116)</f>
        <v>Pending</v>
      </c>
      <c r="J116" s="6" t="str">
        <f>TRIM(Dataset!J116)</f>
        <v>TRK29708128</v>
      </c>
      <c r="K116" s="8" t="str">
        <f>TRIM(Dataset!K116)</f>
        <v>8</v>
      </c>
      <c r="L116" s="6" t="str">
        <f>Dataset!L116</f>
        <v>SAVE10</v>
      </c>
      <c r="M116" s="6" t="str">
        <f>TRIM(Dataset!M116)</f>
        <v>Google</v>
      </c>
      <c r="N116" s="10">
        <f>VALUE(TRIM(Dataset!N116))</f>
        <v>2492.4</v>
      </c>
    </row>
    <row r="117" spans="1:14" x14ac:dyDescent="0.35">
      <c r="A117" s="6" t="str">
        <f>TRIM(Dataset!A117)</f>
        <v>ORD200115</v>
      </c>
      <c r="B117" s="4">
        <f>Dataset!B117</f>
        <v>45257</v>
      </c>
      <c r="C117" s="6" t="str">
        <f>TRIM(Dataset!C117)</f>
        <v>C32580</v>
      </c>
      <c r="D117" s="6" t="str">
        <f>TRIM(Dataset!D117)</f>
        <v>Phone</v>
      </c>
      <c r="E117" s="13">
        <f>VALUE(TRIM(Dataset!E117))</f>
        <v>5</v>
      </c>
      <c r="F117" s="10">
        <f>VALUE(TRIM(Dataset!F117))</f>
        <v>374.99</v>
      </c>
      <c r="G117" s="6" t="str">
        <f>TRIM(Dataset!G117)</f>
        <v>122 Main St</v>
      </c>
      <c r="H117" s="6" t="str">
        <f>TRIM(Dataset!H117)</f>
        <v>Online</v>
      </c>
      <c r="I117" s="6" t="str">
        <f>TRIM(Dataset!I117)</f>
        <v>Shipped</v>
      </c>
      <c r="J117" s="6" t="str">
        <f>TRIM(Dataset!J117)</f>
        <v>TRK23670394</v>
      </c>
      <c r="K117" s="8" t="str">
        <f>TRIM(Dataset!K117)</f>
        <v>9</v>
      </c>
      <c r="L117" s="6" t="str">
        <f>Dataset!L117</f>
        <v>SAVE10</v>
      </c>
      <c r="M117" s="6" t="str">
        <f>TRIM(Dataset!M117)</f>
        <v>Facebook</v>
      </c>
      <c r="N117" s="10">
        <f>VALUE(TRIM(Dataset!N117))</f>
        <v>1874.95</v>
      </c>
    </row>
    <row r="118" spans="1:14" x14ac:dyDescent="0.35">
      <c r="A118" s="6" t="str">
        <f>TRIM(Dataset!A118)</f>
        <v>ORD200116</v>
      </c>
      <c r="B118" s="4">
        <f>Dataset!B118</f>
        <v>45004</v>
      </c>
      <c r="C118" s="6" t="str">
        <f>TRIM(Dataset!C118)</f>
        <v>C47761</v>
      </c>
      <c r="D118" s="6" t="str">
        <f>TRIM(Dataset!D118)</f>
        <v>Printer</v>
      </c>
      <c r="E118" s="13">
        <f>VALUE(TRIM(Dataset!E118))</f>
        <v>4</v>
      </c>
      <c r="F118" s="10">
        <f>VALUE(TRIM(Dataset!F118))</f>
        <v>291.35000000000002</v>
      </c>
      <c r="G118" s="6" t="str">
        <f>TRIM(Dataset!G118)</f>
        <v>109 Main St</v>
      </c>
      <c r="H118" s="6" t="str">
        <f>TRIM(Dataset!H118)</f>
        <v>Credit Card</v>
      </c>
      <c r="I118" s="6" t="str">
        <f>TRIM(Dataset!I118)</f>
        <v>Cancelled</v>
      </c>
      <c r="J118" s="6" t="str">
        <f>TRIM(Dataset!J118)</f>
        <v>TRK66669207</v>
      </c>
      <c r="K118" s="8" t="str">
        <f>TRIM(Dataset!K118)</f>
        <v>6</v>
      </c>
      <c r="L118" s="6" t="str">
        <f>Dataset!L118</f>
        <v>WINTER15</v>
      </c>
      <c r="M118" s="6" t="str">
        <f>TRIM(Dataset!M118)</f>
        <v>Facebook</v>
      </c>
      <c r="N118" s="10">
        <f>VALUE(TRIM(Dataset!N118))</f>
        <v>1165.4000000000001</v>
      </c>
    </row>
    <row r="119" spans="1:14" x14ac:dyDescent="0.35">
      <c r="A119" s="6" t="str">
        <f>TRIM(Dataset!A119)</f>
        <v>ORD200117</v>
      </c>
      <c r="B119" s="4">
        <f>Dataset!B119</f>
        <v>44993</v>
      </c>
      <c r="C119" s="6" t="str">
        <f>TRIM(Dataset!C119)</f>
        <v>C49187</v>
      </c>
      <c r="D119" s="6" t="str">
        <f>TRIM(Dataset!D119)</f>
        <v>Tablet</v>
      </c>
      <c r="E119" s="13">
        <f>VALUE(TRIM(Dataset!E119))</f>
        <v>1</v>
      </c>
      <c r="F119" s="10">
        <f>VALUE(TRIM(Dataset!F119))</f>
        <v>535.5</v>
      </c>
      <c r="G119" s="6" t="str">
        <f>TRIM(Dataset!G119)</f>
        <v>593 Main St</v>
      </c>
      <c r="H119" s="6" t="str">
        <f>TRIM(Dataset!H119)</f>
        <v>Gift Card</v>
      </c>
      <c r="I119" s="6" t="str">
        <f>TRIM(Dataset!I119)</f>
        <v>Cancelled</v>
      </c>
      <c r="J119" s="6" t="str">
        <f>TRIM(Dataset!J119)</f>
        <v>TRK81888598</v>
      </c>
      <c r="K119" s="8" t="str">
        <f>TRIM(Dataset!K119)</f>
        <v>5</v>
      </c>
      <c r="L119" s="6" t="str">
        <f>Dataset!L119</f>
        <v>WINTER15</v>
      </c>
      <c r="M119" s="6" t="str">
        <f>TRIM(Dataset!M119)</f>
        <v>Referral</v>
      </c>
      <c r="N119" s="10">
        <f>VALUE(TRIM(Dataset!N119))</f>
        <v>535.5</v>
      </c>
    </row>
    <row r="120" spans="1:14" x14ac:dyDescent="0.35">
      <c r="A120" s="6" t="str">
        <f>TRIM(Dataset!A120)</f>
        <v>ORD200118</v>
      </c>
      <c r="B120" s="4">
        <f>Dataset!B120</f>
        <v>45208</v>
      </c>
      <c r="C120" s="6" t="str">
        <f>TRIM(Dataset!C120)</f>
        <v>C27898</v>
      </c>
      <c r="D120" s="6" t="str">
        <f>TRIM(Dataset!D120)</f>
        <v>Printer</v>
      </c>
      <c r="E120" s="13">
        <f>VALUE(TRIM(Dataset!E120))</f>
        <v>5</v>
      </c>
      <c r="F120" s="10">
        <f>VALUE(TRIM(Dataset!F120))</f>
        <v>502.71</v>
      </c>
      <c r="G120" s="6" t="str">
        <f>TRIM(Dataset!G120)</f>
        <v>807 Main St</v>
      </c>
      <c r="H120" s="6" t="str">
        <f>TRIM(Dataset!H120)</f>
        <v>Gift Card</v>
      </c>
      <c r="I120" s="6" t="str">
        <f>TRIM(Dataset!I120)</f>
        <v>Shipped</v>
      </c>
      <c r="J120" s="6" t="str">
        <f>TRIM(Dataset!J120)</f>
        <v>TRK61957665</v>
      </c>
      <c r="K120" s="8" t="str">
        <f>TRIM(Dataset!K120)</f>
        <v>7</v>
      </c>
      <c r="L120" s="6" t="str">
        <f>Dataset!L120</f>
        <v>FREESHIP</v>
      </c>
      <c r="M120" s="6" t="str">
        <f>TRIM(Dataset!M120)</f>
        <v>Google</v>
      </c>
      <c r="N120" s="10">
        <f>VALUE(TRIM(Dataset!N120))</f>
        <v>2513.5500000000002</v>
      </c>
    </row>
    <row r="121" spans="1:14" x14ac:dyDescent="0.35">
      <c r="A121" s="6" t="str">
        <f>TRIM(Dataset!A121)</f>
        <v>ORD200119</v>
      </c>
      <c r="B121" s="4">
        <f>Dataset!B121</f>
        <v>45819</v>
      </c>
      <c r="C121" s="6" t="str">
        <f>TRIM(Dataset!C121)</f>
        <v>C14683</v>
      </c>
      <c r="D121" s="6" t="str">
        <f>TRIM(Dataset!D121)</f>
        <v>Desk</v>
      </c>
      <c r="E121" s="13">
        <f>VALUE(TRIM(Dataset!E121))</f>
        <v>2</v>
      </c>
      <c r="F121" s="10">
        <f>VALUE(TRIM(Dataset!F121))</f>
        <v>534.66999999999996</v>
      </c>
      <c r="G121" s="6" t="str">
        <f>TRIM(Dataset!G121)</f>
        <v>187 Main St</v>
      </c>
      <c r="H121" s="6" t="str">
        <f>TRIM(Dataset!H121)</f>
        <v>Debit Card</v>
      </c>
      <c r="I121" s="6" t="str">
        <f>TRIM(Dataset!I121)</f>
        <v>Shipped</v>
      </c>
      <c r="J121" s="6" t="str">
        <f>TRIM(Dataset!J121)</f>
        <v>TRK47373682</v>
      </c>
      <c r="K121" s="8" t="str">
        <f>TRIM(Dataset!K121)</f>
        <v>7</v>
      </c>
      <c r="L121" s="6" t="str">
        <f>Dataset!L121</f>
        <v>FREESHIP</v>
      </c>
      <c r="M121" s="6" t="str">
        <f>TRIM(Dataset!M121)</f>
        <v>Referral</v>
      </c>
      <c r="N121" s="10">
        <f>VALUE(TRIM(Dataset!N121))</f>
        <v>1069.3399999999999</v>
      </c>
    </row>
    <row r="122" spans="1:14" x14ac:dyDescent="0.35">
      <c r="A122" s="6" t="str">
        <f>TRIM(Dataset!A122)</f>
        <v>ORD200120</v>
      </c>
      <c r="B122" s="4">
        <f>Dataset!B122</f>
        <v>45027</v>
      </c>
      <c r="C122" s="6" t="str">
        <f>TRIM(Dataset!C122)</f>
        <v>C58108</v>
      </c>
      <c r="D122" s="6" t="str">
        <f>TRIM(Dataset!D122)</f>
        <v>Tablet</v>
      </c>
      <c r="E122" s="13">
        <f>VALUE(TRIM(Dataset!E122))</f>
        <v>4</v>
      </c>
      <c r="F122" s="10">
        <f>VALUE(TRIM(Dataset!F122))</f>
        <v>629.34</v>
      </c>
      <c r="G122" s="6" t="str">
        <f>TRIM(Dataset!G122)</f>
        <v>986 Main St</v>
      </c>
      <c r="H122" s="6" t="str">
        <f>TRIM(Dataset!H122)</f>
        <v>Cash</v>
      </c>
      <c r="I122" s="6" t="str">
        <f>TRIM(Dataset!I122)</f>
        <v>Cancelled</v>
      </c>
      <c r="J122" s="6" t="str">
        <f>TRIM(Dataset!J122)</f>
        <v>TRK66218053</v>
      </c>
      <c r="K122" s="8" t="str">
        <f>TRIM(Dataset!K122)</f>
        <v>4</v>
      </c>
      <c r="L122" s="6" t="str">
        <f>Dataset!L122</f>
        <v>WINTER15</v>
      </c>
      <c r="M122" s="6" t="str">
        <f>TRIM(Dataset!M122)</f>
        <v>Instagram</v>
      </c>
      <c r="N122" s="10">
        <f>VALUE(TRIM(Dataset!N122))</f>
        <v>2517.36</v>
      </c>
    </row>
    <row r="123" spans="1:14" x14ac:dyDescent="0.35">
      <c r="A123" s="6" t="str">
        <f>TRIM(Dataset!A123)</f>
        <v>ORD200121</v>
      </c>
      <c r="B123" s="4">
        <f>Dataset!B123</f>
        <v>45260</v>
      </c>
      <c r="C123" s="6" t="str">
        <f>TRIM(Dataset!C123)</f>
        <v>C89822</v>
      </c>
      <c r="D123" s="6" t="str">
        <f>TRIM(Dataset!D123)</f>
        <v>Desk</v>
      </c>
      <c r="E123" s="13">
        <f>VALUE(TRIM(Dataset!E123))</f>
        <v>1</v>
      </c>
      <c r="F123" s="10">
        <f>VALUE(TRIM(Dataset!F123))</f>
        <v>410.78</v>
      </c>
      <c r="G123" s="6" t="str">
        <f>TRIM(Dataset!G123)</f>
        <v>673 Main St</v>
      </c>
      <c r="H123" s="6" t="str">
        <f>TRIM(Dataset!H123)</f>
        <v>Cash</v>
      </c>
      <c r="I123" s="6" t="str">
        <f>TRIM(Dataset!I123)</f>
        <v>Cancelled</v>
      </c>
      <c r="J123" s="6" t="str">
        <f>TRIM(Dataset!J123)</f>
        <v>TRK24138598</v>
      </c>
      <c r="K123" s="8" t="str">
        <f>TRIM(Dataset!K123)</f>
        <v>1</v>
      </c>
      <c r="L123" s="6" t="str">
        <f>Dataset!L123</f>
        <v>FREESHIP</v>
      </c>
      <c r="M123" s="6" t="str">
        <f>TRIM(Dataset!M123)</f>
        <v>Instagram</v>
      </c>
      <c r="N123" s="10">
        <f>VALUE(TRIM(Dataset!N123))</f>
        <v>410.78</v>
      </c>
    </row>
    <row r="124" spans="1:14" x14ac:dyDescent="0.35">
      <c r="A124" s="6" t="str">
        <f>TRIM(Dataset!A124)</f>
        <v>ORD200122</v>
      </c>
      <c r="B124" s="4">
        <f>Dataset!B124</f>
        <v>45397</v>
      </c>
      <c r="C124" s="6" t="str">
        <f>TRIM(Dataset!C124)</f>
        <v>C96787</v>
      </c>
      <c r="D124" s="6" t="str">
        <f>TRIM(Dataset!D124)</f>
        <v>Laptop</v>
      </c>
      <c r="E124" s="13">
        <f>VALUE(TRIM(Dataset!E124))</f>
        <v>2</v>
      </c>
      <c r="F124" s="10">
        <f>VALUE(TRIM(Dataset!F124))</f>
        <v>533.02</v>
      </c>
      <c r="G124" s="6" t="str">
        <f>TRIM(Dataset!G124)</f>
        <v>588 Main St</v>
      </c>
      <c r="H124" s="6" t="str">
        <f>TRIM(Dataset!H124)</f>
        <v>Gift Card</v>
      </c>
      <c r="I124" s="6" t="str">
        <f>TRIM(Dataset!I124)</f>
        <v>Shipped</v>
      </c>
      <c r="J124" s="6" t="str">
        <f>TRIM(Dataset!J124)</f>
        <v>TRK30422853</v>
      </c>
      <c r="K124" s="8" t="str">
        <f>TRIM(Dataset!K124)</f>
        <v>2</v>
      </c>
      <c r="L124" s="6" t="s">
        <v>4284</v>
      </c>
      <c r="M124" s="6" t="str">
        <f>TRIM(Dataset!M124)</f>
        <v>Facebook</v>
      </c>
      <c r="N124" s="10">
        <f>VALUE(TRIM(Dataset!N124))</f>
        <v>1066.04</v>
      </c>
    </row>
    <row r="125" spans="1:14" x14ac:dyDescent="0.35">
      <c r="A125" s="6" t="str">
        <f>TRIM(Dataset!A125)</f>
        <v>ORD200123</v>
      </c>
      <c r="B125" s="4">
        <f>Dataset!B125</f>
        <v>45113</v>
      </c>
      <c r="C125" s="6" t="str">
        <f>TRIM(Dataset!C125)</f>
        <v>C86064</v>
      </c>
      <c r="D125" s="6" t="str">
        <f>TRIM(Dataset!D125)</f>
        <v>Desk</v>
      </c>
      <c r="E125" s="13">
        <f>VALUE(TRIM(Dataset!E125))</f>
        <v>3</v>
      </c>
      <c r="F125" s="10">
        <f>VALUE(TRIM(Dataset!F125))</f>
        <v>278.04000000000002</v>
      </c>
      <c r="G125" s="6" t="str">
        <f>TRIM(Dataset!G125)</f>
        <v>727 Main St</v>
      </c>
      <c r="H125" s="6" t="str">
        <f>TRIM(Dataset!H125)</f>
        <v>Online</v>
      </c>
      <c r="I125" s="6" t="str">
        <f>TRIM(Dataset!I125)</f>
        <v>Delivered</v>
      </c>
      <c r="J125" s="6" t="str">
        <f>TRIM(Dataset!J125)</f>
        <v>TRK62182901</v>
      </c>
      <c r="K125" s="8" t="str">
        <f>TRIM(Dataset!K125)</f>
        <v>5</v>
      </c>
      <c r="L125" s="6" t="s">
        <v>4284</v>
      </c>
      <c r="M125" s="6" t="str">
        <f>TRIM(Dataset!M125)</f>
        <v>Instagram</v>
      </c>
      <c r="N125" s="10">
        <f>VALUE(TRIM(Dataset!N125))</f>
        <v>834.12</v>
      </c>
    </row>
    <row r="126" spans="1:14" x14ac:dyDescent="0.35">
      <c r="A126" s="6" t="str">
        <f>TRIM(Dataset!A126)</f>
        <v>ORD200124</v>
      </c>
      <c r="B126" s="4">
        <f>Dataset!B126</f>
        <v>45501</v>
      </c>
      <c r="C126" s="6" t="str">
        <f>TRIM(Dataset!C126)</f>
        <v>C97148</v>
      </c>
      <c r="D126" s="6" t="str">
        <f>TRIM(Dataset!D126)</f>
        <v>Printer</v>
      </c>
      <c r="E126" s="13">
        <f>VALUE(TRIM(Dataset!E126))</f>
        <v>4</v>
      </c>
      <c r="F126" s="10">
        <f>VALUE(TRIM(Dataset!F126))</f>
        <v>283.79000000000002</v>
      </c>
      <c r="G126" s="6" t="str">
        <f>TRIM(Dataset!G126)</f>
        <v>563 Main St</v>
      </c>
      <c r="H126" s="6" t="str">
        <f>TRIM(Dataset!H126)</f>
        <v>Online</v>
      </c>
      <c r="I126" s="6" t="str">
        <f>TRIM(Dataset!I126)</f>
        <v>Pending</v>
      </c>
      <c r="J126" s="6" t="str">
        <f>TRIM(Dataset!J126)</f>
        <v>TRK85321126</v>
      </c>
      <c r="K126" s="8" t="str">
        <f>TRIM(Dataset!K126)</f>
        <v>8</v>
      </c>
      <c r="L126" s="6" t="s">
        <v>4284</v>
      </c>
      <c r="M126" s="6" t="str">
        <f>TRIM(Dataset!M126)</f>
        <v>Google</v>
      </c>
      <c r="N126" s="10">
        <f>VALUE(TRIM(Dataset!N126))</f>
        <v>1135.1600000000001</v>
      </c>
    </row>
    <row r="127" spans="1:14" x14ac:dyDescent="0.35">
      <c r="A127" s="6" t="str">
        <f>TRIM(Dataset!A127)</f>
        <v>ORD200125</v>
      </c>
      <c r="B127" s="4">
        <f>Dataset!B127</f>
        <v>45602</v>
      </c>
      <c r="C127" s="6" t="str">
        <f>TRIM(Dataset!C127)</f>
        <v>C91099</v>
      </c>
      <c r="D127" s="6" t="str">
        <f>TRIM(Dataset!D127)</f>
        <v>Phone</v>
      </c>
      <c r="E127" s="13">
        <f>VALUE(TRIM(Dataset!E127))</f>
        <v>2</v>
      </c>
      <c r="F127" s="10">
        <f>VALUE(TRIM(Dataset!F127))</f>
        <v>512.65</v>
      </c>
      <c r="G127" s="6" t="str">
        <f>TRIM(Dataset!G127)</f>
        <v>758 Main St</v>
      </c>
      <c r="H127" s="6" t="str">
        <f>TRIM(Dataset!H127)</f>
        <v>Credit Card</v>
      </c>
      <c r="I127" s="6" t="str">
        <f>TRIM(Dataset!I127)</f>
        <v>Shipped</v>
      </c>
      <c r="J127" s="6" t="str">
        <f>TRIM(Dataset!J127)</f>
        <v>TRK81846174</v>
      </c>
      <c r="K127" s="8" t="str">
        <f>TRIM(Dataset!K127)</f>
        <v>5</v>
      </c>
      <c r="L127" s="6" t="str">
        <f>Dataset!L127</f>
        <v>SAVE10</v>
      </c>
      <c r="M127" s="6" t="str">
        <f>TRIM(Dataset!M127)</f>
        <v>Email</v>
      </c>
      <c r="N127" s="10">
        <f>VALUE(TRIM(Dataset!N127))</f>
        <v>1025.3</v>
      </c>
    </row>
    <row r="128" spans="1:14" x14ac:dyDescent="0.35">
      <c r="A128" s="6" t="str">
        <f>TRIM(Dataset!A128)</f>
        <v>ORD200126</v>
      </c>
      <c r="B128" s="4">
        <f>Dataset!B128</f>
        <v>45780</v>
      </c>
      <c r="C128" s="6" t="str">
        <f>TRIM(Dataset!C128)</f>
        <v>C55606</v>
      </c>
      <c r="D128" s="6" t="str">
        <f>TRIM(Dataset!D128)</f>
        <v>Desk</v>
      </c>
      <c r="E128" s="13">
        <f>VALUE(TRIM(Dataset!E128))</f>
        <v>4</v>
      </c>
      <c r="F128" s="10">
        <f>VALUE(TRIM(Dataset!F128))</f>
        <v>275.5</v>
      </c>
      <c r="G128" s="6" t="str">
        <f>TRIM(Dataset!G128)</f>
        <v>353 Main St</v>
      </c>
      <c r="H128" s="6" t="str">
        <f>TRIM(Dataset!H128)</f>
        <v>Gift Card</v>
      </c>
      <c r="I128" s="6" t="str">
        <f>TRIM(Dataset!I128)</f>
        <v>Shipped</v>
      </c>
      <c r="J128" s="6" t="str">
        <f>TRIM(Dataset!J128)</f>
        <v>TRK68250319</v>
      </c>
      <c r="K128" s="8" t="str">
        <f>TRIM(Dataset!K128)</f>
        <v>8</v>
      </c>
      <c r="L128" s="6" t="str">
        <f>Dataset!L128</f>
        <v>FREESHIP</v>
      </c>
      <c r="M128" s="6" t="str">
        <f>TRIM(Dataset!M128)</f>
        <v>Google</v>
      </c>
      <c r="N128" s="10">
        <f>VALUE(TRIM(Dataset!N128))</f>
        <v>1102</v>
      </c>
    </row>
    <row r="129" spans="1:14" x14ac:dyDescent="0.35">
      <c r="A129" s="6" t="str">
        <f>TRIM(Dataset!A129)</f>
        <v>ORD200127</v>
      </c>
      <c r="B129" s="4">
        <f>Dataset!B129</f>
        <v>45148</v>
      </c>
      <c r="C129" s="6" t="str">
        <f>TRIM(Dataset!C129)</f>
        <v>C71486</v>
      </c>
      <c r="D129" s="6" t="str">
        <f>TRIM(Dataset!D129)</f>
        <v>Desk</v>
      </c>
      <c r="E129" s="13">
        <f>VALUE(TRIM(Dataset!E129))</f>
        <v>3</v>
      </c>
      <c r="F129" s="10">
        <f>VALUE(TRIM(Dataset!F129))</f>
        <v>469.32</v>
      </c>
      <c r="G129" s="6" t="str">
        <f>TRIM(Dataset!G129)</f>
        <v>365 Main St</v>
      </c>
      <c r="H129" s="6" t="str">
        <f>TRIM(Dataset!H129)</f>
        <v>Debit Card</v>
      </c>
      <c r="I129" s="6" t="str">
        <f>TRIM(Dataset!I129)</f>
        <v>Shipped</v>
      </c>
      <c r="J129" s="6" t="str">
        <f>TRIM(Dataset!J129)</f>
        <v>TRK73929833</v>
      </c>
      <c r="K129" s="8" t="str">
        <f>TRIM(Dataset!K129)</f>
        <v>3</v>
      </c>
      <c r="L129" s="6" t="s">
        <v>4284</v>
      </c>
      <c r="M129" s="6" t="str">
        <f>TRIM(Dataset!M129)</f>
        <v>Google</v>
      </c>
      <c r="N129" s="10">
        <f>VALUE(TRIM(Dataset!N129))</f>
        <v>1407.96</v>
      </c>
    </row>
    <row r="130" spans="1:14" x14ac:dyDescent="0.35">
      <c r="A130" s="6" t="str">
        <f>TRIM(Dataset!A130)</f>
        <v>ORD200128</v>
      </c>
      <c r="B130" s="4">
        <f>Dataset!B130</f>
        <v>44974</v>
      </c>
      <c r="C130" s="6" t="str">
        <f>TRIM(Dataset!C130)</f>
        <v>C86408</v>
      </c>
      <c r="D130" s="6" t="str">
        <f>TRIM(Dataset!D130)</f>
        <v>Tablet</v>
      </c>
      <c r="E130" s="13">
        <f>VALUE(TRIM(Dataset!E130))</f>
        <v>4</v>
      </c>
      <c r="F130" s="10">
        <f>VALUE(TRIM(Dataset!F130))</f>
        <v>21.07</v>
      </c>
      <c r="G130" s="6" t="str">
        <f>TRIM(Dataset!G130)</f>
        <v>244 Main St</v>
      </c>
      <c r="H130" s="6" t="str">
        <f>TRIM(Dataset!H130)</f>
        <v>Gift Card</v>
      </c>
      <c r="I130" s="6" t="str">
        <f>TRIM(Dataset!I130)</f>
        <v>Delivered</v>
      </c>
      <c r="J130" s="6" t="str">
        <f>TRIM(Dataset!J130)</f>
        <v>TRK41432648</v>
      </c>
      <c r="K130" s="8" t="str">
        <f>TRIM(Dataset!K130)</f>
        <v>4</v>
      </c>
      <c r="L130" s="6" t="str">
        <f>Dataset!L130</f>
        <v>FREESHIP</v>
      </c>
      <c r="M130" s="6" t="str">
        <f>TRIM(Dataset!M130)</f>
        <v>Google</v>
      </c>
      <c r="N130" s="10">
        <f>VALUE(TRIM(Dataset!N130))</f>
        <v>84.28</v>
      </c>
    </row>
    <row r="131" spans="1:14" x14ac:dyDescent="0.35">
      <c r="A131" s="6" t="str">
        <f>TRIM(Dataset!A131)</f>
        <v>ORD200129</v>
      </c>
      <c r="B131" s="4">
        <f>Dataset!B131</f>
        <v>45226</v>
      </c>
      <c r="C131" s="6" t="str">
        <f>TRIM(Dataset!C131)</f>
        <v>C52751</v>
      </c>
      <c r="D131" s="6" t="str">
        <f>TRIM(Dataset!D131)</f>
        <v>Laptop</v>
      </c>
      <c r="E131" s="13">
        <f>VALUE(TRIM(Dataset!E131))</f>
        <v>4</v>
      </c>
      <c r="F131" s="10">
        <f>VALUE(TRIM(Dataset!F131))</f>
        <v>263.93</v>
      </c>
      <c r="G131" s="6" t="str">
        <f>TRIM(Dataset!G131)</f>
        <v>427 Main St</v>
      </c>
      <c r="H131" s="6" t="str">
        <f>TRIM(Dataset!H131)</f>
        <v>Debit Card</v>
      </c>
      <c r="I131" s="6" t="str">
        <f>TRIM(Dataset!I131)</f>
        <v>Shipped</v>
      </c>
      <c r="J131" s="6" t="str">
        <f>TRIM(Dataset!J131)</f>
        <v>TRK72481234</v>
      </c>
      <c r="K131" s="8" t="str">
        <f>TRIM(Dataset!K131)</f>
        <v>4</v>
      </c>
      <c r="L131" s="6" t="str">
        <f>Dataset!L131</f>
        <v>FREESHIP</v>
      </c>
      <c r="M131" s="6" t="str">
        <f>TRIM(Dataset!M131)</f>
        <v>Facebook</v>
      </c>
      <c r="N131" s="10">
        <f>VALUE(TRIM(Dataset!N131))</f>
        <v>1055.72</v>
      </c>
    </row>
    <row r="132" spans="1:14" x14ac:dyDescent="0.35">
      <c r="A132" s="6" t="str">
        <f>TRIM(Dataset!A132)</f>
        <v>ORD200130</v>
      </c>
      <c r="B132" s="4">
        <f>Dataset!B132</f>
        <v>45679</v>
      </c>
      <c r="C132" s="6" t="str">
        <f>TRIM(Dataset!C132)</f>
        <v>C29059</v>
      </c>
      <c r="D132" s="6" t="str">
        <f>TRIM(Dataset!D132)</f>
        <v>Desk</v>
      </c>
      <c r="E132" s="13">
        <f>VALUE(TRIM(Dataset!E132))</f>
        <v>3</v>
      </c>
      <c r="F132" s="10">
        <f>VALUE(TRIM(Dataset!F132))</f>
        <v>501.3</v>
      </c>
      <c r="G132" s="6" t="str">
        <f>TRIM(Dataset!G132)</f>
        <v>513 Main St</v>
      </c>
      <c r="H132" s="6" t="str">
        <f>TRIM(Dataset!H132)</f>
        <v>Online</v>
      </c>
      <c r="I132" s="6" t="str">
        <f>TRIM(Dataset!I132)</f>
        <v>Cancelled</v>
      </c>
      <c r="J132" s="6" t="str">
        <f>TRIM(Dataset!J132)</f>
        <v>TRK88360704</v>
      </c>
      <c r="K132" s="8" t="str">
        <f>TRIM(Dataset!K132)</f>
        <v>3</v>
      </c>
      <c r="L132" s="6" t="str">
        <f>Dataset!L132</f>
        <v>WINTER15</v>
      </c>
      <c r="M132" s="6" t="str">
        <f>TRIM(Dataset!M132)</f>
        <v>Facebook</v>
      </c>
      <c r="N132" s="10">
        <f>VALUE(TRIM(Dataset!N132))</f>
        <v>1503.9</v>
      </c>
    </row>
    <row r="133" spans="1:14" x14ac:dyDescent="0.35">
      <c r="A133" s="6" t="str">
        <f>TRIM(Dataset!A133)</f>
        <v>ORD200131</v>
      </c>
      <c r="B133" s="4">
        <f>Dataset!B133</f>
        <v>44934</v>
      </c>
      <c r="C133" s="6" t="str">
        <f>TRIM(Dataset!C133)</f>
        <v>C72862</v>
      </c>
      <c r="D133" s="6" t="str">
        <f>TRIM(Dataset!D133)</f>
        <v>Tablet</v>
      </c>
      <c r="E133" s="13">
        <f>VALUE(TRIM(Dataset!E133))</f>
        <v>1</v>
      </c>
      <c r="F133" s="10">
        <f>VALUE(TRIM(Dataset!F133))</f>
        <v>84.8</v>
      </c>
      <c r="G133" s="6" t="str">
        <f>TRIM(Dataset!G133)</f>
        <v>606 Main St</v>
      </c>
      <c r="H133" s="6" t="str">
        <f>TRIM(Dataset!H133)</f>
        <v>Gift Card</v>
      </c>
      <c r="I133" s="6" t="str">
        <f>TRIM(Dataset!I133)</f>
        <v>Pending</v>
      </c>
      <c r="J133" s="6" t="str">
        <f>TRIM(Dataset!J133)</f>
        <v>TRK51648833</v>
      </c>
      <c r="K133" s="8" t="str">
        <f>TRIM(Dataset!K133)</f>
        <v>5</v>
      </c>
      <c r="L133" s="6" t="s">
        <v>4284</v>
      </c>
      <c r="M133" s="6" t="str">
        <f>TRIM(Dataset!M133)</f>
        <v>Instagram</v>
      </c>
      <c r="N133" s="10">
        <f>VALUE(TRIM(Dataset!N133))</f>
        <v>84.8</v>
      </c>
    </row>
    <row r="134" spans="1:14" x14ac:dyDescent="0.35">
      <c r="A134" s="6" t="str">
        <f>TRIM(Dataset!A134)</f>
        <v>ORD200132</v>
      </c>
      <c r="B134" s="4">
        <f>Dataset!B134</f>
        <v>45013</v>
      </c>
      <c r="C134" s="6" t="str">
        <f>TRIM(Dataset!C134)</f>
        <v>C96257</v>
      </c>
      <c r="D134" s="6" t="str">
        <f>TRIM(Dataset!D134)</f>
        <v>Tablet</v>
      </c>
      <c r="E134" s="13">
        <f>VALUE(TRIM(Dataset!E134))</f>
        <v>4</v>
      </c>
      <c r="F134" s="10">
        <f>VALUE(TRIM(Dataset!F134))</f>
        <v>450.75</v>
      </c>
      <c r="G134" s="6" t="str">
        <f>TRIM(Dataset!G134)</f>
        <v>583 Main St</v>
      </c>
      <c r="H134" s="6" t="str">
        <f>TRIM(Dataset!H134)</f>
        <v>Credit Card</v>
      </c>
      <c r="I134" s="6" t="str">
        <f>TRIM(Dataset!I134)</f>
        <v>Shipped</v>
      </c>
      <c r="J134" s="6" t="str">
        <f>TRIM(Dataset!J134)</f>
        <v>TRK13137948</v>
      </c>
      <c r="K134" s="8" t="str">
        <f>TRIM(Dataset!K134)</f>
        <v>6</v>
      </c>
      <c r="L134" s="6" t="str">
        <f>Dataset!L134</f>
        <v>WINTER15</v>
      </c>
      <c r="M134" s="6" t="str">
        <f>TRIM(Dataset!M134)</f>
        <v>Email</v>
      </c>
      <c r="N134" s="10">
        <f>VALUE(TRIM(Dataset!N134))</f>
        <v>1803</v>
      </c>
    </row>
    <row r="135" spans="1:14" x14ac:dyDescent="0.35">
      <c r="A135" s="6" t="str">
        <f>TRIM(Dataset!A135)</f>
        <v>ORD200133</v>
      </c>
      <c r="B135" s="4">
        <f>Dataset!B135</f>
        <v>45828</v>
      </c>
      <c r="C135" s="6" t="str">
        <f>TRIM(Dataset!C135)</f>
        <v>C87432</v>
      </c>
      <c r="D135" s="6" t="str">
        <f>TRIM(Dataset!D135)</f>
        <v>Chair</v>
      </c>
      <c r="E135" s="13">
        <f>VALUE(TRIM(Dataset!E135))</f>
        <v>4</v>
      </c>
      <c r="F135" s="10">
        <f>VALUE(TRIM(Dataset!F135))</f>
        <v>302.05</v>
      </c>
      <c r="G135" s="6" t="str">
        <f>TRIM(Dataset!G135)</f>
        <v>636 Main St</v>
      </c>
      <c r="H135" s="6" t="str">
        <f>TRIM(Dataset!H135)</f>
        <v>Debit Card</v>
      </c>
      <c r="I135" s="6" t="str">
        <f>TRIM(Dataset!I135)</f>
        <v>Cancelled</v>
      </c>
      <c r="J135" s="6" t="str">
        <f>TRIM(Dataset!J135)</f>
        <v>TRK68969625</v>
      </c>
      <c r="K135" s="8" t="str">
        <f>TRIM(Dataset!K135)</f>
        <v>6</v>
      </c>
      <c r="L135" s="6" t="str">
        <f>Dataset!L135</f>
        <v>SAVE10</v>
      </c>
      <c r="M135" s="6" t="str">
        <f>TRIM(Dataset!M135)</f>
        <v>Google</v>
      </c>
      <c r="N135" s="10">
        <f>VALUE(TRIM(Dataset!N135))</f>
        <v>1208.2</v>
      </c>
    </row>
    <row r="136" spans="1:14" x14ac:dyDescent="0.35">
      <c r="A136" s="6" t="str">
        <f>TRIM(Dataset!A136)</f>
        <v>ORD200134</v>
      </c>
      <c r="B136" s="4">
        <f>Dataset!B136</f>
        <v>45831</v>
      </c>
      <c r="C136" s="6" t="str">
        <f>TRIM(Dataset!C136)</f>
        <v>C16253</v>
      </c>
      <c r="D136" s="6" t="str">
        <f>TRIM(Dataset!D136)</f>
        <v>Laptop</v>
      </c>
      <c r="E136" s="13">
        <f>VALUE(TRIM(Dataset!E136))</f>
        <v>2</v>
      </c>
      <c r="F136" s="10">
        <f>VALUE(TRIM(Dataset!F136))</f>
        <v>199.7</v>
      </c>
      <c r="G136" s="6" t="str">
        <f>TRIM(Dataset!G136)</f>
        <v>583 Main St</v>
      </c>
      <c r="H136" s="6" t="str">
        <f>TRIM(Dataset!H136)</f>
        <v>Cash</v>
      </c>
      <c r="I136" s="6" t="str">
        <f>TRIM(Dataset!I136)</f>
        <v>Pending</v>
      </c>
      <c r="J136" s="6" t="str">
        <f>TRIM(Dataset!J136)</f>
        <v>TRK17354894</v>
      </c>
      <c r="K136" s="8" t="str">
        <f>TRIM(Dataset!K136)</f>
        <v>4</v>
      </c>
      <c r="L136" s="6" t="s">
        <v>4284</v>
      </c>
      <c r="M136" s="6" t="str">
        <f>TRIM(Dataset!M136)</f>
        <v>Email</v>
      </c>
      <c r="N136" s="10">
        <f>VALUE(TRIM(Dataset!N136))</f>
        <v>399.4</v>
      </c>
    </row>
    <row r="137" spans="1:14" x14ac:dyDescent="0.35">
      <c r="A137" s="6" t="str">
        <f>TRIM(Dataset!A137)</f>
        <v>ORD200135</v>
      </c>
      <c r="B137" s="4">
        <f>Dataset!B137</f>
        <v>45142</v>
      </c>
      <c r="C137" s="6" t="str">
        <f>TRIM(Dataset!C137)</f>
        <v>C79909</v>
      </c>
      <c r="D137" s="6" t="str">
        <f>TRIM(Dataset!D137)</f>
        <v>Printer</v>
      </c>
      <c r="E137" s="13">
        <f>VALUE(TRIM(Dataset!E137))</f>
        <v>2</v>
      </c>
      <c r="F137" s="10">
        <f>VALUE(TRIM(Dataset!F137))</f>
        <v>68.81</v>
      </c>
      <c r="G137" s="6" t="str">
        <f>TRIM(Dataset!G137)</f>
        <v>642 Main St</v>
      </c>
      <c r="H137" s="6" t="str">
        <f>TRIM(Dataset!H137)</f>
        <v>Gift Card</v>
      </c>
      <c r="I137" s="6" t="str">
        <f>TRIM(Dataset!I137)</f>
        <v>Shipped</v>
      </c>
      <c r="J137" s="6" t="str">
        <f>TRIM(Dataset!J137)</f>
        <v>TRK86742257</v>
      </c>
      <c r="K137" s="8" t="str">
        <f>TRIM(Dataset!K137)</f>
        <v>5</v>
      </c>
      <c r="L137" s="6" t="str">
        <f>Dataset!L137</f>
        <v>SAVE10</v>
      </c>
      <c r="M137" s="6" t="str">
        <f>TRIM(Dataset!M137)</f>
        <v>Referral</v>
      </c>
      <c r="N137" s="10">
        <f>VALUE(TRIM(Dataset!N137))</f>
        <v>137.62</v>
      </c>
    </row>
    <row r="138" spans="1:14" x14ac:dyDescent="0.35">
      <c r="A138" s="6" t="str">
        <f>TRIM(Dataset!A138)</f>
        <v>ORD200136</v>
      </c>
      <c r="B138" s="4">
        <f>Dataset!B138</f>
        <v>45409</v>
      </c>
      <c r="C138" s="6" t="str">
        <f>TRIM(Dataset!C138)</f>
        <v>C73370</v>
      </c>
      <c r="D138" s="6" t="str">
        <f>TRIM(Dataset!D138)</f>
        <v>Laptop</v>
      </c>
      <c r="E138" s="13">
        <f>VALUE(TRIM(Dataset!E138))</f>
        <v>1</v>
      </c>
      <c r="F138" s="10">
        <f>VALUE(TRIM(Dataset!F138))</f>
        <v>44.35</v>
      </c>
      <c r="G138" s="6" t="str">
        <f>TRIM(Dataset!G138)</f>
        <v>595 Main St</v>
      </c>
      <c r="H138" s="6" t="str">
        <f>TRIM(Dataset!H138)</f>
        <v>Gift Card</v>
      </c>
      <c r="I138" s="6" t="str">
        <f>TRIM(Dataset!I138)</f>
        <v>Cancelled</v>
      </c>
      <c r="J138" s="6" t="str">
        <f>TRIM(Dataset!J138)</f>
        <v>TRK67820278</v>
      </c>
      <c r="K138" s="8" t="str">
        <f>TRIM(Dataset!K138)</f>
        <v>1</v>
      </c>
      <c r="L138" s="6" t="str">
        <f>Dataset!L138</f>
        <v>SAVE10</v>
      </c>
      <c r="M138" s="6" t="str">
        <f>TRIM(Dataset!M138)</f>
        <v>Instagram</v>
      </c>
      <c r="N138" s="10">
        <f>VALUE(TRIM(Dataset!N138))</f>
        <v>44.35</v>
      </c>
    </row>
    <row r="139" spans="1:14" x14ac:dyDescent="0.35">
      <c r="A139" s="6" t="str">
        <f>TRIM(Dataset!A139)</f>
        <v>ORD200137</v>
      </c>
      <c r="B139" s="4">
        <f>Dataset!B139</f>
        <v>45622</v>
      </c>
      <c r="C139" s="6" t="str">
        <f>TRIM(Dataset!C139)</f>
        <v>C50682</v>
      </c>
      <c r="D139" s="6" t="str">
        <f>TRIM(Dataset!D139)</f>
        <v>Monitor</v>
      </c>
      <c r="E139" s="13">
        <f>VALUE(TRIM(Dataset!E139))</f>
        <v>2</v>
      </c>
      <c r="F139" s="10">
        <f>VALUE(TRIM(Dataset!F139))</f>
        <v>250.98</v>
      </c>
      <c r="G139" s="6" t="str">
        <f>TRIM(Dataset!G139)</f>
        <v>598 Main St</v>
      </c>
      <c r="H139" s="6" t="str">
        <f>TRIM(Dataset!H139)</f>
        <v>Credit Card</v>
      </c>
      <c r="I139" s="6" t="str">
        <f>TRIM(Dataset!I139)</f>
        <v>Delivered</v>
      </c>
      <c r="J139" s="6" t="str">
        <f>TRIM(Dataset!J139)</f>
        <v>TRK12242337</v>
      </c>
      <c r="K139" s="8" t="str">
        <f>TRIM(Dataset!K139)</f>
        <v>5</v>
      </c>
      <c r="L139" s="6" t="s">
        <v>4284</v>
      </c>
      <c r="M139" s="6" t="str">
        <f>TRIM(Dataset!M139)</f>
        <v>Google</v>
      </c>
      <c r="N139" s="10">
        <f>VALUE(TRIM(Dataset!N139))</f>
        <v>501.96</v>
      </c>
    </row>
    <row r="140" spans="1:14" x14ac:dyDescent="0.35">
      <c r="A140" s="6" t="str">
        <f>TRIM(Dataset!A140)</f>
        <v>ORD200138</v>
      </c>
      <c r="B140" s="4">
        <f>Dataset!B140</f>
        <v>45281</v>
      </c>
      <c r="C140" s="6" t="str">
        <f>TRIM(Dataset!C140)</f>
        <v>C21905</v>
      </c>
      <c r="D140" s="6" t="str">
        <f>TRIM(Dataset!D140)</f>
        <v>Tablet</v>
      </c>
      <c r="E140" s="13">
        <f>VALUE(TRIM(Dataset!E140))</f>
        <v>1</v>
      </c>
      <c r="F140" s="10">
        <f>VALUE(TRIM(Dataset!F140))</f>
        <v>298.06</v>
      </c>
      <c r="G140" s="6" t="str">
        <f>TRIM(Dataset!G140)</f>
        <v>478 Main St</v>
      </c>
      <c r="H140" s="6" t="str">
        <f>TRIM(Dataset!H140)</f>
        <v>Debit Card</v>
      </c>
      <c r="I140" s="6" t="str">
        <f>TRIM(Dataset!I140)</f>
        <v>Pending</v>
      </c>
      <c r="J140" s="6" t="str">
        <f>TRIM(Dataset!J140)</f>
        <v>TRK31863841</v>
      </c>
      <c r="K140" s="8" t="str">
        <f>TRIM(Dataset!K140)</f>
        <v>3</v>
      </c>
      <c r="L140" s="6" t="str">
        <f>Dataset!L140</f>
        <v>WINTER15</v>
      </c>
      <c r="M140" s="6" t="str">
        <f>TRIM(Dataset!M140)</f>
        <v>Google</v>
      </c>
      <c r="N140" s="10">
        <f>VALUE(TRIM(Dataset!N140))</f>
        <v>298.06</v>
      </c>
    </row>
    <row r="141" spans="1:14" x14ac:dyDescent="0.35">
      <c r="A141" s="6" t="str">
        <f>TRIM(Dataset!A141)</f>
        <v>ORD200139</v>
      </c>
      <c r="B141" s="4">
        <f>Dataset!B141</f>
        <v>45026</v>
      </c>
      <c r="C141" s="6" t="str">
        <f>TRIM(Dataset!C141)</f>
        <v>C61440</v>
      </c>
      <c r="D141" s="6" t="str">
        <f>TRIM(Dataset!D141)</f>
        <v>Phone</v>
      </c>
      <c r="E141" s="13">
        <f>VALUE(TRIM(Dataset!E141))</f>
        <v>1</v>
      </c>
      <c r="F141" s="10">
        <f>VALUE(TRIM(Dataset!F141))</f>
        <v>583.9</v>
      </c>
      <c r="G141" s="6" t="str">
        <f>TRIM(Dataset!G141)</f>
        <v>714 Main St</v>
      </c>
      <c r="H141" s="6" t="str">
        <f>TRIM(Dataset!H141)</f>
        <v>Cash</v>
      </c>
      <c r="I141" s="6" t="str">
        <f>TRIM(Dataset!I141)</f>
        <v>Returned</v>
      </c>
      <c r="J141" s="6" t="str">
        <f>TRIM(Dataset!J141)</f>
        <v>TRK33114521</v>
      </c>
      <c r="K141" s="8" t="str">
        <f>TRIM(Dataset!K141)</f>
        <v>1</v>
      </c>
      <c r="L141" s="6" t="s">
        <v>4284</v>
      </c>
      <c r="M141" s="6" t="str">
        <f>TRIM(Dataset!M141)</f>
        <v>Email</v>
      </c>
      <c r="N141" s="10">
        <f>VALUE(TRIM(Dataset!N141))</f>
        <v>583.9</v>
      </c>
    </row>
    <row r="142" spans="1:14" x14ac:dyDescent="0.35">
      <c r="A142" s="6" t="str">
        <f>TRIM(Dataset!A142)</f>
        <v>ORD200140</v>
      </c>
      <c r="B142" s="4">
        <f>Dataset!B142</f>
        <v>45808</v>
      </c>
      <c r="C142" s="6" t="str">
        <f>TRIM(Dataset!C142)</f>
        <v>C33110</v>
      </c>
      <c r="D142" s="6" t="str">
        <f>TRIM(Dataset!D142)</f>
        <v>Chair</v>
      </c>
      <c r="E142" s="13">
        <f>VALUE(TRIM(Dataset!E142))</f>
        <v>3</v>
      </c>
      <c r="F142" s="10">
        <f>VALUE(TRIM(Dataset!F142))</f>
        <v>528.14</v>
      </c>
      <c r="G142" s="6" t="str">
        <f>TRIM(Dataset!G142)</f>
        <v>388 Main St</v>
      </c>
      <c r="H142" s="6" t="str">
        <f>TRIM(Dataset!H142)</f>
        <v>Online</v>
      </c>
      <c r="I142" s="6" t="str">
        <f>TRIM(Dataset!I142)</f>
        <v>Delivered</v>
      </c>
      <c r="J142" s="6" t="str">
        <f>TRIM(Dataset!J142)</f>
        <v>TRK38624225</v>
      </c>
      <c r="K142" s="8" t="str">
        <f>TRIM(Dataset!K142)</f>
        <v>3</v>
      </c>
      <c r="L142" s="6" t="str">
        <f>Dataset!L142</f>
        <v>FREESHIP</v>
      </c>
      <c r="M142" s="6" t="str">
        <f>TRIM(Dataset!M142)</f>
        <v>Email</v>
      </c>
      <c r="N142" s="10">
        <f>VALUE(TRIM(Dataset!N142))</f>
        <v>1584.42</v>
      </c>
    </row>
    <row r="143" spans="1:14" x14ac:dyDescent="0.35">
      <c r="A143" s="6" t="str">
        <f>TRIM(Dataset!A143)</f>
        <v>ORD200141</v>
      </c>
      <c r="B143" s="4">
        <f>Dataset!B143</f>
        <v>45248</v>
      </c>
      <c r="C143" s="6" t="str">
        <f>TRIM(Dataset!C143)</f>
        <v>C80004</v>
      </c>
      <c r="D143" s="6" t="str">
        <f>TRIM(Dataset!D143)</f>
        <v>Printer</v>
      </c>
      <c r="E143" s="13">
        <f>VALUE(TRIM(Dataset!E143))</f>
        <v>3</v>
      </c>
      <c r="F143" s="10">
        <f>VALUE(TRIM(Dataset!F143))</f>
        <v>684.14</v>
      </c>
      <c r="G143" s="6" t="str">
        <f>TRIM(Dataset!G143)</f>
        <v>151 Main St</v>
      </c>
      <c r="H143" s="6" t="str">
        <f>TRIM(Dataset!H143)</f>
        <v>Cash</v>
      </c>
      <c r="I143" s="6" t="str">
        <f>TRIM(Dataset!I143)</f>
        <v>Cancelled</v>
      </c>
      <c r="J143" s="6" t="str">
        <f>TRIM(Dataset!J143)</f>
        <v>TRK66230753</v>
      </c>
      <c r="K143" s="8" t="str">
        <f>TRIM(Dataset!K143)</f>
        <v>3</v>
      </c>
      <c r="L143" s="6" t="str">
        <f>Dataset!L143</f>
        <v>WINTER15</v>
      </c>
      <c r="M143" s="6" t="str">
        <f>TRIM(Dataset!M143)</f>
        <v>Instagram</v>
      </c>
      <c r="N143" s="10">
        <f>VALUE(TRIM(Dataset!N143))</f>
        <v>2052.42</v>
      </c>
    </row>
    <row r="144" spans="1:14" x14ac:dyDescent="0.35">
      <c r="A144" s="6" t="str">
        <f>TRIM(Dataset!A144)</f>
        <v>ORD200142</v>
      </c>
      <c r="B144" s="4">
        <f>Dataset!B144</f>
        <v>45175</v>
      </c>
      <c r="C144" s="6" t="str">
        <f>TRIM(Dataset!C144)</f>
        <v>C86374</v>
      </c>
      <c r="D144" s="6" t="str">
        <f>TRIM(Dataset!D144)</f>
        <v>Desk</v>
      </c>
      <c r="E144" s="13">
        <f>VALUE(TRIM(Dataset!E144))</f>
        <v>5</v>
      </c>
      <c r="F144" s="10">
        <f>VALUE(TRIM(Dataset!F144))</f>
        <v>272.77</v>
      </c>
      <c r="G144" s="6" t="str">
        <f>TRIM(Dataset!G144)</f>
        <v>573 Main St</v>
      </c>
      <c r="H144" s="6" t="str">
        <f>TRIM(Dataset!H144)</f>
        <v>Cash</v>
      </c>
      <c r="I144" s="6" t="str">
        <f>TRIM(Dataset!I144)</f>
        <v>Pending</v>
      </c>
      <c r="J144" s="6" t="str">
        <f>TRIM(Dataset!J144)</f>
        <v>TRK79451491</v>
      </c>
      <c r="K144" s="8" t="str">
        <f>TRIM(Dataset!K144)</f>
        <v>7</v>
      </c>
      <c r="L144" s="6" t="str">
        <f>Dataset!L144</f>
        <v>WINTER15</v>
      </c>
      <c r="M144" s="6" t="str">
        <f>TRIM(Dataset!M144)</f>
        <v>Email</v>
      </c>
      <c r="N144" s="10">
        <f>VALUE(TRIM(Dataset!N144))</f>
        <v>1363.85</v>
      </c>
    </row>
    <row r="145" spans="1:14" x14ac:dyDescent="0.35">
      <c r="A145" s="6" t="str">
        <f>TRIM(Dataset!A145)</f>
        <v>ORD200143</v>
      </c>
      <c r="B145" s="4">
        <f>Dataset!B145</f>
        <v>45456</v>
      </c>
      <c r="C145" s="6" t="str">
        <f>TRIM(Dataset!C145)</f>
        <v>C66521</v>
      </c>
      <c r="D145" s="6" t="str">
        <f>TRIM(Dataset!D145)</f>
        <v>Chair</v>
      </c>
      <c r="E145" s="13">
        <f>VALUE(TRIM(Dataset!E145))</f>
        <v>4</v>
      </c>
      <c r="F145" s="10">
        <f>VALUE(TRIM(Dataset!F145))</f>
        <v>400.07</v>
      </c>
      <c r="G145" s="6" t="str">
        <f>TRIM(Dataset!G145)</f>
        <v>933 Main St</v>
      </c>
      <c r="H145" s="6" t="str">
        <f>TRIM(Dataset!H145)</f>
        <v>Online</v>
      </c>
      <c r="I145" s="6" t="str">
        <f>TRIM(Dataset!I145)</f>
        <v>Shipped</v>
      </c>
      <c r="J145" s="6" t="str">
        <f>TRIM(Dataset!J145)</f>
        <v>TRK34654244</v>
      </c>
      <c r="K145" s="8" t="str">
        <f>TRIM(Dataset!K145)</f>
        <v>5</v>
      </c>
      <c r="L145" s="6" t="s">
        <v>4284</v>
      </c>
      <c r="M145" s="6" t="str">
        <f>TRIM(Dataset!M145)</f>
        <v>Referral</v>
      </c>
      <c r="N145" s="10">
        <f>VALUE(TRIM(Dataset!N145))</f>
        <v>1600.28</v>
      </c>
    </row>
    <row r="146" spans="1:14" x14ac:dyDescent="0.35">
      <c r="A146" s="6" t="str">
        <f>TRIM(Dataset!A146)</f>
        <v>ORD200144</v>
      </c>
      <c r="B146" s="4">
        <f>Dataset!B146</f>
        <v>45142</v>
      </c>
      <c r="C146" s="6" t="str">
        <f>TRIM(Dataset!C146)</f>
        <v>C63365</v>
      </c>
      <c r="D146" s="6" t="str">
        <f>TRIM(Dataset!D146)</f>
        <v>Desk</v>
      </c>
      <c r="E146" s="13">
        <f>VALUE(TRIM(Dataset!E146))</f>
        <v>5</v>
      </c>
      <c r="F146" s="10">
        <f>VALUE(TRIM(Dataset!F146))</f>
        <v>219.78</v>
      </c>
      <c r="G146" s="6" t="str">
        <f>TRIM(Dataset!G146)</f>
        <v>895 Main St</v>
      </c>
      <c r="H146" s="6" t="str">
        <f>TRIM(Dataset!H146)</f>
        <v>Credit Card</v>
      </c>
      <c r="I146" s="6" t="str">
        <f>TRIM(Dataset!I146)</f>
        <v>Pending</v>
      </c>
      <c r="J146" s="6" t="str">
        <f>TRIM(Dataset!J146)</f>
        <v>TRK80100887</v>
      </c>
      <c r="K146" s="8" t="str">
        <f>TRIM(Dataset!K146)</f>
        <v>8</v>
      </c>
      <c r="L146" s="6" t="s">
        <v>4284</v>
      </c>
      <c r="M146" s="6" t="str">
        <f>TRIM(Dataset!M146)</f>
        <v>Facebook</v>
      </c>
      <c r="N146" s="10">
        <f>VALUE(TRIM(Dataset!N146))</f>
        <v>1098.9000000000001</v>
      </c>
    </row>
    <row r="147" spans="1:14" x14ac:dyDescent="0.35">
      <c r="A147" s="6" t="str">
        <f>TRIM(Dataset!A147)</f>
        <v>ORD200145</v>
      </c>
      <c r="B147" s="4">
        <f>Dataset!B147</f>
        <v>45353</v>
      </c>
      <c r="C147" s="6" t="str">
        <f>TRIM(Dataset!C147)</f>
        <v>C85929</v>
      </c>
      <c r="D147" s="6" t="str">
        <f>TRIM(Dataset!D147)</f>
        <v>Printer</v>
      </c>
      <c r="E147" s="13">
        <f>VALUE(TRIM(Dataset!E147))</f>
        <v>3</v>
      </c>
      <c r="F147" s="10">
        <f>VALUE(TRIM(Dataset!F147))</f>
        <v>146.91</v>
      </c>
      <c r="G147" s="6" t="str">
        <f>TRIM(Dataset!G147)</f>
        <v>798 Main St</v>
      </c>
      <c r="H147" s="6" t="str">
        <f>TRIM(Dataset!H147)</f>
        <v>Credit Card</v>
      </c>
      <c r="I147" s="6" t="str">
        <f>TRIM(Dataset!I147)</f>
        <v>Delivered</v>
      </c>
      <c r="J147" s="6" t="str">
        <f>TRIM(Dataset!J147)</f>
        <v>TRK29318610</v>
      </c>
      <c r="K147" s="8" t="str">
        <f>TRIM(Dataset!K147)</f>
        <v>6</v>
      </c>
      <c r="L147" s="6" t="str">
        <f>Dataset!L147</f>
        <v>FREESHIP</v>
      </c>
      <c r="M147" s="6" t="str">
        <f>TRIM(Dataset!M147)</f>
        <v>Google</v>
      </c>
      <c r="N147" s="10">
        <f>VALUE(TRIM(Dataset!N147))</f>
        <v>440.73</v>
      </c>
    </row>
    <row r="148" spans="1:14" x14ac:dyDescent="0.35">
      <c r="A148" s="6" t="str">
        <f>TRIM(Dataset!A148)</f>
        <v>ORD200146</v>
      </c>
      <c r="B148" s="4">
        <f>Dataset!B148</f>
        <v>45777</v>
      </c>
      <c r="C148" s="6" t="str">
        <f>TRIM(Dataset!C148)</f>
        <v>C84645</v>
      </c>
      <c r="D148" s="6" t="str">
        <f>TRIM(Dataset!D148)</f>
        <v>Tablet</v>
      </c>
      <c r="E148" s="13">
        <f>VALUE(TRIM(Dataset!E148))</f>
        <v>2</v>
      </c>
      <c r="F148" s="10">
        <f>VALUE(TRIM(Dataset!F148))</f>
        <v>411.49</v>
      </c>
      <c r="G148" s="6" t="str">
        <f>TRIM(Dataset!G148)</f>
        <v>404 Main St</v>
      </c>
      <c r="H148" s="6" t="str">
        <f>TRIM(Dataset!H148)</f>
        <v>Credit Card</v>
      </c>
      <c r="I148" s="6" t="str">
        <f>TRIM(Dataset!I148)</f>
        <v>Returned</v>
      </c>
      <c r="J148" s="6" t="str">
        <f>TRIM(Dataset!J148)</f>
        <v>TRK68893369</v>
      </c>
      <c r="K148" s="8" t="str">
        <f>TRIM(Dataset!K148)</f>
        <v>4</v>
      </c>
      <c r="L148" s="6" t="s">
        <v>4284</v>
      </c>
      <c r="M148" s="6" t="str">
        <f>TRIM(Dataset!M148)</f>
        <v>Instagram</v>
      </c>
      <c r="N148" s="10">
        <f>VALUE(TRIM(Dataset!N148))</f>
        <v>822.98</v>
      </c>
    </row>
    <row r="149" spans="1:14" x14ac:dyDescent="0.35">
      <c r="A149" s="6" t="str">
        <f>TRIM(Dataset!A149)</f>
        <v>ORD200147</v>
      </c>
      <c r="B149" s="4">
        <f>Dataset!B149</f>
        <v>45783</v>
      </c>
      <c r="C149" s="6" t="str">
        <f>TRIM(Dataset!C149)</f>
        <v>C46316</v>
      </c>
      <c r="D149" s="6" t="str">
        <f>TRIM(Dataset!D149)</f>
        <v>Laptop</v>
      </c>
      <c r="E149" s="13">
        <f>VALUE(TRIM(Dataset!E149))</f>
        <v>2</v>
      </c>
      <c r="F149" s="10">
        <f>VALUE(TRIM(Dataset!F149))</f>
        <v>465.18</v>
      </c>
      <c r="G149" s="6" t="str">
        <f>TRIM(Dataset!G149)</f>
        <v>893 Main St</v>
      </c>
      <c r="H149" s="6" t="str">
        <f>TRIM(Dataset!H149)</f>
        <v>Credit Card</v>
      </c>
      <c r="I149" s="6" t="str">
        <f>TRIM(Dataset!I149)</f>
        <v>Cancelled</v>
      </c>
      <c r="J149" s="6" t="str">
        <f>TRIM(Dataset!J149)</f>
        <v>TRK16196000</v>
      </c>
      <c r="K149" s="8" t="str">
        <f>TRIM(Dataset!K149)</f>
        <v>2</v>
      </c>
      <c r="L149" s="6" t="str">
        <f>Dataset!L149</f>
        <v>SAVE10</v>
      </c>
      <c r="M149" s="6" t="str">
        <f>TRIM(Dataset!M149)</f>
        <v>Google</v>
      </c>
      <c r="N149" s="10">
        <f>VALUE(TRIM(Dataset!N149))</f>
        <v>930.36</v>
      </c>
    </row>
    <row r="150" spans="1:14" x14ac:dyDescent="0.35">
      <c r="A150" s="6" t="str">
        <f>TRIM(Dataset!A150)</f>
        <v>ORD200148</v>
      </c>
      <c r="B150" s="4">
        <f>Dataset!B150</f>
        <v>45641</v>
      </c>
      <c r="C150" s="6" t="str">
        <f>TRIM(Dataset!C150)</f>
        <v>C35100</v>
      </c>
      <c r="D150" s="6" t="str">
        <f>TRIM(Dataset!D150)</f>
        <v>Phone</v>
      </c>
      <c r="E150" s="13">
        <f>VALUE(TRIM(Dataset!E150))</f>
        <v>2</v>
      </c>
      <c r="F150" s="10">
        <f>VALUE(TRIM(Dataset!F150))</f>
        <v>319.91000000000003</v>
      </c>
      <c r="G150" s="6" t="str">
        <f>TRIM(Dataset!G150)</f>
        <v>139 Main St</v>
      </c>
      <c r="H150" s="6" t="str">
        <f>TRIM(Dataset!H150)</f>
        <v>Credit Card</v>
      </c>
      <c r="I150" s="6" t="str">
        <f>TRIM(Dataset!I150)</f>
        <v>Cancelled</v>
      </c>
      <c r="J150" s="6" t="str">
        <f>TRIM(Dataset!J150)</f>
        <v>TRK56853491</v>
      </c>
      <c r="K150" s="8" t="str">
        <f>TRIM(Dataset!K150)</f>
        <v>3</v>
      </c>
      <c r="L150" s="6" t="str">
        <f>Dataset!L150</f>
        <v>WINTER15</v>
      </c>
      <c r="M150" s="6" t="str">
        <f>TRIM(Dataset!M150)</f>
        <v>Google</v>
      </c>
      <c r="N150" s="10">
        <f>VALUE(TRIM(Dataset!N150))</f>
        <v>639.82000000000005</v>
      </c>
    </row>
    <row r="151" spans="1:14" x14ac:dyDescent="0.35">
      <c r="A151" s="6" t="str">
        <f>TRIM(Dataset!A151)</f>
        <v>ORD200149</v>
      </c>
      <c r="B151" s="4">
        <f>Dataset!B151</f>
        <v>45287</v>
      </c>
      <c r="C151" s="6" t="str">
        <f>TRIM(Dataset!C151)</f>
        <v>C39671</v>
      </c>
      <c r="D151" s="6" t="str">
        <f>TRIM(Dataset!D151)</f>
        <v>Laptop</v>
      </c>
      <c r="E151" s="13">
        <f>VALUE(TRIM(Dataset!E151))</f>
        <v>1</v>
      </c>
      <c r="F151" s="10">
        <f>VALUE(TRIM(Dataset!F151))</f>
        <v>217.56</v>
      </c>
      <c r="G151" s="6" t="str">
        <f>TRIM(Dataset!G151)</f>
        <v>174 Main St</v>
      </c>
      <c r="H151" s="6" t="str">
        <f>TRIM(Dataset!H151)</f>
        <v>Debit Card</v>
      </c>
      <c r="I151" s="6" t="str">
        <f>TRIM(Dataset!I151)</f>
        <v>Delivered</v>
      </c>
      <c r="J151" s="6" t="str">
        <f>TRIM(Dataset!J151)</f>
        <v>TRK47153818</v>
      </c>
      <c r="K151" s="8" t="str">
        <f>TRIM(Dataset!K151)</f>
        <v>3</v>
      </c>
      <c r="L151" s="6" t="s">
        <v>4284</v>
      </c>
      <c r="M151" s="6" t="str">
        <f>TRIM(Dataset!M151)</f>
        <v>Facebook</v>
      </c>
      <c r="N151" s="10">
        <f>VALUE(TRIM(Dataset!N151))</f>
        <v>217.56</v>
      </c>
    </row>
    <row r="152" spans="1:14" x14ac:dyDescent="0.35">
      <c r="A152" s="6" t="str">
        <f>TRIM(Dataset!A152)</f>
        <v>ORD200150</v>
      </c>
      <c r="B152" s="4">
        <f>Dataset!B152</f>
        <v>45273</v>
      </c>
      <c r="C152" s="6" t="str">
        <f>TRIM(Dataset!C152)</f>
        <v>C25503</v>
      </c>
      <c r="D152" s="6" t="str">
        <f>TRIM(Dataset!D152)</f>
        <v>Phone</v>
      </c>
      <c r="E152" s="13">
        <f>VALUE(TRIM(Dataset!E152))</f>
        <v>2</v>
      </c>
      <c r="F152" s="10">
        <f>VALUE(TRIM(Dataset!F152))</f>
        <v>105.57</v>
      </c>
      <c r="G152" s="6" t="str">
        <f>TRIM(Dataset!G152)</f>
        <v>981 Main St</v>
      </c>
      <c r="H152" s="6" t="str">
        <f>TRIM(Dataset!H152)</f>
        <v>Debit Card</v>
      </c>
      <c r="I152" s="6" t="str">
        <f>TRIM(Dataset!I152)</f>
        <v>Returned</v>
      </c>
      <c r="J152" s="6" t="str">
        <f>TRIM(Dataset!J152)</f>
        <v>TRK29878837</v>
      </c>
      <c r="K152" s="8" t="str">
        <f>TRIM(Dataset!K152)</f>
        <v>5</v>
      </c>
      <c r="L152" s="6" t="str">
        <f>Dataset!L152</f>
        <v>WINTER15</v>
      </c>
      <c r="M152" s="6" t="str">
        <f>TRIM(Dataset!M152)</f>
        <v>Google</v>
      </c>
      <c r="N152" s="10">
        <f>VALUE(TRIM(Dataset!N152))</f>
        <v>211.14</v>
      </c>
    </row>
    <row r="153" spans="1:14" x14ac:dyDescent="0.35">
      <c r="A153" s="6" t="str">
        <f>TRIM(Dataset!A153)</f>
        <v>ORD200151</v>
      </c>
      <c r="B153" s="4">
        <f>Dataset!B153</f>
        <v>45261</v>
      </c>
      <c r="C153" s="6" t="str">
        <f>TRIM(Dataset!C153)</f>
        <v>C32960</v>
      </c>
      <c r="D153" s="6" t="str">
        <f>TRIM(Dataset!D153)</f>
        <v>Printer</v>
      </c>
      <c r="E153" s="13">
        <f>VALUE(TRIM(Dataset!E153))</f>
        <v>5</v>
      </c>
      <c r="F153" s="10">
        <f>VALUE(TRIM(Dataset!F153))</f>
        <v>444.76</v>
      </c>
      <c r="G153" s="6" t="str">
        <f>TRIM(Dataset!G153)</f>
        <v>947 Main St</v>
      </c>
      <c r="H153" s="6" t="str">
        <f>TRIM(Dataset!H153)</f>
        <v>Debit Card</v>
      </c>
      <c r="I153" s="6" t="str">
        <f>TRIM(Dataset!I153)</f>
        <v>Returned</v>
      </c>
      <c r="J153" s="6" t="str">
        <f>TRIM(Dataset!J153)</f>
        <v>TRK91226500</v>
      </c>
      <c r="K153" s="8" t="str">
        <f>TRIM(Dataset!K153)</f>
        <v>7</v>
      </c>
      <c r="L153" s="6" t="s">
        <v>4284</v>
      </c>
      <c r="M153" s="6" t="str">
        <f>TRIM(Dataset!M153)</f>
        <v>Email</v>
      </c>
      <c r="N153" s="10">
        <f>VALUE(TRIM(Dataset!N153))</f>
        <v>2223.8000000000002</v>
      </c>
    </row>
    <row r="154" spans="1:14" x14ac:dyDescent="0.35">
      <c r="A154" s="6" t="str">
        <f>TRIM(Dataset!A154)</f>
        <v>ORD200152</v>
      </c>
      <c r="B154" s="4">
        <f>Dataset!B154</f>
        <v>45659</v>
      </c>
      <c r="C154" s="6" t="str">
        <f>TRIM(Dataset!C154)</f>
        <v>C77736</v>
      </c>
      <c r="D154" s="6" t="str">
        <f>TRIM(Dataset!D154)</f>
        <v>Chair</v>
      </c>
      <c r="E154" s="13">
        <f>VALUE(TRIM(Dataset!E154))</f>
        <v>2</v>
      </c>
      <c r="F154" s="10">
        <f>VALUE(TRIM(Dataset!F154))</f>
        <v>399.04</v>
      </c>
      <c r="G154" s="6" t="str">
        <f>TRIM(Dataset!G154)</f>
        <v>659 Main St</v>
      </c>
      <c r="H154" s="6" t="str">
        <f>TRIM(Dataset!H154)</f>
        <v>Cash</v>
      </c>
      <c r="I154" s="6" t="str">
        <f>TRIM(Dataset!I154)</f>
        <v>Cancelled</v>
      </c>
      <c r="J154" s="6" t="str">
        <f>TRIM(Dataset!J154)</f>
        <v>TRK90329250</v>
      </c>
      <c r="K154" s="8" t="str">
        <f>TRIM(Dataset!K154)</f>
        <v>3</v>
      </c>
      <c r="L154" s="6" t="str">
        <f>Dataset!L154</f>
        <v>FREESHIP</v>
      </c>
      <c r="M154" s="6" t="str">
        <f>TRIM(Dataset!M154)</f>
        <v>Referral</v>
      </c>
      <c r="N154" s="10">
        <f>VALUE(TRIM(Dataset!N154))</f>
        <v>798.08</v>
      </c>
    </row>
    <row r="155" spans="1:14" x14ac:dyDescent="0.35">
      <c r="A155" s="6" t="str">
        <f>TRIM(Dataset!A155)</f>
        <v>ORD200153</v>
      </c>
      <c r="B155" s="4">
        <f>Dataset!B155</f>
        <v>45644</v>
      </c>
      <c r="C155" s="6" t="str">
        <f>TRIM(Dataset!C155)</f>
        <v>C71570</v>
      </c>
      <c r="D155" s="6" t="str">
        <f>TRIM(Dataset!D155)</f>
        <v>Chair</v>
      </c>
      <c r="E155" s="13">
        <f>VALUE(TRIM(Dataset!E155))</f>
        <v>4</v>
      </c>
      <c r="F155" s="10">
        <f>VALUE(TRIM(Dataset!F155))</f>
        <v>534.48</v>
      </c>
      <c r="G155" s="6" t="str">
        <f>TRIM(Dataset!G155)</f>
        <v>437 Main St</v>
      </c>
      <c r="H155" s="6" t="str">
        <f>TRIM(Dataset!H155)</f>
        <v>Online</v>
      </c>
      <c r="I155" s="6" t="str">
        <f>TRIM(Dataset!I155)</f>
        <v>Returned</v>
      </c>
      <c r="J155" s="6" t="str">
        <f>TRIM(Dataset!J155)</f>
        <v>TRK95992269</v>
      </c>
      <c r="K155" s="8" t="str">
        <f>TRIM(Dataset!K155)</f>
        <v>9</v>
      </c>
      <c r="L155" s="6" t="str">
        <f>Dataset!L155</f>
        <v>WINTER15</v>
      </c>
      <c r="M155" s="6" t="str">
        <f>TRIM(Dataset!M155)</f>
        <v>Instagram</v>
      </c>
      <c r="N155" s="10">
        <f>VALUE(TRIM(Dataset!N155))</f>
        <v>2137.92</v>
      </c>
    </row>
    <row r="156" spans="1:14" x14ac:dyDescent="0.35">
      <c r="A156" s="6" t="str">
        <f>TRIM(Dataset!A156)</f>
        <v>ORD200154</v>
      </c>
      <c r="B156" s="4">
        <f>Dataset!B156</f>
        <v>45127</v>
      </c>
      <c r="C156" s="6" t="str">
        <f>TRIM(Dataset!C156)</f>
        <v>C73587</v>
      </c>
      <c r="D156" s="6" t="str">
        <f>TRIM(Dataset!D156)</f>
        <v>Phone</v>
      </c>
      <c r="E156" s="13">
        <f>VALUE(TRIM(Dataset!E156))</f>
        <v>4</v>
      </c>
      <c r="F156" s="10">
        <f>VALUE(TRIM(Dataset!F156))</f>
        <v>408.21</v>
      </c>
      <c r="G156" s="6" t="str">
        <f>TRIM(Dataset!G156)</f>
        <v>727 Main St</v>
      </c>
      <c r="H156" s="6" t="str">
        <f>TRIM(Dataset!H156)</f>
        <v>Credit Card</v>
      </c>
      <c r="I156" s="6" t="str">
        <f>TRIM(Dataset!I156)</f>
        <v>Pending</v>
      </c>
      <c r="J156" s="6" t="str">
        <f>TRIM(Dataset!J156)</f>
        <v>TRK13955543</v>
      </c>
      <c r="K156" s="8" t="str">
        <f>TRIM(Dataset!K156)</f>
        <v>9</v>
      </c>
      <c r="L156" s="6" t="s">
        <v>4284</v>
      </c>
      <c r="M156" s="6" t="str">
        <f>TRIM(Dataset!M156)</f>
        <v>Instagram</v>
      </c>
      <c r="N156" s="10">
        <f>VALUE(TRIM(Dataset!N156))</f>
        <v>1632.84</v>
      </c>
    </row>
    <row r="157" spans="1:14" x14ac:dyDescent="0.35">
      <c r="A157" s="6" t="str">
        <f>TRIM(Dataset!A157)</f>
        <v>ORD200155</v>
      </c>
      <c r="B157" s="4">
        <f>Dataset!B157</f>
        <v>44984</v>
      </c>
      <c r="C157" s="6" t="str">
        <f>TRIM(Dataset!C157)</f>
        <v>C62740</v>
      </c>
      <c r="D157" s="6" t="str">
        <f>TRIM(Dataset!D157)</f>
        <v>Phone</v>
      </c>
      <c r="E157" s="13">
        <f>VALUE(TRIM(Dataset!E157))</f>
        <v>1</v>
      </c>
      <c r="F157" s="10">
        <f>VALUE(TRIM(Dataset!F157))</f>
        <v>424.4</v>
      </c>
      <c r="G157" s="6" t="str">
        <f>TRIM(Dataset!G157)</f>
        <v>446 Main St</v>
      </c>
      <c r="H157" s="6" t="str">
        <f>TRIM(Dataset!H157)</f>
        <v>Online</v>
      </c>
      <c r="I157" s="6" t="str">
        <f>TRIM(Dataset!I157)</f>
        <v>Shipped</v>
      </c>
      <c r="J157" s="6" t="str">
        <f>TRIM(Dataset!J157)</f>
        <v>TRK20706408</v>
      </c>
      <c r="K157" s="8" t="str">
        <f>TRIM(Dataset!K157)</f>
        <v>6</v>
      </c>
      <c r="L157" s="6" t="str">
        <f>Dataset!L157</f>
        <v>WINTER15</v>
      </c>
      <c r="M157" s="6" t="str">
        <f>TRIM(Dataset!M157)</f>
        <v>Referral</v>
      </c>
      <c r="N157" s="10">
        <f>VALUE(TRIM(Dataset!N157))</f>
        <v>424.4</v>
      </c>
    </row>
    <row r="158" spans="1:14" x14ac:dyDescent="0.35">
      <c r="A158" s="6" t="str">
        <f>TRIM(Dataset!A158)</f>
        <v>ORD200156</v>
      </c>
      <c r="B158" s="4">
        <f>Dataset!B158</f>
        <v>45604</v>
      </c>
      <c r="C158" s="6" t="str">
        <f>TRIM(Dataset!C158)</f>
        <v>C58808</v>
      </c>
      <c r="D158" s="6" t="str">
        <f>TRIM(Dataset!D158)</f>
        <v>Chair</v>
      </c>
      <c r="E158" s="13">
        <f>VALUE(TRIM(Dataset!E158))</f>
        <v>2</v>
      </c>
      <c r="F158" s="10">
        <f>VALUE(TRIM(Dataset!F158))</f>
        <v>269.83</v>
      </c>
      <c r="G158" s="6" t="str">
        <f>TRIM(Dataset!G158)</f>
        <v>651 Main St</v>
      </c>
      <c r="H158" s="6" t="str">
        <f>TRIM(Dataset!H158)</f>
        <v>Online</v>
      </c>
      <c r="I158" s="6" t="str">
        <f>TRIM(Dataset!I158)</f>
        <v>Delivered</v>
      </c>
      <c r="J158" s="6" t="str">
        <f>TRIM(Dataset!J158)</f>
        <v>TRK24451893</v>
      </c>
      <c r="K158" s="8" t="str">
        <f>TRIM(Dataset!K158)</f>
        <v>4</v>
      </c>
      <c r="L158" s="6" t="str">
        <f>Dataset!L158</f>
        <v>SAVE10</v>
      </c>
      <c r="M158" s="6" t="str">
        <f>TRIM(Dataset!M158)</f>
        <v>Email</v>
      </c>
      <c r="N158" s="10">
        <f>VALUE(TRIM(Dataset!N158))</f>
        <v>539.66</v>
      </c>
    </row>
    <row r="159" spans="1:14" x14ac:dyDescent="0.35">
      <c r="A159" s="6" t="str">
        <f>TRIM(Dataset!A159)</f>
        <v>ORD200157</v>
      </c>
      <c r="B159" s="4">
        <f>Dataset!B159</f>
        <v>45709</v>
      </c>
      <c r="C159" s="6" t="str">
        <f>TRIM(Dataset!C159)</f>
        <v>C50422</v>
      </c>
      <c r="D159" s="6" t="str">
        <f>TRIM(Dataset!D159)</f>
        <v>Monitor</v>
      </c>
      <c r="E159" s="13">
        <f>VALUE(TRIM(Dataset!E159))</f>
        <v>2</v>
      </c>
      <c r="F159" s="10">
        <f>VALUE(TRIM(Dataset!F159))</f>
        <v>564.58000000000004</v>
      </c>
      <c r="G159" s="6" t="str">
        <f>TRIM(Dataset!G159)</f>
        <v>636 Main St</v>
      </c>
      <c r="H159" s="6" t="str">
        <f>TRIM(Dataset!H159)</f>
        <v>Online</v>
      </c>
      <c r="I159" s="6" t="str">
        <f>TRIM(Dataset!I159)</f>
        <v>Returned</v>
      </c>
      <c r="J159" s="6" t="str">
        <f>TRIM(Dataset!J159)</f>
        <v>TRK71227815</v>
      </c>
      <c r="K159" s="8" t="str">
        <f>TRIM(Dataset!K159)</f>
        <v>4</v>
      </c>
      <c r="L159" s="6" t="str">
        <f>Dataset!L159</f>
        <v>WINTER15</v>
      </c>
      <c r="M159" s="6" t="str">
        <f>TRIM(Dataset!M159)</f>
        <v>Facebook</v>
      </c>
      <c r="N159" s="10">
        <f>VALUE(TRIM(Dataset!N159))</f>
        <v>1129.1600000000001</v>
      </c>
    </row>
    <row r="160" spans="1:14" x14ac:dyDescent="0.35">
      <c r="A160" s="6" t="str">
        <f>TRIM(Dataset!A160)</f>
        <v>ORD200158</v>
      </c>
      <c r="B160" s="4">
        <f>Dataset!B160</f>
        <v>45428</v>
      </c>
      <c r="C160" s="6" t="str">
        <f>TRIM(Dataset!C160)</f>
        <v>C23334</v>
      </c>
      <c r="D160" s="6" t="str">
        <f>TRIM(Dataset!D160)</f>
        <v>Tablet</v>
      </c>
      <c r="E160" s="13">
        <f>VALUE(TRIM(Dataset!E160))</f>
        <v>1</v>
      </c>
      <c r="F160" s="10">
        <f>VALUE(TRIM(Dataset!F160))</f>
        <v>331.06</v>
      </c>
      <c r="G160" s="6" t="str">
        <f>TRIM(Dataset!G160)</f>
        <v>737 Main St</v>
      </c>
      <c r="H160" s="6" t="str">
        <f>TRIM(Dataset!H160)</f>
        <v>Credit Card</v>
      </c>
      <c r="I160" s="6" t="str">
        <f>TRIM(Dataset!I160)</f>
        <v>Pending</v>
      </c>
      <c r="J160" s="6" t="str">
        <f>TRIM(Dataset!J160)</f>
        <v>TRK46335144</v>
      </c>
      <c r="K160" s="8" t="str">
        <f>TRIM(Dataset!K160)</f>
        <v>5</v>
      </c>
      <c r="L160" s="6" t="str">
        <f>Dataset!L160</f>
        <v>WINTER15</v>
      </c>
      <c r="M160" s="6" t="str">
        <f>TRIM(Dataset!M160)</f>
        <v>Instagram</v>
      </c>
      <c r="N160" s="10">
        <f>VALUE(TRIM(Dataset!N160))</f>
        <v>331.06</v>
      </c>
    </row>
    <row r="161" spans="1:14" x14ac:dyDescent="0.35">
      <c r="A161" s="6" t="str">
        <f>TRIM(Dataset!A161)</f>
        <v>ORD200159</v>
      </c>
      <c r="B161" s="4">
        <f>Dataset!B161</f>
        <v>45230</v>
      </c>
      <c r="C161" s="6" t="str">
        <f>TRIM(Dataset!C161)</f>
        <v>C48965</v>
      </c>
      <c r="D161" s="6" t="str">
        <f>TRIM(Dataset!D161)</f>
        <v>Printer</v>
      </c>
      <c r="E161" s="13">
        <f>VALUE(TRIM(Dataset!E161))</f>
        <v>1</v>
      </c>
      <c r="F161" s="10">
        <f>VALUE(TRIM(Dataset!F161))</f>
        <v>299.35000000000002</v>
      </c>
      <c r="G161" s="6" t="str">
        <f>TRIM(Dataset!G161)</f>
        <v>819 Main St</v>
      </c>
      <c r="H161" s="6" t="str">
        <f>TRIM(Dataset!H161)</f>
        <v>Credit Card</v>
      </c>
      <c r="I161" s="6" t="str">
        <f>TRIM(Dataset!I161)</f>
        <v>Cancelled</v>
      </c>
      <c r="J161" s="6" t="str">
        <f>TRIM(Dataset!J161)</f>
        <v>TRK50921780</v>
      </c>
      <c r="K161" s="8" t="str">
        <f>TRIM(Dataset!K161)</f>
        <v>5</v>
      </c>
      <c r="L161" s="6" t="str">
        <f>Dataset!L161</f>
        <v>WINTER15</v>
      </c>
      <c r="M161" s="6" t="str">
        <f>TRIM(Dataset!M161)</f>
        <v>Email</v>
      </c>
      <c r="N161" s="10">
        <f>VALUE(TRIM(Dataset!N161))</f>
        <v>299.35000000000002</v>
      </c>
    </row>
    <row r="162" spans="1:14" x14ac:dyDescent="0.35">
      <c r="A162" s="6" t="str">
        <f>TRIM(Dataset!A162)</f>
        <v>ORD200160</v>
      </c>
      <c r="B162" s="4">
        <f>Dataset!B162</f>
        <v>44974</v>
      </c>
      <c r="C162" s="6" t="str">
        <f>TRIM(Dataset!C162)</f>
        <v>C38669</v>
      </c>
      <c r="D162" s="6" t="str">
        <f>TRIM(Dataset!D162)</f>
        <v>Monitor</v>
      </c>
      <c r="E162" s="13">
        <f>VALUE(TRIM(Dataset!E162))</f>
        <v>4</v>
      </c>
      <c r="F162" s="10">
        <f>VALUE(TRIM(Dataset!F162))</f>
        <v>101.32</v>
      </c>
      <c r="G162" s="6" t="str">
        <f>TRIM(Dataset!G162)</f>
        <v>240 Main St</v>
      </c>
      <c r="H162" s="6" t="str">
        <f>TRIM(Dataset!H162)</f>
        <v>Cash</v>
      </c>
      <c r="I162" s="6" t="str">
        <f>TRIM(Dataset!I162)</f>
        <v>Pending</v>
      </c>
      <c r="J162" s="6" t="str">
        <f>TRIM(Dataset!J162)</f>
        <v>TRK81738254</v>
      </c>
      <c r="K162" s="8" t="str">
        <f>TRIM(Dataset!K162)</f>
        <v>7</v>
      </c>
      <c r="L162" s="6" t="s">
        <v>4284</v>
      </c>
      <c r="M162" s="6" t="str">
        <f>TRIM(Dataset!M162)</f>
        <v>Referral</v>
      </c>
      <c r="N162" s="10">
        <f>VALUE(TRIM(Dataset!N162))</f>
        <v>405.28</v>
      </c>
    </row>
    <row r="163" spans="1:14" x14ac:dyDescent="0.35">
      <c r="A163" s="6" t="str">
        <f>TRIM(Dataset!A163)</f>
        <v>ORD200161</v>
      </c>
      <c r="B163" s="4">
        <f>Dataset!B163</f>
        <v>45380</v>
      </c>
      <c r="C163" s="6" t="str">
        <f>TRIM(Dataset!C163)</f>
        <v>C35091</v>
      </c>
      <c r="D163" s="6" t="str">
        <f>TRIM(Dataset!D163)</f>
        <v>Monitor</v>
      </c>
      <c r="E163" s="13">
        <f>VALUE(TRIM(Dataset!E163))</f>
        <v>1</v>
      </c>
      <c r="F163" s="10">
        <f>VALUE(TRIM(Dataset!F163))</f>
        <v>211.14</v>
      </c>
      <c r="G163" s="6" t="str">
        <f>TRIM(Dataset!G163)</f>
        <v>513 Main St</v>
      </c>
      <c r="H163" s="6" t="str">
        <f>TRIM(Dataset!H163)</f>
        <v>Credit Card</v>
      </c>
      <c r="I163" s="6" t="str">
        <f>TRIM(Dataset!I163)</f>
        <v>Cancelled</v>
      </c>
      <c r="J163" s="6" t="str">
        <f>TRIM(Dataset!J163)</f>
        <v>TRK53784452</v>
      </c>
      <c r="K163" s="8" t="str">
        <f>TRIM(Dataset!K163)</f>
        <v>1</v>
      </c>
      <c r="L163" s="6" t="str">
        <f>Dataset!L163</f>
        <v>SAVE10</v>
      </c>
      <c r="M163" s="6" t="str">
        <f>TRIM(Dataset!M163)</f>
        <v>Facebook</v>
      </c>
      <c r="N163" s="10">
        <f>VALUE(TRIM(Dataset!N163))</f>
        <v>211.14</v>
      </c>
    </row>
    <row r="164" spans="1:14" x14ac:dyDescent="0.35">
      <c r="A164" s="6" t="str">
        <f>TRIM(Dataset!A164)</f>
        <v>ORD200162</v>
      </c>
      <c r="B164" s="4">
        <f>Dataset!B164</f>
        <v>45134</v>
      </c>
      <c r="C164" s="6" t="str">
        <f>TRIM(Dataset!C164)</f>
        <v>C82313</v>
      </c>
      <c r="D164" s="6" t="str">
        <f>TRIM(Dataset!D164)</f>
        <v>Chair</v>
      </c>
      <c r="E164" s="13">
        <f>VALUE(TRIM(Dataset!E164))</f>
        <v>3</v>
      </c>
      <c r="F164" s="10">
        <f>VALUE(TRIM(Dataset!F164))</f>
        <v>65.86</v>
      </c>
      <c r="G164" s="6" t="str">
        <f>TRIM(Dataset!G164)</f>
        <v>917 Main St</v>
      </c>
      <c r="H164" s="6" t="str">
        <f>TRIM(Dataset!H164)</f>
        <v>Online</v>
      </c>
      <c r="I164" s="6" t="str">
        <f>TRIM(Dataset!I164)</f>
        <v>Pending</v>
      </c>
      <c r="J164" s="6" t="str">
        <f>TRIM(Dataset!J164)</f>
        <v>TRK79854624</v>
      </c>
      <c r="K164" s="8" t="str">
        <f>TRIM(Dataset!K164)</f>
        <v>8</v>
      </c>
      <c r="L164" s="6" t="str">
        <f>Dataset!L164</f>
        <v>WINTER15</v>
      </c>
      <c r="M164" s="6" t="str">
        <f>TRIM(Dataset!M164)</f>
        <v>Google</v>
      </c>
      <c r="N164" s="10">
        <f>VALUE(TRIM(Dataset!N164))</f>
        <v>197.58</v>
      </c>
    </row>
    <row r="165" spans="1:14" x14ac:dyDescent="0.35">
      <c r="A165" s="6" t="str">
        <f>TRIM(Dataset!A165)</f>
        <v>ORD200163</v>
      </c>
      <c r="B165" s="4">
        <f>Dataset!B165</f>
        <v>45832</v>
      </c>
      <c r="C165" s="6" t="str">
        <f>TRIM(Dataset!C165)</f>
        <v>C99589</v>
      </c>
      <c r="D165" s="6" t="str">
        <f>TRIM(Dataset!D165)</f>
        <v>Tablet</v>
      </c>
      <c r="E165" s="13">
        <f>VALUE(TRIM(Dataset!E165))</f>
        <v>1</v>
      </c>
      <c r="F165" s="10">
        <f>VALUE(TRIM(Dataset!F165))</f>
        <v>641.39</v>
      </c>
      <c r="G165" s="6" t="str">
        <f>TRIM(Dataset!G165)</f>
        <v>277 Main St</v>
      </c>
      <c r="H165" s="6" t="str">
        <f>TRIM(Dataset!H165)</f>
        <v>Online</v>
      </c>
      <c r="I165" s="6" t="str">
        <f>TRIM(Dataset!I165)</f>
        <v>Cancelled</v>
      </c>
      <c r="J165" s="6" t="str">
        <f>TRIM(Dataset!J165)</f>
        <v>TRK16695001</v>
      </c>
      <c r="K165" s="8" t="str">
        <f>TRIM(Dataset!K165)</f>
        <v>1</v>
      </c>
      <c r="L165" s="6" t="s">
        <v>4284</v>
      </c>
      <c r="M165" s="6" t="str">
        <f>TRIM(Dataset!M165)</f>
        <v>Referral</v>
      </c>
      <c r="N165" s="10">
        <f>VALUE(TRIM(Dataset!N165))</f>
        <v>641.39</v>
      </c>
    </row>
    <row r="166" spans="1:14" x14ac:dyDescent="0.35">
      <c r="A166" s="6" t="str">
        <f>TRIM(Dataset!A166)</f>
        <v>ORD200164</v>
      </c>
      <c r="B166" s="4">
        <f>Dataset!B166</f>
        <v>45288</v>
      </c>
      <c r="C166" s="6" t="str">
        <f>TRIM(Dataset!C166)</f>
        <v>C70566</v>
      </c>
      <c r="D166" s="6" t="str">
        <f>TRIM(Dataset!D166)</f>
        <v>Desk</v>
      </c>
      <c r="E166" s="13">
        <f>VALUE(TRIM(Dataset!E166))</f>
        <v>5</v>
      </c>
      <c r="F166" s="10">
        <f>VALUE(TRIM(Dataset!F166))</f>
        <v>536.58000000000004</v>
      </c>
      <c r="G166" s="6" t="str">
        <f>TRIM(Dataset!G166)</f>
        <v>667 Main St</v>
      </c>
      <c r="H166" s="6" t="str">
        <f>TRIM(Dataset!H166)</f>
        <v>Gift Card</v>
      </c>
      <c r="I166" s="6" t="str">
        <f>TRIM(Dataset!I166)</f>
        <v>Pending</v>
      </c>
      <c r="J166" s="6" t="str">
        <f>TRIM(Dataset!J166)</f>
        <v>TRK49673411</v>
      </c>
      <c r="K166" s="8" t="str">
        <f>TRIM(Dataset!K166)</f>
        <v>5</v>
      </c>
      <c r="L166" s="6" t="str">
        <f>Dataset!L166</f>
        <v>SAVE10</v>
      </c>
      <c r="M166" s="6" t="str">
        <f>TRIM(Dataset!M166)</f>
        <v>Google</v>
      </c>
      <c r="N166" s="10">
        <f>VALUE(TRIM(Dataset!N166))</f>
        <v>2682.9</v>
      </c>
    </row>
    <row r="167" spans="1:14" x14ac:dyDescent="0.35">
      <c r="A167" s="6" t="str">
        <f>TRIM(Dataset!A167)</f>
        <v>ORD200165</v>
      </c>
      <c r="B167" s="4">
        <f>Dataset!B167</f>
        <v>45549</v>
      </c>
      <c r="C167" s="6" t="str">
        <f>TRIM(Dataset!C167)</f>
        <v>C60355</v>
      </c>
      <c r="D167" s="6" t="str">
        <f>TRIM(Dataset!D167)</f>
        <v>Monitor</v>
      </c>
      <c r="E167" s="13">
        <f>VALUE(TRIM(Dataset!E167))</f>
        <v>2</v>
      </c>
      <c r="F167" s="10">
        <f>VALUE(TRIM(Dataset!F167))</f>
        <v>500.29</v>
      </c>
      <c r="G167" s="6" t="str">
        <f>TRIM(Dataset!G167)</f>
        <v>226 Main St</v>
      </c>
      <c r="H167" s="6" t="str">
        <f>TRIM(Dataset!H167)</f>
        <v>Online</v>
      </c>
      <c r="I167" s="6" t="str">
        <f>TRIM(Dataset!I167)</f>
        <v>Returned</v>
      </c>
      <c r="J167" s="6" t="str">
        <f>TRIM(Dataset!J167)</f>
        <v>TRK30155194</v>
      </c>
      <c r="K167" s="8" t="str">
        <f>TRIM(Dataset!K167)</f>
        <v>7</v>
      </c>
      <c r="L167" s="6" t="str">
        <f>Dataset!L167</f>
        <v>WINTER15</v>
      </c>
      <c r="M167" s="6" t="str">
        <f>TRIM(Dataset!M167)</f>
        <v>Google</v>
      </c>
      <c r="N167" s="10">
        <f>VALUE(TRIM(Dataset!N167))</f>
        <v>1000.58</v>
      </c>
    </row>
    <row r="168" spans="1:14" x14ac:dyDescent="0.35">
      <c r="A168" s="6" t="str">
        <f>TRIM(Dataset!A168)</f>
        <v>ORD200166</v>
      </c>
      <c r="B168" s="4">
        <f>Dataset!B168</f>
        <v>45720</v>
      </c>
      <c r="C168" s="6" t="str">
        <f>TRIM(Dataset!C168)</f>
        <v>C28889</v>
      </c>
      <c r="D168" s="6" t="str">
        <f>TRIM(Dataset!D168)</f>
        <v>Chair</v>
      </c>
      <c r="E168" s="13">
        <f>VALUE(TRIM(Dataset!E168))</f>
        <v>3</v>
      </c>
      <c r="F168" s="10">
        <f>VALUE(TRIM(Dataset!F168))</f>
        <v>86.29</v>
      </c>
      <c r="G168" s="6" t="str">
        <f>TRIM(Dataset!G168)</f>
        <v>565 Main St</v>
      </c>
      <c r="H168" s="6" t="str">
        <f>TRIM(Dataset!H168)</f>
        <v>Cash</v>
      </c>
      <c r="I168" s="6" t="str">
        <f>TRIM(Dataset!I168)</f>
        <v>Delivered</v>
      </c>
      <c r="J168" s="6" t="str">
        <f>TRIM(Dataset!J168)</f>
        <v>TRK23791726</v>
      </c>
      <c r="K168" s="8" t="str">
        <f>TRIM(Dataset!K168)</f>
        <v>6</v>
      </c>
      <c r="L168" s="6" t="str">
        <f>Dataset!L168</f>
        <v>WINTER15</v>
      </c>
      <c r="M168" s="6" t="str">
        <f>TRIM(Dataset!M168)</f>
        <v>Instagram</v>
      </c>
      <c r="N168" s="10">
        <f>VALUE(TRIM(Dataset!N168))</f>
        <v>258.87</v>
      </c>
    </row>
    <row r="169" spans="1:14" x14ac:dyDescent="0.35">
      <c r="A169" s="6" t="str">
        <f>TRIM(Dataset!A169)</f>
        <v>ORD200167</v>
      </c>
      <c r="B169" s="4">
        <f>Dataset!B169</f>
        <v>45073</v>
      </c>
      <c r="C169" s="6" t="str">
        <f>TRIM(Dataset!C169)</f>
        <v>C88304</v>
      </c>
      <c r="D169" s="6" t="str">
        <f>TRIM(Dataset!D169)</f>
        <v>Chair</v>
      </c>
      <c r="E169" s="13">
        <f>VALUE(TRIM(Dataset!E169))</f>
        <v>2</v>
      </c>
      <c r="F169" s="10">
        <f>VALUE(TRIM(Dataset!F169))</f>
        <v>384.14</v>
      </c>
      <c r="G169" s="6" t="str">
        <f>TRIM(Dataset!G169)</f>
        <v>219 Main St</v>
      </c>
      <c r="H169" s="6" t="str">
        <f>TRIM(Dataset!H169)</f>
        <v>Online</v>
      </c>
      <c r="I169" s="6" t="str">
        <f>TRIM(Dataset!I169)</f>
        <v>Returned</v>
      </c>
      <c r="J169" s="6" t="str">
        <f>TRIM(Dataset!J169)</f>
        <v>TRK44268941</v>
      </c>
      <c r="K169" s="8" t="str">
        <f>TRIM(Dataset!K169)</f>
        <v>2</v>
      </c>
      <c r="L169" s="6" t="str">
        <f>Dataset!L169</f>
        <v>WINTER15</v>
      </c>
      <c r="M169" s="6" t="str">
        <f>TRIM(Dataset!M169)</f>
        <v>Email</v>
      </c>
      <c r="N169" s="10">
        <f>VALUE(TRIM(Dataset!N169))</f>
        <v>768.28</v>
      </c>
    </row>
    <row r="170" spans="1:14" x14ac:dyDescent="0.35">
      <c r="A170" s="6" t="str">
        <f>TRIM(Dataset!A170)</f>
        <v>ORD200168</v>
      </c>
      <c r="B170" s="4">
        <f>Dataset!B170</f>
        <v>45661</v>
      </c>
      <c r="C170" s="6" t="str">
        <f>TRIM(Dataset!C170)</f>
        <v>C49517</v>
      </c>
      <c r="D170" s="6" t="str">
        <f>TRIM(Dataset!D170)</f>
        <v>Printer</v>
      </c>
      <c r="E170" s="13">
        <f>VALUE(TRIM(Dataset!E170))</f>
        <v>1</v>
      </c>
      <c r="F170" s="10">
        <f>VALUE(TRIM(Dataset!F170))</f>
        <v>594.96</v>
      </c>
      <c r="G170" s="6" t="str">
        <f>TRIM(Dataset!G170)</f>
        <v>878 Main St</v>
      </c>
      <c r="H170" s="6" t="str">
        <f>TRIM(Dataset!H170)</f>
        <v>Cash</v>
      </c>
      <c r="I170" s="6" t="str">
        <f>TRIM(Dataset!I170)</f>
        <v>Returned</v>
      </c>
      <c r="J170" s="6" t="str">
        <f>TRIM(Dataset!J170)</f>
        <v>TRK78551375</v>
      </c>
      <c r="K170" s="8" t="str">
        <f>TRIM(Dataset!K170)</f>
        <v>6</v>
      </c>
      <c r="L170" s="6" t="s">
        <v>4284</v>
      </c>
      <c r="M170" s="6" t="str">
        <f>TRIM(Dataset!M170)</f>
        <v>Facebook</v>
      </c>
      <c r="N170" s="10">
        <f>VALUE(TRIM(Dataset!N170))</f>
        <v>594.96</v>
      </c>
    </row>
    <row r="171" spans="1:14" x14ac:dyDescent="0.35">
      <c r="A171" s="6" t="str">
        <f>TRIM(Dataset!A171)</f>
        <v>ORD200169</v>
      </c>
      <c r="B171" s="4">
        <f>Dataset!B171</f>
        <v>45389</v>
      </c>
      <c r="C171" s="6" t="str">
        <f>TRIM(Dataset!C171)</f>
        <v>C35785</v>
      </c>
      <c r="D171" s="6" t="str">
        <f>TRIM(Dataset!D171)</f>
        <v>Printer</v>
      </c>
      <c r="E171" s="13">
        <f>VALUE(TRIM(Dataset!E171))</f>
        <v>1</v>
      </c>
      <c r="F171" s="10">
        <f>VALUE(TRIM(Dataset!F171))</f>
        <v>427.82</v>
      </c>
      <c r="G171" s="6" t="str">
        <f>TRIM(Dataset!G171)</f>
        <v>732 Main St</v>
      </c>
      <c r="H171" s="6" t="str">
        <f>TRIM(Dataset!H171)</f>
        <v>Online</v>
      </c>
      <c r="I171" s="6" t="str">
        <f>TRIM(Dataset!I171)</f>
        <v>Delivered</v>
      </c>
      <c r="J171" s="6" t="str">
        <f>TRIM(Dataset!J171)</f>
        <v>TRK78923089</v>
      </c>
      <c r="K171" s="8" t="str">
        <f>TRIM(Dataset!K171)</f>
        <v>2</v>
      </c>
      <c r="L171" s="6" t="str">
        <f>Dataset!L171</f>
        <v>WINTER15</v>
      </c>
      <c r="M171" s="6" t="str">
        <f>TRIM(Dataset!M171)</f>
        <v>Email</v>
      </c>
      <c r="N171" s="10">
        <f>VALUE(TRIM(Dataset!N171))</f>
        <v>427.82</v>
      </c>
    </row>
    <row r="172" spans="1:14" x14ac:dyDescent="0.35">
      <c r="A172" s="6" t="str">
        <f>TRIM(Dataset!A172)</f>
        <v>ORD200170</v>
      </c>
      <c r="B172" s="4">
        <f>Dataset!B172</f>
        <v>45751</v>
      </c>
      <c r="C172" s="6" t="str">
        <f>TRIM(Dataset!C172)</f>
        <v>C80223</v>
      </c>
      <c r="D172" s="6" t="str">
        <f>TRIM(Dataset!D172)</f>
        <v>Desk</v>
      </c>
      <c r="E172" s="13">
        <f>VALUE(TRIM(Dataset!E172))</f>
        <v>4</v>
      </c>
      <c r="F172" s="10">
        <f>VALUE(TRIM(Dataset!F172))</f>
        <v>662.94</v>
      </c>
      <c r="G172" s="6" t="str">
        <f>TRIM(Dataset!G172)</f>
        <v>535 Main St</v>
      </c>
      <c r="H172" s="6" t="str">
        <f>TRIM(Dataset!H172)</f>
        <v>Cash</v>
      </c>
      <c r="I172" s="6" t="str">
        <f>TRIM(Dataset!I172)</f>
        <v>Cancelled</v>
      </c>
      <c r="J172" s="6" t="str">
        <f>TRIM(Dataset!J172)</f>
        <v>TRK68632951</v>
      </c>
      <c r="K172" s="8" t="str">
        <f>TRIM(Dataset!K172)</f>
        <v>8</v>
      </c>
      <c r="L172" s="6" t="str">
        <f>Dataset!L172</f>
        <v>SAVE10</v>
      </c>
      <c r="M172" s="6" t="str">
        <f>TRIM(Dataset!M172)</f>
        <v>Instagram</v>
      </c>
      <c r="N172" s="10">
        <f>VALUE(TRIM(Dataset!N172))</f>
        <v>2651.76</v>
      </c>
    </row>
    <row r="173" spans="1:14" x14ac:dyDescent="0.35">
      <c r="A173" s="6" t="str">
        <f>TRIM(Dataset!A173)</f>
        <v>ORD200171</v>
      </c>
      <c r="B173" s="4">
        <f>Dataset!B173</f>
        <v>45153</v>
      </c>
      <c r="C173" s="6" t="str">
        <f>TRIM(Dataset!C173)</f>
        <v>C20448</v>
      </c>
      <c r="D173" s="6" t="str">
        <f>TRIM(Dataset!D173)</f>
        <v>Tablet</v>
      </c>
      <c r="E173" s="13">
        <f>VALUE(TRIM(Dataset!E173))</f>
        <v>2</v>
      </c>
      <c r="F173" s="10">
        <f>VALUE(TRIM(Dataset!F173))</f>
        <v>148.22</v>
      </c>
      <c r="G173" s="6" t="str">
        <f>TRIM(Dataset!G173)</f>
        <v>336 Main St</v>
      </c>
      <c r="H173" s="6" t="str">
        <f>TRIM(Dataset!H173)</f>
        <v>Credit Card</v>
      </c>
      <c r="I173" s="6" t="str">
        <f>TRIM(Dataset!I173)</f>
        <v>Delivered</v>
      </c>
      <c r="J173" s="6" t="str">
        <f>TRIM(Dataset!J173)</f>
        <v>TRK67379895</v>
      </c>
      <c r="K173" s="8" t="str">
        <f>TRIM(Dataset!K173)</f>
        <v>7</v>
      </c>
      <c r="L173" s="6" t="str">
        <f>Dataset!L173</f>
        <v>WINTER15</v>
      </c>
      <c r="M173" s="6" t="str">
        <f>TRIM(Dataset!M173)</f>
        <v>Instagram</v>
      </c>
      <c r="N173" s="10">
        <f>VALUE(TRIM(Dataset!N173))</f>
        <v>296.44</v>
      </c>
    </row>
    <row r="174" spans="1:14" x14ac:dyDescent="0.35">
      <c r="A174" s="6" t="str">
        <f>TRIM(Dataset!A174)</f>
        <v>ORD200172</v>
      </c>
      <c r="B174" s="4">
        <f>Dataset!B174</f>
        <v>45753</v>
      </c>
      <c r="C174" s="6" t="str">
        <f>TRIM(Dataset!C174)</f>
        <v>C34134</v>
      </c>
      <c r="D174" s="6" t="str">
        <f>TRIM(Dataset!D174)</f>
        <v>Printer</v>
      </c>
      <c r="E174" s="13">
        <f>VALUE(TRIM(Dataset!E174))</f>
        <v>1</v>
      </c>
      <c r="F174" s="10">
        <f>VALUE(TRIM(Dataset!F174))</f>
        <v>254.12</v>
      </c>
      <c r="G174" s="6" t="str">
        <f>TRIM(Dataset!G174)</f>
        <v>365 Main St</v>
      </c>
      <c r="H174" s="6" t="str">
        <f>TRIM(Dataset!H174)</f>
        <v>Online</v>
      </c>
      <c r="I174" s="6" t="str">
        <f>TRIM(Dataset!I174)</f>
        <v>Delivered</v>
      </c>
      <c r="J174" s="6" t="str">
        <f>TRIM(Dataset!J174)</f>
        <v>TRK43074303</v>
      </c>
      <c r="K174" s="8" t="str">
        <f>TRIM(Dataset!K174)</f>
        <v>1</v>
      </c>
      <c r="L174" s="6" t="str">
        <f>Dataset!L174</f>
        <v>WINTER15</v>
      </c>
      <c r="M174" s="6" t="str">
        <f>TRIM(Dataset!M174)</f>
        <v>Email</v>
      </c>
      <c r="N174" s="10">
        <f>VALUE(TRIM(Dataset!N174))</f>
        <v>254.12</v>
      </c>
    </row>
    <row r="175" spans="1:14" x14ac:dyDescent="0.35">
      <c r="A175" s="6" t="str">
        <f>TRIM(Dataset!A175)</f>
        <v>ORD200173</v>
      </c>
      <c r="B175" s="4">
        <f>Dataset!B175</f>
        <v>45375</v>
      </c>
      <c r="C175" s="6" t="str">
        <f>TRIM(Dataset!C175)</f>
        <v>C95901</v>
      </c>
      <c r="D175" s="6" t="str">
        <f>TRIM(Dataset!D175)</f>
        <v>Phone</v>
      </c>
      <c r="E175" s="13">
        <f>VALUE(TRIM(Dataset!E175))</f>
        <v>3</v>
      </c>
      <c r="F175" s="10">
        <f>VALUE(TRIM(Dataset!F175))</f>
        <v>664.46</v>
      </c>
      <c r="G175" s="6" t="str">
        <f>TRIM(Dataset!G175)</f>
        <v>806 Main St</v>
      </c>
      <c r="H175" s="6" t="str">
        <f>TRIM(Dataset!H175)</f>
        <v>Online</v>
      </c>
      <c r="I175" s="6" t="str">
        <f>TRIM(Dataset!I175)</f>
        <v>Delivered</v>
      </c>
      <c r="J175" s="6" t="str">
        <f>TRIM(Dataset!J175)</f>
        <v>TRK56989066</v>
      </c>
      <c r="K175" s="8" t="str">
        <f>TRIM(Dataset!K175)</f>
        <v>4</v>
      </c>
      <c r="L175" s="6" t="str">
        <f>Dataset!L175</f>
        <v>FREESHIP</v>
      </c>
      <c r="M175" s="6" t="str">
        <f>TRIM(Dataset!M175)</f>
        <v>Google</v>
      </c>
      <c r="N175" s="10">
        <f>VALUE(TRIM(Dataset!N175))</f>
        <v>1993.38</v>
      </c>
    </row>
    <row r="176" spans="1:14" x14ac:dyDescent="0.35">
      <c r="A176" s="6" t="str">
        <f>TRIM(Dataset!A176)</f>
        <v>ORD200174</v>
      </c>
      <c r="B176" s="4">
        <f>Dataset!B176</f>
        <v>45398</v>
      </c>
      <c r="C176" s="6" t="str">
        <f>TRIM(Dataset!C176)</f>
        <v>C51145</v>
      </c>
      <c r="D176" s="6" t="str">
        <f>TRIM(Dataset!D176)</f>
        <v>Printer</v>
      </c>
      <c r="E176" s="13">
        <f>VALUE(TRIM(Dataset!E176))</f>
        <v>4</v>
      </c>
      <c r="F176" s="10">
        <f>VALUE(TRIM(Dataset!F176))</f>
        <v>600.80999999999995</v>
      </c>
      <c r="G176" s="6" t="str">
        <f>TRIM(Dataset!G176)</f>
        <v>790 Main St</v>
      </c>
      <c r="H176" s="6" t="str">
        <f>TRIM(Dataset!H176)</f>
        <v>Debit Card</v>
      </c>
      <c r="I176" s="6" t="str">
        <f>TRIM(Dataset!I176)</f>
        <v>Delivered</v>
      </c>
      <c r="J176" s="6" t="str">
        <f>TRIM(Dataset!J176)</f>
        <v>TRK59154274</v>
      </c>
      <c r="K176" s="8" t="str">
        <f>TRIM(Dataset!K176)</f>
        <v>9</v>
      </c>
      <c r="L176" s="6" t="str">
        <f>Dataset!L176</f>
        <v>SAVE10</v>
      </c>
      <c r="M176" s="6" t="str">
        <f>TRIM(Dataset!M176)</f>
        <v>Email</v>
      </c>
      <c r="N176" s="10">
        <f>VALUE(TRIM(Dataset!N176))</f>
        <v>2403.2399999999998</v>
      </c>
    </row>
    <row r="177" spans="1:14" x14ac:dyDescent="0.35">
      <c r="A177" s="6" t="str">
        <f>TRIM(Dataset!A177)</f>
        <v>ORD200175</v>
      </c>
      <c r="B177" s="4">
        <f>Dataset!B177</f>
        <v>45696</v>
      </c>
      <c r="C177" s="6" t="str">
        <f>TRIM(Dataset!C177)</f>
        <v>C78170</v>
      </c>
      <c r="D177" s="6" t="str">
        <f>TRIM(Dataset!D177)</f>
        <v>Chair</v>
      </c>
      <c r="E177" s="13">
        <f>VALUE(TRIM(Dataset!E177))</f>
        <v>5</v>
      </c>
      <c r="F177" s="10">
        <f>VALUE(TRIM(Dataset!F177))</f>
        <v>68.34</v>
      </c>
      <c r="G177" s="6" t="str">
        <f>TRIM(Dataset!G177)</f>
        <v>332 Main St</v>
      </c>
      <c r="H177" s="6" t="str">
        <f>TRIM(Dataset!H177)</f>
        <v>Debit Card</v>
      </c>
      <c r="I177" s="6" t="str">
        <f>TRIM(Dataset!I177)</f>
        <v>Pending</v>
      </c>
      <c r="J177" s="6" t="str">
        <f>TRIM(Dataset!J177)</f>
        <v>TRK71410605</v>
      </c>
      <c r="K177" s="8" t="str">
        <f>TRIM(Dataset!K177)</f>
        <v>6</v>
      </c>
      <c r="L177" s="6" t="str">
        <f>Dataset!L177</f>
        <v>WINTER15</v>
      </c>
      <c r="M177" s="6" t="str">
        <f>TRIM(Dataset!M177)</f>
        <v>Referral</v>
      </c>
      <c r="N177" s="10">
        <f>VALUE(TRIM(Dataset!N177))</f>
        <v>341.7</v>
      </c>
    </row>
    <row r="178" spans="1:14" x14ac:dyDescent="0.35">
      <c r="A178" s="6" t="str">
        <f>TRIM(Dataset!A178)</f>
        <v>ORD200176</v>
      </c>
      <c r="B178" s="4">
        <f>Dataset!B178</f>
        <v>45836</v>
      </c>
      <c r="C178" s="6" t="str">
        <f>TRIM(Dataset!C178)</f>
        <v>C80151</v>
      </c>
      <c r="D178" s="6" t="str">
        <f>TRIM(Dataset!D178)</f>
        <v>Tablet</v>
      </c>
      <c r="E178" s="13">
        <f>VALUE(TRIM(Dataset!E178))</f>
        <v>4</v>
      </c>
      <c r="F178" s="10">
        <f>VALUE(TRIM(Dataset!F178))</f>
        <v>430.83</v>
      </c>
      <c r="G178" s="6" t="str">
        <f>TRIM(Dataset!G178)</f>
        <v>553 Main St</v>
      </c>
      <c r="H178" s="6" t="str">
        <f>TRIM(Dataset!H178)</f>
        <v>Gift Card</v>
      </c>
      <c r="I178" s="6" t="str">
        <f>TRIM(Dataset!I178)</f>
        <v>Pending</v>
      </c>
      <c r="J178" s="6" t="str">
        <f>TRIM(Dataset!J178)</f>
        <v>TRK88251529</v>
      </c>
      <c r="K178" s="8" t="str">
        <f>TRIM(Dataset!K178)</f>
        <v>8</v>
      </c>
      <c r="L178" s="6" t="str">
        <f>Dataset!L178</f>
        <v>WINTER15</v>
      </c>
      <c r="M178" s="6" t="str">
        <f>TRIM(Dataset!M178)</f>
        <v>Referral</v>
      </c>
      <c r="N178" s="10">
        <f>VALUE(TRIM(Dataset!N178))</f>
        <v>1723.32</v>
      </c>
    </row>
    <row r="179" spans="1:14" x14ac:dyDescent="0.35">
      <c r="A179" s="6" t="str">
        <f>TRIM(Dataset!A179)</f>
        <v>ORD200177</v>
      </c>
      <c r="B179" s="4">
        <f>Dataset!B179</f>
        <v>45143</v>
      </c>
      <c r="C179" s="6" t="str">
        <f>TRIM(Dataset!C179)</f>
        <v>C55632</v>
      </c>
      <c r="D179" s="6" t="str">
        <f>TRIM(Dataset!D179)</f>
        <v>Chair</v>
      </c>
      <c r="E179" s="13">
        <f>VALUE(TRIM(Dataset!E179))</f>
        <v>5</v>
      </c>
      <c r="F179" s="10">
        <f>VALUE(TRIM(Dataset!F179))</f>
        <v>431.69</v>
      </c>
      <c r="G179" s="6" t="str">
        <f>TRIM(Dataset!G179)</f>
        <v>354 Main St</v>
      </c>
      <c r="H179" s="6" t="str">
        <f>TRIM(Dataset!H179)</f>
        <v>Credit Card</v>
      </c>
      <c r="I179" s="6" t="str">
        <f>TRIM(Dataset!I179)</f>
        <v>Pending</v>
      </c>
      <c r="J179" s="6" t="str">
        <f>TRIM(Dataset!J179)</f>
        <v>TRK13003066</v>
      </c>
      <c r="K179" s="8" t="str">
        <f>TRIM(Dataset!K179)</f>
        <v>10</v>
      </c>
      <c r="L179" s="6" t="s">
        <v>4284</v>
      </c>
      <c r="M179" s="6" t="str">
        <f>TRIM(Dataset!M179)</f>
        <v>Facebook</v>
      </c>
      <c r="N179" s="10">
        <f>VALUE(TRIM(Dataset!N179))</f>
        <v>2158.4499999999998</v>
      </c>
    </row>
    <row r="180" spans="1:14" x14ac:dyDescent="0.35">
      <c r="A180" s="6" t="str">
        <f>TRIM(Dataset!A180)</f>
        <v>ORD200178</v>
      </c>
      <c r="B180" s="4">
        <f>Dataset!B180</f>
        <v>45393</v>
      </c>
      <c r="C180" s="6" t="str">
        <f>TRIM(Dataset!C180)</f>
        <v>C53070</v>
      </c>
      <c r="D180" s="6" t="str">
        <f>TRIM(Dataset!D180)</f>
        <v>Chair</v>
      </c>
      <c r="E180" s="13">
        <f>VALUE(TRIM(Dataset!E180))</f>
        <v>4</v>
      </c>
      <c r="F180" s="10">
        <f>VALUE(TRIM(Dataset!F180))</f>
        <v>512.05999999999995</v>
      </c>
      <c r="G180" s="6" t="str">
        <f>TRIM(Dataset!G180)</f>
        <v>283 Main St</v>
      </c>
      <c r="H180" s="6" t="str">
        <f>TRIM(Dataset!H180)</f>
        <v>Online</v>
      </c>
      <c r="I180" s="6" t="str">
        <f>TRIM(Dataset!I180)</f>
        <v>Delivered</v>
      </c>
      <c r="J180" s="6" t="str">
        <f>TRIM(Dataset!J180)</f>
        <v>TRK49791755</v>
      </c>
      <c r="K180" s="8" t="str">
        <f>TRIM(Dataset!K180)</f>
        <v>5</v>
      </c>
      <c r="L180" s="6" t="str">
        <f>Dataset!L180</f>
        <v>SAVE10</v>
      </c>
      <c r="M180" s="6" t="str">
        <f>TRIM(Dataset!M180)</f>
        <v>Google</v>
      </c>
      <c r="N180" s="10">
        <f>VALUE(TRIM(Dataset!N180))</f>
        <v>2048.2399999999998</v>
      </c>
    </row>
    <row r="181" spans="1:14" x14ac:dyDescent="0.35">
      <c r="A181" s="6" t="str">
        <f>TRIM(Dataset!A181)</f>
        <v>ORD200179</v>
      </c>
      <c r="B181" s="4">
        <f>Dataset!B181</f>
        <v>45620</v>
      </c>
      <c r="C181" s="6" t="str">
        <f>TRIM(Dataset!C181)</f>
        <v>C27401</v>
      </c>
      <c r="D181" s="6" t="str">
        <f>TRIM(Dataset!D181)</f>
        <v>Laptop</v>
      </c>
      <c r="E181" s="13">
        <f>VALUE(TRIM(Dataset!E181))</f>
        <v>3</v>
      </c>
      <c r="F181" s="10">
        <f>VALUE(TRIM(Dataset!F181))</f>
        <v>539.91</v>
      </c>
      <c r="G181" s="6" t="str">
        <f>TRIM(Dataset!G181)</f>
        <v>500 Main St</v>
      </c>
      <c r="H181" s="6" t="str">
        <f>TRIM(Dataset!H181)</f>
        <v>Credit Card</v>
      </c>
      <c r="I181" s="6" t="str">
        <f>TRIM(Dataset!I181)</f>
        <v>Delivered</v>
      </c>
      <c r="J181" s="6" t="str">
        <f>TRIM(Dataset!J181)</f>
        <v>TRK14332053</v>
      </c>
      <c r="K181" s="8" t="str">
        <f>TRIM(Dataset!K181)</f>
        <v>8</v>
      </c>
      <c r="L181" s="6" t="s">
        <v>4284</v>
      </c>
      <c r="M181" s="6" t="str">
        <f>TRIM(Dataset!M181)</f>
        <v>Email</v>
      </c>
      <c r="N181" s="10">
        <f>VALUE(TRIM(Dataset!N181))</f>
        <v>1619.73</v>
      </c>
    </row>
    <row r="182" spans="1:14" x14ac:dyDescent="0.35">
      <c r="A182" s="6" t="str">
        <f>TRIM(Dataset!A182)</f>
        <v>ORD200180</v>
      </c>
      <c r="B182" s="4">
        <f>Dataset!B182</f>
        <v>45003</v>
      </c>
      <c r="C182" s="6" t="str">
        <f>TRIM(Dataset!C182)</f>
        <v>C87216</v>
      </c>
      <c r="D182" s="6" t="str">
        <f>TRIM(Dataset!D182)</f>
        <v>Tablet</v>
      </c>
      <c r="E182" s="13">
        <f>VALUE(TRIM(Dataset!E182))</f>
        <v>5</v>
      </c>
      <c r="F182" s="10">
        <f>VALUE(TRIM(Dataset!F182))</f>
        <v>316.07</v>
      </c>
      <c r="G182" s="6" t="str">
        <f>TRIM(Dataset!G182)</f>
        <v>970 Main St</v>
      </c>
      <c r="H182" s="6" t="str">
        <f>TRIM(Dataset!H182)</f>
        <v>Cash</v>
      </c>
      <c r="I182" s="6" t="str">
        <f>TRIM(Dataset!I182)</f>
        <v>Returned</v>
      </c>
      <c r="J182" s="6" t="str">
        <f>TRIM(Dataset!J182)</f>
        <v>TRK18713727</v>
      </c>
      <c r="K182" s="8" t="str">
        <f>TRIM(Dataset!K182)</f>
        <v>10</v>
      </c>
      <c r="L182" s="6" t="s">
        <v>4284</v>
      </c>
      <c r="M182" s="6" t="str">
        <f>TRIM(Dataset!M182)</f>
        <v>Google</v>
      </c>
      <c r="N182" s="10">
        <f>VALUE(TRIM(Dataset!N182))</f>
        <v>1580.35</v>
      </c>
    </row>
    <row r="183" spans="1:14" x14ac:dyDescent="0.35">
      <c r="A183" s="6" t="str">
        <f>TRIM(Dataset!A183)</f>
        <v>ORD200181</v>
      </c>
      <c r="B183" s="4">
        <f>Dataset!B183</f>
        <v>45535</v>
      </c>
      <c r="C183" s="6" t="str">
        <f>TRIM(Dataset!C183)</f>
        <v>C38966</v>
      </c>
      <c r="D183" s="6" t="str">
        <f>TRIM(Dataset!D183)</f>
        <v>Printer</v>
      </c>
      <c r="E183" s="13">
        <f>VALUE(TRIM(Dataset!E183))</f>
        <v>5</v>
      </c>
      <c r="F183" s="10">
        <f>VALUE(TRIM(Dataset!F183))</f>
        <v>404.39</v>
      </c>
      <c r="G183" s="6" t="str">
        <f>TRIM(Dataset!G183)</f>
        <v>247 Main St</v>
      </c>
      <c r="H183" s="6" t="str">
        <f>TRIM(Dataset!H183)</f>
        <v>Online</v>
      </c>
      <c r="I183" s="6" t="str">
        <f>TRIM(Dataset!I183)</f>
        <v>Shipped</v>
      </c>
      <c r="J183" s="6" t="str">
        <f>TRIM(Dataset!J183)</f>
        <v>TRK17205146</v>
      </c>
      <c r="K183" s="8" t="str">
        <f>TRIM(Dataset!K183)</f>
        <v>10</v>
      </c>
      <c r="L183" s="6" t="s">
        <v>4284</v>
      </c>
      <c r="M183" s="6" t="str">
        <f>TRIM(Dataset!M183)</f>
        <v>Referral</v>
      </c>
      <c r="N183" s="10">
        <f>VALUE(TRIM(Dataset!N183))</f>
        <v>2021.95</v>
      </c>
    </row>
    <row r="184" spans="1:14" x14ac:dyDescent="0.35">
      <c r="A184" s="6" t="str">
        <f>TRIM(Dataset!A184)</f>
        <v>ORD200182</v>
      </c>
      <c r="B184" s="4">
        <f>Dataset!B184</f>
        <v>45735</v>
      </c>
      <c r="C184" s="6" t="str">
        <f>TRIM(Dataset!C184)</f>
        <v>C16612</v>
      </c>
      <c r="D184" s="6" t="str">
        <f>TRIM(Dataset!D184)</f>
        <v>Desk</v>
      </c>
      <c r="E184" s="13">
        <f>VALUE(TRIM(Dataset!E184))</f>
        <v>1</v>
      </c>
      <c r="F184" s="10">
        <f>VALUE(TRIM(Dataset!F184))</f>
        <v>600.54</v>
      </c>
      <c r="G184" s="6" t="str">
        <f>TRIM(Dataset!G184)</f>
        <v>596 Main St</v>
      </c>
      <c r="H184" s="6" t="str">
        <f>TRIM(Dataset!H184)</f>
        <v>Debit Card</v>
      </c>
      <c r="I184" s="6" t="str">
        <f>TRIM(Dataset!I184)</f>
        <v>Pending</v>
      </c>
      <c r="J184" s="6" t="str">
        <f>TRIM(Dataset!J184)</f>
        <v>TRK96188223</v>
      </c>
      <c r="K184" s="8" t="str">
        <f>TRIM(Dataset!K184)</f>
        <v>4</v>
      </c>
      <c r="L184" s="6" t="str">
        <f>Dataset!L184</f>
        <v>WINTER15</v>
      </c>
      <c r="M184" s="6" t="str">
        <f>TRIM(Dataset!M184)</f>
        <v>Google</v>
      </c>
      <c r="N184" s="10">
        <f>VALUE(TRIM(Dataset!N184))</f>
        <v>600.54</v>
      </c>
    </row>
    <row r="185" spans="1:14" x14ac:dyDescent="0.35">
      <c r="A185" s="6" t="str">
        <f>TRIM(Dataset!A185)</f>
        <v>ORD200183</v>
      </c>
      <c r="B185" s="4">
        <f>Dataset!B185</f>
        <v>45400</v>
      </c>
      <c r="C185" s="6" t="str">
        <f>TRIM(Dataset!C185)</f>
        <v>C39246</v>
      </c>
      <c r="D185" s="6" t="str">
        <f>TRIM(Dataset!D185)</f>
        <v>Monitor</v>
      </c>
      <c r="E185" s="13">
        <f>VALUE(TRIM(Dataset!E185))</f>
        <v>5</v>
      </c>
      <c r="F185" s="10">
        <f>VALUE(TRIM(Dataset!F185))</f>
        <v>186.28</v>
      </c>
      <c r="G185" s="6" t="str">
        <f>TRIM(Dataset!G185)</f>
        <v>258 Main St</v>
      </c>
      <c r="H185" s="6" t="str">
        <f>TRIM(Dataset!H185)</f>
        <v>Debit Card</v>
      </c>
      <c r="I185" s="6" t="str">
        <f>TRIM(Dataset!I185)</f>
        <v>Delivered</v>
      </c>
      <c r="J185" s="6" t="str">
        <f>TRIM(Dataset!J185)</f>
        <v>TRK16658182</v>
      </c>
      <c r="K185" s="8" t="str">
        <f>TRIM(Dataset!K185)</f>
        <v>8</v>
      </c>
      <c r="L185" s="6" t="str">
        <f>Dataset!L185</f>
        <v>SAVE10</v>
      </c>
      <c r="M185" s="6" t="str">
        <f>TRIM(Dataset!M185)</f>
        <v>Email</v>
      </c>
      <c r="N185" s="10">
        <f>VALUE(TRIM(Dataset!N185))</f>
        <v>931.4</v>
      </c>
    </row>
    <row r="186" spans="1:14" x14ac:dyDescent="0.35">
      <c r="A186" s="6" t="str">
        <f>TRIM(Dataset!A186)</f>
        <v>ORD200184</v>
      </c>
      <c r="B186" s="4">
        <f>Dataset!B186</f>
        <v>45386</v>
      </c>
      <c r="C186" s="6" t="str">
        <f>TRIM(Dataset!C186)</f>
        <v>C65180</v>
      </c>
      <c r="D186" s="6" t="str">
        <f>TRIM(Dataset!D186)</f>
        <v>Tablet</v>
      </c>
      <c r="E186" s="13">
        <f>VALUE(TRIM(Dataset!E186))</f>
        <v>4</v>
      </c>
      <c r="F186" s="10">
        <f>VALUE(TRIM(Dataset!F186))</f>
        <v>214.54</v>
      </c>
      <c r="G186" s="6" t="str">
        <f>TRIM(Dataset!G186)</f>
        <v>231 Main St</v>
      </c>
      <c r="H186" s="6" t="str">
        <f>TRIM(Dataset!H186)</f>
        <v>Gift Card</v>
      </c>
      <c r="I186" s="6" t="str">
        <f>TRIM(Dataset!I186)</f>
        <v>Cancelled</v>
      </c>
      <c r="J186" s="6" t="str">
        <f>TRIM(Dataset!J186)</f>
        <v>TRK39255469</v>
      </c>
      <c r="K186" s="8" t="str">
        <f>TRIM(Dataset!K186)</f>
        <v>7</v>
      </c>
      <c r="L186" s="6" t="s">
        <v>4284</v>
      </c>
      <c r="M186" s="6" t="str">
        <f>TRIM(Dataset!M186)</f>
        <v>Referral</v>
      </c>
      <c r="N186" s="10">
        <f>VALUE(TRIM(Dataset!N186))</f>
        <v>858.16</v>
      </c>
    </row>
    <row r="187" spans="1:14" x14ac:dyDescent="0.35">
      <c r="A187" s="6" t="str">
        <f>TRIM(Dataset!A187)</f>
        <v>ORD200185</v>
      </c>
      <c r="B187" s="4">
        <f>Dataset!B187</f>
        <v>45690</v>
      </c>
      <c r="C187" s="6" t="str">
        <f>TRIM(Dataset!C187)</f>
        <v>C46877</v>
      </c>
      <c r="D187" s="6" t="str">
        <f>TRIM(Dataset!D187)</f>
        <v>Laptop</v>
      </c>
      <c r="E187" s="13">
        <f>VALUE(TRIM(Dataset!E187))</f>
        <v>1</v>
      </c>
      <c r="F187" s="10">
        <f>VALUE(TRIM(Dataset!F187))</f>
        <v>210.7</v>
      </c>
      <c r="G187" s="6" t="str">
        <f>TRIM(Dataset!G187)</f>
        <v>572 Main St</v>
      </c>
      <c r="H187" s="6" t="str">
        <f>TRIM(Dataset!H187)</f>
        <v>Online</v>
      </c>
      <c r="I187" s="6" t="str">
        <f>TRIM(Dataset!I187)</f>
        <v>Shipped</v>
      </c>
      <c r="J187" s="6" t="str">
        <f>TRIM(Dataset!J187)</f>
        <v>TRK96935978</v>
      </c>
      <c r="K187" s="8" t="str">
        <f>TRIM(Dataset!K187)</f>
        <v>2</v>
      </c>
      <c r="L187" s="6" t="str">
        <f>Dataset!L187</f>
        <v>WINTER15</v>
      </c>
      <c r="M187" s="6" t="str">
        <f>TRIM(Dataset!M187)</f>
        <v>Referral</v>
      </c>
      <c r="N187" s="10">
        <f>VALUE(TRIM(Dataset!N187))</f>
        <v>210.7</v>
      </c>
    </row>
    <row r="188" spans="1:14" x14ac:dyDescent="0.35">
      <c r="A188" s="6" t="str">
        <f>TRIM(Dataset!A188)</f>
        <v>ORD200186</v>
      </c>
      <c r="B188" s="4">
        <f>Dataset!B188</f>
        <v>45267</v>
      </c>
      <c r="C188" s="6" t="str">
        <f>TRIM(Dataset!C188)</f>
        <v>C30334</v>
      </c>
      <c r="D188" s="6" t="str">
        <f>TRIM(Dataset!D188)</f>
        <v>Phone</v>
      </c>
      <c r="E188" s="13">
        <f>VALUE(TRIM(Dataset!E188))</f>
        <v>2</v>
      </c>
      <c r="F188" s="10">
        <f>VALUE(TRIM(Dataset!F188))</f>
        <v>133.55000000000001</v>
      </c>
      <c r="G188" s="6" t="str">
        <f>TRIM(Dataset!G188)</f>
        <v>322 Main St</v>
      </c>
      <c r="H188" s="6" t="str">
        <f>TRIM(Dataset!H188)</f>
        <v>Cash</v>
      </c>
      <c r="I188" s="6" t="str">
        <f>TRIM(Dataset!I188)</f>
        <v>Pending</v>
      </c>
      <c r="J188" s="6" t="str">
        <f>TRIM(Dataset!J188)</f>
        <v>TRK66388885</v>
      </c>
      <c r="K188" s="8" t="str">
        <f>TRIM(Dataset!K188)</f>
        <v>7</v>
      </c>
      <c r="L188" s="6" t="str">
        <f>Dataset!L188</f>
        <v>FREESHIP</v>
      </c>
      <c r="M188" s="6" t="str">
        <f>TRIM(Dataset!M188)</f>
        <v>Facebook</v>
      </c>
      <c r="N188" s="10">
        <f>VALUE(TRIM(Dataset!N188))</f>
        <v>267.10000000000002</v>
      </c>
    </row>
    <row r="189" spans="1:14" x14ac:dyDescent="0.35">
      <c r="A189" s="6" t="str">
        <f>TRIM(Dataset!A189)</f>
        <v>ORD200187</v>
      </c>
      <c r="B189" s="4">
        <f>Dataset!B189</f>
        <v>44965</v>
      </c>
      <c r="C189" s="6" t="str">
        <f>TRIM(Dataset!C189)</f>
        <v>C21227</v>
      </c>
      <c r="D189" s="6" t="str">
        <f>TRIM(Dataset!D189)</f>
        <v>Chair</v>
      </c>
      <c r="E189" s="13">
        <f>VALUE(TRIM(Dataset!E189))</f>
        <v>1</v>
      </c>
      <c r="F189" s="10">
        <f>VALUE(TRIM(Dataset!F189))</f>
        <v>590.87</v>
      </c>
      <c r="G189" s="6" t="str">
        <f>TRIM(Dataset!G189)</f>
        <v>689 Main St</v>
      </c>
      <c r="H189" s="6" t="str">
        <f>TRIM(Dataset!H189)</f>
        <v>Gift Card</v>
      </c>
      <c r="I189" s="6" t="str">
        <f>TRIM(Dataset!I189)</f>
        <v>Returned</v>
      </c>
      <c r="J189" s="6" t="str">
        <f>TRIM(Dataset!J189)</f>
        <v>TRK79129657</v>
      </c>
      <c r="K189" s="8" t="str">
        <f>TRIM(Dataset!K189)</f>
        <v>6</v>
      </c>
      <c r="L189" s="6" t="str">
        <f>Dataset!L189</f>
        <v>FREESHIP</v>
      </c>
      <c r="M189" s="6" t="str">
        <f>TRIM(Dataset!M189)</f>
        <v>Referral</v>
      </c>
      <c r="N189" s="10">
        <f>VALUE(TRIM(Dataset!N189))</f>
        <v>590.87</v>
      </c>
    </row>
    <row r="190" spans="1:14" x14ac:dyDescent="0.35">
      <c r="A190" s="6" t="str">
        <f>TRIM(Dataset!A190)</f>
        <v>ORD200188</v>
      </c>
      <c r="B190" s="4">
        <f>Dataset!B190</f>
        <v>45731</v>
      </c>
      <c r="C190" s="6" t="str">
        <f>TRIM(Dataset!C190)</f>
        <v>C97715</v>
      </c>
      <c r="D190" s="6" t="str">
        <f>TRIM(Dataset!D190)</f>
        <v>Chair</v>
      </c>
      <c r="E190" s="13">
        <f>VALUE(TRIM(Dataset!E190))</f>
        <v>2</v>
      </c>
      <c r="F190" s="10">
        <f>VALUE(TRIM(Dataset!F190))</f>
        <v>363.91</v>
      </c>
      <c r="G190" s="6" t="str">
        <f>TRIM(Dataset!G190)</f>
        <v>927 Main St</v>
      </c>
      <c r="H190" s="6" t="str">
        <f>TRIM(Dataset!H190)</f>
        <v>Gift Card</v>
      </c>
      <c r="I190" s="6" t="str">
        <f>TRIM(Dataset!I190)</f>
        <v>Shipped</v>
      </c>
      <c r="J190" s="6" t="str">
        <f>TRIM(Dataset!J190)</f>
        <v>TRK19515949</v>
      </c>
      <c r="K190" s="8" t="str">
        <f>TRIM(Dataset!K190)</f>
        <v>2</v>
      </c>
      <c r="L190" s="6" t="str">
        <f>Dataset!L190</f>
        <v>FREESHIP</v>
      </c>
      <c r="M190" s="6" t="str">
        <f>TRIM(Dataset!M190)</f>
        <v>Referral</v>
      </c>
      <c r="N190" s="10">
        <f>VALUE(TRIM(Dataset!N190))</f>
        <v>727.82</v>
      </c>
    </row>
    <row r="191" spans="1:14" x14ac:dyDescent="0.35">
      <c r="A191" s="6" t="str">
        <f>TRIM(Dataset!A191)</f>
        <v>ORD200189</v>
      </c>
      <c r="B191" s="4">
        <f>Dataset!B191</f>
        <v>45112</v>
      </c>
      <c r="C191" s="6" t="str">
        <f>TRIM(Dataset!C191)</f>
        <v>C48939</v>
      </c>
      <c r="D191" s="6" t="str">
        <f>TRIM(Dataset!D191)</f>
        <v>Printer</v>
      </c>
      <c r="E191" s="13">
        <f>VALUE(TRIM(Dataset!E191))</f>
        <v>5</v>
      </c>
      <c r="F191" s="10">
        <f>VALUE(TRIM(Dataset!F191))</f>
        <v>429.45</v>
      </c>
      <c r="G191" s="6" t="str">
        <f>TRIM(Dataset!G191)</f>
        <v>597 Main St</v>
      </c>
      <c r="H191" s="6" t="str">
        <f>TRIM(Dataset!H191)</f>
        <v>Gift Card</v>
      </c>
      <c r="I191" s="6" t="str">
        <f>TRIM(Dataset!I191)</f>
        <v>Cancelled</v>
      </c>
      <c r="J191" s="6" t="str">
        <f>TRIM(Dataset!J191)</f>
        <v>TRK62786764</v>
      </c>
      <c r="K191" s="8" t="str">
        <f>TRIM(Dataset!K191)</f>
        <v>5</v>
      </c>
      <c r="L191" s="6" t="str">
        <f>Dataset!L191</f>
        <v>WINTER15</v>
      </c>
      <c r="M191" s="6" t="str">
        <f>TRIM(Dataset!M191)</f>
        <v>Email</v>
      </c>
      <c r="N191" s="10">
        <f>VALUE(TRIM(Dataset!N191))</f>
        <v>2147.25</v>
      </c>
    </row>
    <row r="192" spans="1:14" x14ac:dyDescent="0.35">
      <c r="A192" s="6" t="str">
        <f>TRIM(Dataset!A192)</f>
        <v>ORD200190</v>
      </c>
      <c r="B192" s="4">
        <f>Dataset!B192</f>
        <v>45535</v>
      </c>
      <c r="C192" s="6" t="str">
        <f>TRIM(Dataset!C192)</f>
        <v>C35483</v>
      </c>
      <c r="D192" s="6" t="str">
        <f>TRIM(Dataset!D192)</f>
        <v>Printer</v>
      </c>
      <c r="E192" s="13">
        <f>VALUE(TRIM(Dataset!E192))</f>
        <v>3</v>
      </c>
      <c r="F192" s="10">
        <f>VALUE(TRIM(Dataset!F192))</f>
        <v>223.7</v>
      </c>
      <c r="G192" s="6" t="str">
        <f>TRIM(Dataset!G192)</f>
        <v>725 Main St</v>
      </c>
      <c r="H192" s="6" t="str">
        <f>TRIM(Dataset!H192)</f>
        <v>Cash</v>
      </c>
      <c r="I192" s="6" t="str">
        <f>TRIM(Dataset!I192)</f>
        <v>Returned</v>
      </c>
      <c r="J192" s="6" t="str">
        <f>TRIM(Dataset!J192)</f>
        <v>TRK79638203</v>
      </c>
      <c r="K192" s="8" t="str">
        <f>TRIM(Dataset!K192)</f>
        <v>3</v>
      </c>
      <c r="L192" s="6" t="str">
        <f>Dataset!L192</f>
        <v>SAVE10</v>
      </c>
      <c r="M192" s="6" t="str">
        <f>TRIM(Dataset!M192)</f>
        <v>Email</v>
      </c>
      <c r="N192" s="10">
        <f>VALUE(TRIM(Dataset!N192))</f>
        <v>671.1</v>
      </c>
    </row>
    <row r="193" spans="1:14" x14ac:dyDescent="0.35">
      <c r="A193" s="6" t="str">
        <f>TRIM(Dataset!A193)</f>
        <v>ORD200191</v>
      </c>
      <c r="B193" s="4">
        <f>Dataset!B193</f>
        <v>45724</v>
      </c>
      <c r="C193" s="6" t="str">
        <f>TRIM(Dataset!C193)</f>
        <v>C51494</v>
      </c>
      <c r="D193" s="6" t="str">
        <f>TRIM(Dataset!D193)</f>
        <v>Laptop</v>
      </c>
      <c r="E193" s="13">
        <f>VALUE(TRIM(Dataset!E193))</f>
        <v>2</v>
      </c>
      <c r="F193" s="10">
        <f>VALUE(TRIM(Dataset!F193))</f>
        <v>488.87</v>
      </c>
      <c r="G193" s="6" t="str">
        <f>TRIM(Dataset!G193)</f>
        <v>505 Main St</v>
      </c>
      <c r="H193" s="6" t="str">
        <f>TRIM(Dataset!H193)</f>
        <v>Online</v>
      </c>
      <c r="I193" s="6" t="str">
        <f>TRIM(Dataset!I193)</f>
        <v>Cancelled</v>
      </c>
      <c r="J193" s="6" t="str">
        <f>TRIM(Dataset!J193)</f>
        <v>TRK58520306</v>
      </c>
      <c r="K193" s="8" t="str">
        <f>TRIM(Dataset!K193)</f>
        <v>4</v>
      </c>
      <c r="L193" s="6" t="str">
        <f>Dataset!L193</f>
        <v>FREESHIP</v>
      </c>
      <c r="M193" s="6" t="str">
        <f>TRIM(Dataset!M193)</f>
        <v>Google</v>
      </c>
      <c r="N193" s="10">
        <f>VALUE(TRIM(Dataset!N193))</f>
        <v>977.74</v>
      </c>
    </row>
    <row r="194" spans="1:14" x14ac:dyDescent="0.35">
      <c r="A194" s="6" t="str">
        <f>TRIM(Dataset!A194)</f>
        <v>ORD200192</v>
      </c>
      <c r="B194" s="4">
        <f>Dataset!B194</f>
        <v>45149</v>
      </c>
      <c r="C194" s="6" t="str">
        <f>TRIM(Dataset!C194)</f>
        <v>C58410</v>
      </c>
      <c r="D194" s="6" t="str">
        <f>TRIM(Dataset!D194)</f>
        <v>Desk</v>
      </c>
      <c r="E194" s="13">
        <f>VALUE(TRIM(Dataset!E194))</f>
        <v>1</v>
      </c>
      <c r="F194" s="10">
        <f>VALUE(TRIM(Dataset!F194))</f>
        <v>645.46</v>
      </c>
      <c r="G194" s="6" t="str">
        <f>TRIM(Dataset!G194)</f>
        <v>151 Main St</v>
      </c>
      <c r="H194" s="6" t="str">
        <f>TRIM(Dataset!H194)</f>
        <v>Gift Card</v>
      </c>
      <c r="I194" s="6" t="str">
        <f>TRIM(Dataset!I194)</f>
        <v>Cancelled</v>
      </c>
      <c r="J194" s="6" t="str">
        <f>TRIM(Dataset!J194)</f>
        <v>TRK19749672</v>
      </c>
      <c r="K194" s="8" t="str">
        <f>TRIM(Dataset!K194)</f>
        <v>5</v>
      </c>
      <c r="L194" s="6" t="str">
        <f>Dataset!L194</f>
        <v>SAVE10</v>
      </c>
      <c r="M194" s="6" t="str">
        <f>TRIM(Dataset!M194)</f>
        <v>Google</v>
      </c>
      <c r="N194" s="10">
        <f>VALUE(TRIM(Dataset!N194))</f>
        <v>645.46</v>
      </c>
    </row>
    <row r="195" spans="1:14" x14ac:dyDescent="0.35">
      <c r="A195" s="6" t="str">
        <f>TRIM(Dataset!A195)</f>
        <v>ORD200193</v>
      </c>
      <c r="B195" s="4">
        <f>Dataset!B195</f>
        <v>45128</v>
      </c>
      <c r="C195" s="6" t="str">
        <f>TRIM(Dataset!C195)</f>
        <v>C11644</v>
      </c>
      <c r="D195" s="6" t="str">
        <f>TRIM(Dataset!D195)</f>
        <v>Printer</v>
      </c>
      <c r="E195" s="13">
        <f>VALUE(TRIM(Dataset!E195))</f>
        <v>1</v>
      </c>
      <c r="F195" s="10">
        <f>VALUE(TRIM(Dataset!F195))</f>
        <v>46.66</v>
      </c>
      <c r="G195" s="6" t="str">
        <f>TRIM(Dataset!G195)</f>
        <v>429 Main St</v>
      </c>
      <c r="H195" s="6" t="str">
        <f>TRIM(Dataset!H195)</f>
        <v>Cash</v>
      </c>
      <c r="I195" s="6" t="str">
        <f>TRIM(Dataset!I195)</f>
        <v>Cancelled</v>
      </c>
      <c r="J195" s="6" t="str">
        <f>TRIM(Dataset!J195)</f>
        <v>TRK81320339</v>
      </c>
      <c r="K195" s="8" t="str">
        <f>TRIM(Dataset!K195)</f>
        <v>6</v>
      </c>
      <c r="L195" s="6" t="s">
        <v>4284</v>
      </c>
      <c r="M195" s="6" t="str">
        <f>TRIM(Dataset!M195)</f>
        <v>Google</v>
      </c>
      <c r="N195" s="10">
        <f>VALUE(TRIM(Dataset!N195))</f>
        <v>46.66</v>
      </c>
    </row>
    <row r="196" spans="1:14" x14ac:dyDescent="0.35">
      <c r="A196" s="6" t="str">
        <f>TRIM(Dataset!A196)</f>
        <v>ORD200194</v>
      </c>
      <c r="B196" s="4">
        <f>Dataset!B196</f>
        <v>45451</v>
      </c>
      <c r="C196" s="6" t="str">
        <f>TRIM(Dataset!C196)</f>
        <v>C53501</v>
      </c>
      <c r="D196" s="6" t="str">
        <f>TRIM(Dataset!D196)</f>
        <v>Monitor</v>
      </c>
      <c r="E196" s="13">
        <f>VALUE(TRIM(Dataset!E196))</f>
        <v>1</v>
      </c>
      <c r="F196" s="10">
        <f>VALUE(TRIM(Dataset!F196))</f>
        <v>249.57</v>
      </c>
      <c r="G196" s="6" t="str">
        <f>TRIM(Dataset!G196)</f>
        <v>899 Main St</v>
      </c>
      <c r="H196" s="6" t="str">
        <f>TRIM(Dataset!H196)</f>
        <v>Cash</v>
      </c>
      <c r="I196" s="6" t="str">
        <f>TRIM(Dataset!I196)</f>
        <v>Shipped</v>
      </c>
      <c r="J196" s="6" t="str">
        <f>TRIM(Dataset!J196)</f>
        <v>TRK90144892</v>
      </c>
      <c r="K196" s="8" t="str">
        <f>TRIM(Dataset!K196)</f>
        <v>3</v>
      </c>
      <c r="L196" s="6" t="str">
        <f>Dataset!L196</f>
        <v>FREESHIP</v>
      </c>
      <c r="M196" s="6" t="str">
        <f>TRIM(Dataset!M196)</f>
        <v>Google</v>
      </c>
      <c r="N196" s="10">
        <f>VALUE(TRIM(Dataset!N196))</f>
        <v>249.57</v>
      </c>
    </row>
    <row r="197" spans="1:14" x14ac:dyDescent="0.35">
      <c r="A197" s="6" t="str">
        <f>TRIM(Dataset!A197)</f>
        <v>ORD200195</v>
      </c>
      <c r="B197" s="4">
        <f>Dataset!B197</f>
        <v>45404</v>
      </c>
      <c r="C197" s="6" t="str">
        <f>TRIM(Dataset!C197)</f>
        <v>C63619</v>
      </c>
      <c r="D197" s="6" t="str">
        <f>TRIM(Dataset!D197)</f>
        <v>Chair</v>
      </c>
      <c r="E197" s="13">
        <f>VALUE(TRIM(Dataset!E197))</f>
        <v>3</v>
      </c>
      <c r="F197" s="10">
        <f>VALUE(TRIM(Dataset!F197))</f>
        <v>619.21</v>
      </c>
      <c r="G197" s="6" t="str">
        <f>TRIM(Dataset!G197)</f>
        <v>801 Main St</v>
      </c>
      <c r="H197" s="6" t="str">
        <f>TRIM(Dataset!H197)</f>
        <v>Debit Card</v>
      </c>
      <c r="I197" s="6" t="str">
        <f>TRIM(Dataset!I197)</f>
        <v>Cancelled</v>
      </c>
      <c r="J197" s="6" t="str">
        <f>TRIM(Dataset!J197)</f>
        <v>TRK65385674</v>
      </c>
      <c r="K197" s="8" t="str">
        <f>TRIM(Dataset!K197)</f>
        <v>6</v>
      </c>
      <c r="L197" s="6" t="s">
        <v>4284</v>
      </c>
      <c r="M197" s="6" t="str">
        <f>TRIM(Dataset!M197)</f>
        <v>Email</v>
      </c>
      <c r="N197" s="10">
        <f>VALUE(TRIM(Dataset!N197))</f>
        <v>1857.63</v>
      </c>
    </row>
    <row r="198" spans="1:14" x14ac:dyDescent="0.35">
      <c r="A198" s="6" t="str">
        <f>TRIM(Dataset!A198)</f>
        <v>ORD200196</v>
      </c>
      <c r="B198" s="4">
        <f>Dataset!B198</f>
        <v>45681</v>
      </c>
      <c r="C198" s="6" t="str">
        <f>TRIM(Dataset!C198)</f>
        <v>C40882</v>
      </c>
      <c r="D198" s="6" t="str">
        <f>TRIM(Dataset!D198)</f>
        <v>Desk</v>
      </c>
      <c r="E198" s="13">
        <f>VALUE(TRIM(Dataset!E198))</f>
        <v>4</v>
      </c>
      <c r="F198" s="10">
        <f>VALUE(TRIM(Dataset!F198))</f>
        <v>217.13</v>
      </c>
      <c r="G198" s="6" t="str">
        <f>TRIM(Dataset!G198)</f>
        <v>719 Main St</v>
      </c>
      <c r="H198" s="6" t="str">
        <f>TRIM(Dataset!H198)</f>
        <v>Cash</v>
      </c>
      <c r="I198" s="6" t="str">
        <f>TRIM(Dataset!I198)</f>
        <v>Delivered</v>
      </c>
      <c r="J198" s="6" t="str">
        <f>TRIM(Dataset!J198)</f>
        <v>TRK64165503</v>
      </c>
      <c r="K198" s="8" t="str">
        <f>TRIM(Dataset!K198)</f>
        <v>8</v>
      </c>
      <c r="L198" s="6" t="str">
        <f>Dataset!L198</f>
        <v>WINTER15</v>
      </c>
      <c r="M198" s="6" t="str">
        <f>TRIM(Dataset!M198)</f>
        <v>Email</v>
      </c>
      <c r="N198" s="10">
        <f>VALUE(TRIM(Dataset!N198))</f>
        <v>868.52</v>
      </c>
    </row>
    <row r="199" spans="1:14" x14ac:dyDescent="0.35">
      <c r="A199" s="6" t="str">
        <f>TRIM(Dataset!A199)</f>
        <v>ORD200197</v>
      </c>
      <c r="B199" s="4">
        <f>Dataset!B199</f>
        <v>45165</v>
      </c>
      <c r="C199" s="6" t="str">
        <f>TRIM(Dataset!C199)</f>
        <v>C80135</v>
      </c>
      <c r="D199" s="6" t="str">
        <f>TRIM(Dataset!D199)</f>
        <v>Laptop</v>
      </c>
      <c r="E199" s="13">
        <f>VALUE(TRIM(Dataset!E199))</f>
        <v>5</v>
      </c>
      <c r="F199" s="10">
        <f>VALUE(TRIM(Dataset!F199))</f>
        <v>221.51</v>
      </c>
      <c r="G199" s="6" t="str">
        <f>TRIM(Dataset!G199)</f>
        <v>723 Main St</v>
      </c>
      <c r="H199" s="6" t="str">
        <f>TRIM(Dataset!H199)</f>
        <v>Cash</v>
      </c>
      <c r="I199" s="6" t="str">
        <f>TRIM(Dataset!I199)</f>
        <v>Returned</v>
      </c>
      <c r="J199" s="6" t="str">
        <f>TRIM(Dataset!J199)</f>
        <v>TRK95222269</v>
      </c>
      <c r="K199" s="8" t="str">
        <f>TRIM(Dataset!K199)</f>
        <v>5</v>
      </c>
      <c r="L199" s="6" t="str">
        <f>Dataset!L199</f>
        <v>WINTER15</v>
      </c>
      <c r="M199" s="6" t="str">
        <f>TRIM(Dataset!M199)</f>
        <v>Referral</v>
      </c>
      <c r="N199" s="10">
        <f>VALUE(TRIM(Dataset!N199))</f>
        <v>1107.55</v>
      </c>
    </row>
    <row r="200" spans="1:14" x14ac:dyDescent="0.35">
      <c r="A200" s="6" t="str">
        <f>TRIM(Dataset!A200)</f>
        <v>ORD200198</v>
      </c>
      <c r="B200" s="4">
        <f>Dataset!B200</f>
        <v>45454</v>
      </c>
      <c r="C200" s="6" t="str">
        <f>TRIM(Dataset!C200)</f>
        <v>C37594</v>
      </c>
      <c r="D200" s="6" t="str">
        <f>TRIM(Dataset!D200)</f>
        <v>Laptop</v>
      </c>
      <c r="E200" s="13">
        <f>VALUE(TRIM(Dataset!E200))</f>
        <v>4</v>
      </c>
      <c r="F200" s="10">
        <f>VALUE(TRIM(Dataset!F200))</f>
        <v>340.3</v>
      </c>
      <c r="G200" s="6" t="str">
        <f>TRIM(Dataset!G200)</f>
        <v>926 Main St</v>
      </c>
      <c r="H200" s="6" t="str">
        <f>TRIM(Dataset!H200)</f>
        <v>Cash</v>
      </c>
      <c r="I200" s="6" t="str">
        <f>TRIM(Dataset!I200)</f>
        <v>Cancelled</v>
      </c>
      <c r="J200" s="6" t="str">
        <f>TRIM(Dataset!J200)</f>
        <v>TRK94405162</v>
      </c>
      <c r="K200" s="8" t="str">
        <f>TRIM(Dataset!K200)</f>
        <v>8</v>
      </c>
      <c r="L200" s="6" t="str">
        <f>Dataset!L200</f>
        <v>SAVE10</v>
      </c>
      <c r="M200" s="6" t="str">
        <f>TRIM(Dataset!M200)</f>
        <v>Referral</v>
      </c>
      <c r="N200" s="10">
        <f>VALUE(TRIM(Dataset!N200))</f>
        <v>1361.2</v>
      </c>
    </row>
    <row r="201" spans="1:14" x14ac:dyDescent="0.35">
      <c r="A201" s="6" t="str">
        <f>TRIM(Dataset!A201)</f>
        <v>ORD200199</v>
      </c>
      <c r="B201" s="4">
        <f>Dataset!B201</f>
        <v>45680</v>
      </c>
      <c r="C201" s="6" t="str">
        <f>TRIM(Dataset!C201)</f>
        <v>C87524</v>
      </c>
      <c r="D201" s="6" t="str">
        <f>TRIM(Dataset!D201)</f>
        <v>Phone</v>
      </c>
      <c r="E201" s="13">
        <f>VALUE(TRIM(Dataset!E201))</f>
        <v>1</v>
      </c>
      <c r="F201" s="10">
        <f>VALUE(TRIM(Dataset!F201))</f>
        <v>625</v>
      </c>
      <c r="G201" s="6" t="str">
        <f>TRIM(Dataset!G201)</f>
        <v>358 Main St</v>
      </c>
      <c r="H201" s="6" t="str">
        <f>TRIM(Dataset!H201)</f>
        <v>Online</v>
      </c>
      <c r="I201" s="6" t="str">
        <f>TRIM(Dataset!I201)</f>
        <v>Returned</v>
      </c>
      <c r="J201" s="6" t="str">
        <f>TRIM(Dataset!J201)</f>
        <v>TRK21114341</v>
      </c>
      <c r="K201" s="8" t="str">
        <f>TRIM(Dataset!K201)</f>
        <v>5</v>
      </c>
      <c r="L201" s="6" t="str">
        <f>Dataset!L201</f>
        <v>WINTER15</v>
      </c>
      <c r="M201" s="6" t="str">
        <f>TRIM(Dataset!M201)</f>
        <v>Google</v>
      </c>
      <c r="N201" s="10">
        <f>VALUE(TRIM(Dataset!N201))</f>
        <v>625</v>
      </c>
    </row>
    <row r="202" spans="1:14" x14ac:dyDescent="0.35">
      <c r="A202" s="6" t="str">
        <f>TRIM(Dataset!A202)</f>
        <v>ORD200200</v>
      </c>
      <c r="B202" s="4">
        <f>Dataset!B202</f>
        <v>45815</v>
      </c>
      <c r="C202" s="6" t="str">
        <f>TRIM(Dataset!C202)</f>
        <v>C97681</v>
      </c>
      <c r="D202" s="6" t="str">
        <f>TRIM(Dataset!D202)</f>
        <v>Tablet</v>
      </c>
      <c r="E202" s="13">
        <f>VALUE(TRIM(Dataset!E202))</f>
        <v>5</v>
      </c>
      <c r="F202" s="10">
        <f>VALUE(TRIM(Dataset!F202))</f>
        <v>433.26</v>
      </c>
      <c r="G202" s="6" t="str">
        <f>TRIM(Dataset!G202)</f>
        <v>895 Main St</v>
      </c>
      <c r="H202" s="6" t="str">
        <f>TRIM(Dataset!H202)</f>
        <v>Credit Card</v>
      </c>
      <c r="I202" s="6" t="str">
        <f>TRIM(Dataset!I202)</f>
        <v>Delivered</v>
      </c>
      <c r="J202" s="6" t="str">
        <f>TRIM(Dataset!J202)</f>
        <v>TRK37531040</v>
      </c>
      <c r="K202" s="8" t="str">
        <f>TRIM(Dataset!K202)</f>
        <v>9</v>
      </c>
      <c r="L202" s="6" t="str">
        <f>Dataset!L202</f>
        <v>SAVE10</v>
      </c>
      <c r="M202" s="6" t="str">
        <f>TRIM(Dataset!M202)</f>
        <v>Google</v>
      </c>
      <c r="N202" s="10">
        <f>VALUE(TRIM(Dataset!N202))</f>
        <v>2166.3000000000002</v>
      </c>
    </row>
    <row r="203" spans="1:14" x14ac:dyDescent="0.35">
      <c r="A203" s="6" t="str">
        <f>TRIM(Dataset!A203)</f>
        <v>ORD200201</v>
      </c>
      <c r="B203" s="4">
        <f>Dataset!B203</f>
        <v>45095</v>
      </c>
      <c r="C203" s="6" t="str">
        <f>TRIM(Dataset!C203)</f>
        <v>C10126</v>
      </c>
      <c r="D203" s="6" t="str">
        <f>TRIM(Dataset!D203)</f>
        <v>Monitor</v>
      </c>
      <c r="E203" s="13">
        <f>VALUE(TRIM(Dataset!E203))</f>
        <v>2</v>
      </c>
      <c r="F203" s="10">
        <f>VALUE(TRIM(Dataset!F203))</f>
        <v>674.9</v>
      </c>
      <c r="G203" s="6" t="str">
        <f>TRIM(Dataset!G203)</f>
        <v>146 Main St</v>
      </c>
      <c r="H203" s="6" t="str">
        <f>TRIM(Dataset!H203)</f>
        <v>Online</v>
      </c>
      <c r="I203" s="6" t="str">
        <f>TRIM(Dataset!I203)</f>
        <v>Shipped</v>
      </c>
      <c r="J203" s="6" t="str">
        <f>TRIM(Dataset!J203)</f>
        <v>TRK75607531</v>
      </c>
      <c r="K203" s="8" t="str">
        <f>TRIM(Dataset!K203)</f>
        <v>4</v>
      </c>
      <c r="L203" s="6" t="str">
        <f>Dataset!L203</f>
        <v>SAVE10</v>
      </c>
      <c r="M203" s="6" t="str">
        <f>TRIM(Dataset!M203)</f>
        <v>Facebook</v>
      </c>
      <c r="N203" s="10">
        <f>VALUE(TRIM(Dataset!N203))</f>
        <v>1349.8</v>
      </c>
    </row>
    <row r="204" spans="1:14" x14ac:dyDescent="0.35">
      <c r="A204" s="6" t="str">
        <f>TRIM(Dataset!A204)</f>
        <v>ORD200202</v>
      </c>
      <c r="B204" s="4">
        <f>Dataset!B204</f>
        <v>45694</v>
      </c>
      <c r="C204" s="6" t="str">
        <f>TRIM(Dataset!C204)</f>
        <v>C36938</v>
      </c>
      <c r="D204" s="6" t="str">
        <f>TRIM(Dataset!D204)</f>
        <v>Monitor</v>
      </c>
      <c r="E204" s="13">
        <f>VALUE(TRIM(Dataset!E204))</f>
        <v>3</v>
      </c>
      <c r="F204" s="10">
        <f>VALUE(TRIM(Dataset!F204))</f>
        <v>253.98</v>
      </c>
      <c r="G204" s="6" t="str">
        <f>TRIM(Dataset!G204)</f>
        <v>636 Main St</v>
      </c>
      <c r="H204" s="6" t="str">
        <f>TRIM(Dataset!H204)</f>
        <v>Credit Card</v>
      </c>
      <c r="I204" s="6" t="str">
        <f>TRIM(Dataset!I204)</f>
        <v>Cancelled</v>
      </c>
      <c r="J204" s="6" t="str">
        <f>TRIM(Dataset!J204)</f>
        <v>TRK52522904</v>
      </c>
      <c r="K204" s="8" t="str">
        <f>TRIM(Dataset!K204)</f>
        <v>3</v>
      </c>
      <c r="L204" s="6" t="str">
        <f>Dataset!L204</f>
        <v>FREESHIP</v>
      </c>
      <c r="M204" s="6" t="str">
        <f>TRIM(Dataset!M204)</f>
        <v>Email</v>
      </c>
      <c r="N204" s="10">
        <f>VALUE(TRIM(Dataset!N204))</f>
        <v>761.94</v>
      </c>
    </row>
    <row r="205" spans="1:14" x14ac:dyDescent="0.35">
      <c r="A205" s="6" t="str">
        <f>TRIM(Dataset!A205)</f>
        <v>ORD200203</v>
      </c>
      <c r="B205" s="4">
        <f>Dataset!B205</f>
        <v>45678</v>
      </c>
      <c r="C205" s="6" t="str">
        <f>TRIM(Dataset!C205)</f>
        <v>C99173</v>
      </c>
      <c r="D205" s="6" t="str">
        <f>TRIM(Dataset!D205)</f>
        <v>Printer</v>
      </c>
      <c r="E205" s="13">
        <f>VALUE(TRIM(Dataset!E205))</f>
        <v>3</v>
      </c>
      <c r="F205" s="10">
        <f>VALUE(TRIM(Dataset!F205))</f>
        <v>356.84</v>
      </c>
      <c r="G205" s="6" t="str">
        <f>TRIM(Dataset!G205)</f>
        <v>172 Main St</v>
      </c>
      <c r="H205" s="6" t="str">
        <f>TRIM(Dataset!H205)</f>
        <v>Online</v>
      </c>
      <c r="I205" s="6" t="str">
        <f>TRIM(Dataset!I205)</f>
        <v>Shipped</v>
      </c>
      <c r="J205" s="6" t="str">
        <f>TRIM(Dataset!J205)</f>
        <v>TRK89849342</v>
      </c>
      <c r="K205" s="8" t="str">
        <f>TRIM(Dataset!K205)</f>
        <v>5</v>
      </c>
      <c r="L205" s="6" t="str">
        <f>Dataset!L205</f>
        <v>SAVE10</v>
      </c>
      <c r="M205" s="6" t="str">
        <f>TRIM(Dataset!M205)</f>
        <v>Instagram</v>
      </c>
      <c r="N205" s="10">
        <f>VALUE(TRIM(Dataset!N205))</f>
        <v>1070.52</v>
      </c>
    </row>
    <row r="206" spans="1:14" x14ac:dyDescent="0.35">
      <c r="A206" s="6" t="str">
        <f>TRIM(Dataset!A206)</f>
        <v>ORD200204</v>
      </c>
      <c r="B206" s="4">
        <f>Dataset!B206</f>
        <v>45174</v>
      </c>
      <c r="C206" s="6" t="str">
        <f>TRIM(Dataset!C206)</f>
        <v>C99775</v>
      </c>
      <c r="D206" s="6" t="str">
        <f>TRIM(Dataset!D206)</f>
        <v>Laptop</v>
      </c>
      <c r="E206" s="13">
        <f>VALUE(TRIM(Dataset!E206))</f>
        <v>4</v>
      </c>
      <c r="F206" s="10">
        <f>VALUE(TRIM(Dataset!F206))</f>
        <v>413.71</v>
      </c>
      <c r="G206" s="6" t="str">
        <f>TRIM(Dataset!G206)</f>
        <v>478 Main St</v>
      </c>
      <c r="H206" s="6" t="str">
        <f>TRIM(Dataset!H206)</f>
        <v>Gift Card</v>
      </c>
      <c r="I206" s="6" t="str">
        <f>TRIM(Dataset!I206)</f>
        <v>Cancelled</v>
      </c>
      <c r="J206" s="6" t="str">
        <f>TRIM(Dataset!J206)</f>
        <v>TRK21638425</v>
      </c>
      <c r="K206" s="8" t="str">
        <f>TRIM(Dataset!K206)</f>
        <v>9</v>
      </c>
      <c r="L206" s="6" t="str">
        <f>Dataset!L206</f>
        <v>FREESHIP</v>
      </c>
      <c r="M206" s="6" t="str">
        <f>TRIM(Dataset!M206)</f>
        <v>Facebook</v>
      </c>
      <c r="N206" s="10">
        <f>VALUE(TRIM(Dataset!N206))</f>
        <v>1654.84</v>
      </c>
    </row>
    <row r="207" spans="1:14" x14ac:dyDescent="0.35">
      <c r="A207" s="6" t="str">
        <f>TRIM(Dataset!A207)</f>
        <v>ORD200205</v>
      </c>
      <c r="B207" s="4">
        <f>Dataset!B207</f>
        <v>44989</v>
      </c>
      <c r="C207" s="6" t="str">
        <f>TRIM(Dataset!C207)</f>
        <v>C19266</v>
      </c>
      <c r="D207" s="6" t="str">
        <f>TRIM(Dataset!D207)</f>
        <v>Desk</v>
      </c>
      <c r="E207" s="13">
        <f>VALUE(TRIM(Dataset!E207))</f>
        <v>3</v>
      </c>
      <c r="F207" s="10">
        <f>VALUE(TRIM(Dataset!F207))</f>
        <v>147.38999999999999</v>
      </c>
      <c r="G207" s="6" t="str">
        <f>TRIM(Dataset!G207)</f>
        <v>609 Main St</v>
      </c>
      <c r="H207" s="6" t="str">
        <f>TRIM(Dataset!H207)</f>
        <v>Debit Card</v>
      </c>
      <c r="I207" s="6" t="str">
        <f>TRIM(Dataset!I207)</f>
        <v>Returned</v>
      </c>
      <c r="J207" s="6" t="str">
        <f>TRIM(Dataset!J207)</f>
        <v>TRK58357269</v>
      </c>
      <c r="K207" s="8" t="str">
        <f>TRIM(Dataset!K207)</f>
        <v>3</v>
      </c>
      <c r="L207" s="6" t="s">
        <v>4284</v>
      </c>
      <c r="M207" s="6" t="str">
        <f>TRIM(Dataset!M207)</f>
        <v>Email</v>
      </c>
      <c r="N207" s="10">
        <f>VALUE(TRIM(Dataset!N207))</f>
        <v>442.17</v>
      </c>
    </row>
    <row r="208" spans="1:14" x14ac:dyDescent="0.35">
      <c r="A208" s="6" t="str">
        <f>TRIM(Dataset!A208)</f>
        <v>ORD200206</v>
      </c>
      <c r="B208" s="4">
        <f>Dataset!B208</f>
        <v>45398</v>
      </c>
      <c r="C208" s="6" t="str">
        <f>TRIM(Dataset!C208)</f>
        <v>C31072</v>
      </c>
      <c r="D208" s="6" t="str">
        <f>TRIM(Dataset!D208)</f>
        <v>Laptop</v>
      </c>
      <c r="E208" s="13">
        <f>VALUE(TRIM(Dataset!E208))</f>
        <v>4</v>
      </c>
      <c r="F208" s="10">
        <f>VALUE(TRIM(Dataset!F208))</f>
        <v>229.1</v>
      </c>
      <c r="G208" s="6" t="str">
        <f>TRIM(Dataset!G208)</f>
        <v>729 Main St</v>
      </c>
      <c r="H208" s="6" t="str">
        <f>TRIM(Dataset!H208)</f>
        <v>Gift Card</v>
      </c>
      <c r="I208" s="6" t="str">
        <f>TRIM(Dataset!I208)</f>
        <v>Returned</v>
      </c>
      <c r="J208" s="6" t="str">
        <f>TRIM(Dataset!J208)</f>
        <v>TRK77172975</v>
      </c>
      <c r="K208" s="8" t="str">
        <f>TRIM(Dataset!K208)</f>
        <v>8</v>
      </c>
      <c r="L208" s="6" t="str">
        <f>Dataset!L208</f>
        <v>WINTER15</v>
      </c>
      <c r="M208" s="6" t="str">
        <f>TRIM(Dataset!M208)</f>
        <v>Email</v>
      </c>
      <c r="N208" s="10">
        <f>VALUE(TRIM(Dataset!N208))</f>
        <v>916.4</v>
      </c>
    </row>
    <row r="209" spans="1:14" x14ac:dyDescent="0.35">
      <c r="A209" s="6" t="str">
        <f>TRIM(Dataset!A209)</f>
        <v>ORD200207</v>
      </c>
      <c r="B209" s="4">
        <f>Dataset!B209</f>
        <v>45734</v>
      </c>
      <c r="C209" s="6" t="str">
        <f>TRIM(Dataset!C209)</f>
        <v>C54595</v>
      </c>
      <c r="D209" s="6" t="str">
        <f>TRIM(Dataset!D209)</f>
        <v>Phone</v>
      </c>
      <c r="E209" s="13">
        <f>VALUE(TRIM(Dataset!E209))</f>
        <v>1</v>
      </c>
      <c r="F209" s="10">
        <f>VALUE(TRIM(Dataset!F209))</f>
        <v>121.96</v>
      </c>
      <c r="G209" s="6" t="str">
        <f>TRIM(Dataset!G209)</f>
        <v>999 Main St</v>
      </c>
      <c r="H209" s="6" t="str">
        <f>TRIM(Dataset!H209)</f>
        <v>Debit Card</v>
      </c>
      <c r="I209" s="6" t="str">
        <f>TRIM(Dataset!I209)</f>
        <v>Delivered</v>
      </c>
      <c r="J209" s="6" t="str">
        <f>TRIM(Dataset!J209)</f>
        <v>TRK44416659</v>
      </c>
      <c r="K209" s="8" t="str">
        <f>TRIM(Dataset!K209)</f>
        <v>3</v>
      </c>
      <c r="L209" s="6" t="s">
        <v>4284</v>
      </c>
      <c r="M209" s="6" t="str">
        <f>TRIM(Dataset!M209)</f>
        <v>Google</v>
      </c>
      <c r="N209" s="10">
        <f>VALUE(TRIM(Dataset!N209))</f>
        <v>121.96</v>
      </c>
    </row>
    <row r="210" spans="1:14" x14ac:dyDescent="0.35">
      <c r="A210" s="6" t="str">
        <f>TRIM(Dataset!A210)</f>
        <v>ORD200208</v>
      </c>
      <c r="B210" s="4">
        <f>Dataset!B210</f>
        <v>45573</v>
      </c>
      <c r="C210" s="6" t="str">
        <f>TRIM(Dataset!C210)</f>
        <v>C87777</v>
      </c>
      <c r="D210" s="6" t="str">
        <f>TRIM(Dataset!D210)</f>
        <v>Desk</v>
      </c>
      <c r="E210" s="13">
        <f>VALUE(TRIM(Dataset!E210))</f>
        <v>2</v>
      </c>
      <c r="F210" s="10">
        <f>VALUE(TRIM(Dataset!F210))</f>
        <v>408.32</v>
      </c>
      <c r="G210" s="6" t="str">
        <f>TRIM(Dataset!G210)</f>
        <v>597 Main St</v>
      </c>
      <c r="H210" s="6" t="str">
        <f>TRIM(Dataset!H210)</f>
        <v>Online</v>
      </c>
      <c r="I210" s="6" t="str">
        <f>TRIM(Dataset!I210)</f>
        <v>Shipped</v>
      </c>
      <c r="J210" s="6" t="str">
        <f>TRIM(Dataset!J210)</f>
        <v>TRK29003608</v>
      </c>
      <c r="K210" s="8" t="str">
        <f>TRIM(Dataset!K210)</f>
        <v>3</v>
      </c>
      <c r="L210" s="6" t="str">
        <f>Dataset!L210</f>
        <v>FREESHIP</v>
      </c>
      <c r="M210" s="6" t="str">
        <f>TRIM(Dataset!M210)</f>
        <v>Facebook</v>
      </c>
      <c r="N210" s="10">
        <f>VALUE(TRIM(Dataset!N210))</f>
        <v>816.64</v>
      </c>
    </row>
    <row r="211" spans="1:14" x14ac:dyDescent="0.35">
      <c r="A211" s="6" t="str">
        <f>TRIM(Dataset!A211)</f>
        <v>ORD200209</v>
      </c>
      <c r="B211" s="4">
        <f>Dataset!B211</f>
        <v>45167</v>
      </c>
      <c r="C211" s="6" t="str">
        <f>TRIM(Dataset!C211)</f>
        <v>C35854</v>
      </c>
      <c r="D211" s="6" t="str">
        <f>TRIM(Dataset!D211)</f>
        <v>Tablet</v>
      </c>
      <c r="E211" s="13">
        <f>VALUE(TRIM(Dataset!E211))</f>
        <v>5</v>
      </c>
      <c r="F211" s="10">
        <f>VALUE(TRIM(Dataset!F211))</f>
        <v>187.97</v>
      </c>
      <c r="G211" s="6" t="str">
        <f>TRIM(Dataset!G211)</f>
        <v>706 Main St</v>
      </c>
      <c r="H211" s="6" t="str">
        <f>TRIM(Dataset!H211)</f>
        <v>Cash</v>
      </c>
      <c r="I211" s="6" t="str">
        <f>TRIM(Dataset!I211)</f>
        <v>Returned</v>
      </c>
      <c r="J211" s="6" t="str">
        <f>TRIM(Dataset!J211)</f>
        <v>TRK30615168</v>
      </c>
      <c r="K211" s="8" t="str">
        <f>TRIM(Dataset!K211)</f>
        <v>9</v>
      </c>
      <c r="L211" s="6" t="str">
        <f>Dataset!L211</f>
        <v>SAVE10</v>
      </c>
      <c r="M211" s="6" t="str">
        <f>TRIM(Dataset!M211)</f>
        <v>Google</v>
      </c>
      <c r="N211" s="10">
        <f>VALUE(TRIM(Dataset!N211))</f>
        <v>939.85</v>
      </c>
    </row>
    <row r="212" spans="1:14" x14ac:dyDescent="0.35">
      <c r="A212" s="6" t="str">
        <f>TRIM(Dataset!A212)</f>
        <v>ORD200210</v>
      </c>
      <c r="B212" s="4">
        <f>Dataset!B212</f>
        <v>45631</v>
      </c>
      <c r="C212" s="6" t="str">
        <f>TRIM(Dataset!C212)</f>
        <v>C93821</v>
      </c>
      <c r="D212" s="6" t="str">
        <f>TRIM(Dataset!D212)</f>
        <v>Chair</v>
      </c>
      <c r="E212" s="13">
        <f>VALUE(TRIM(Dataset!E212))</f>
        <v>3</v>
      </c>
      <c r="F212" s="10">
        <f>VALUE(TRIM(Dataset!F212))</f>
        <v>358.48</v>
      </c>
      <c r="G212" s="6" t="str">
        <f>TRIM(Dataset!G212)</f>
        <v>513 Main St</v>
      </c>
      <c r="H212" s="6" t="str">
        <f>TRIM(Dataset!H212)</f>
        <v>Gift Card</v>
      </c>
      <c r="I212" s="6" t="str">
        <f>TRIM(Dataset!I212)</f>
        <v>Delivered</v>
      </c>
      <c r="J212" s="6" t="str">
        <f>TRIM(Dataset!J212)</f>
        <v>TRK10658539</v>
      </c>
      <c r="K212" s="8" t="str">
        <f>TRIM(Dataset!K212)</f>
        <v>7</v>
      </c>
      <c r="L212" s="6" t="str">
        <f>Dataset!L212</f>
        <v>FREESHIP</v>
      </c>
      <c r="M212" s="6" t="str">
        <f>TRIM(Dataset!M212)</f>
        <v>Facebook</v>
      </c>
      <c r="N212" s="10">
        <f>VALUE(TRIM(Dataset!N212))</f>
        <v>1075.44</v>
      </c>
    </row>
    <row r="213" spans="1:14" x14ac:dyDescent="0.35">
      <c r="A213" s="6" t="str">
        <f>TRIM(Dataset!A213)</f>
        <v>ORD200211</v>
      </c>
      <c r="B213" s="4">
        <f>Dataset!B213</f>
        <v>45660</v>
      </c>
      <c r="C213" s="6" t="str">
        <f>TRIM(Dataset!C213)</f>
        <v>C54390</v>
      </c>
      <c r="D213" s="6" t="str">
        <f>TRIM(Dataset!D213)</f>
        <v>Printer</v>
      </c>
      <c r="E213" s="13">
        <f>VALUE(TRIM(Dataset!E213))</f>
        <v>3</v>
      </c>
      <c r="F213" s="10">
        <f>VALUE(TRIM(Dataset!F213))</f>
        <v>193.58</v>
      </c>
      <c r="G213" s="6" t="str">
        <f>TRIM(Dataset!G213)</f>
        <v>185 Main St</v>
      </c>
      <c r="H213" s="6" t="str">
        <f>TRIM(Dataset!H213)</f>
        <v>Gift Card</v>
      </c>
      <c r="I213" s="6" t="str">
        <f>TRIM(Dataset!I213)</f>
        <v>Pending</v>
      </c>
      <c r="J213" s="6" t="str">
        <f>TRIM(Dataset!J213)</f>
        <v>TRK83853742</v>
      </c>
      <c r="K213" s="8" t="str">
        <f>TRIM(Dataset!K213)</f>
        <v>7</v>
      </c>
      <c r="L213" s="6" t="str">
        <f>Dataset!L213</f>
        <v>FREESHIP</v>
      </c>
      <c r="M213" s="6" t="str">
        <f>TRIM(Dataset!M213)</f>
        <v>Email</v>
      </c>
      <c r="N213" s="10">
        <f>VALUE(TRIM(Dataset!N213))</f>
        <v>580.74</v>
      </c>
    </row>
    <row r="214" spans="1:14" x14ac:dyDescent="0.35">
      <c r="A214" s="6" t="str">
        <f>TRIM(Dataset!A214)</f>
        <v>ORD200212</v>
      </c>
      <c r="B214" s="4">
        <f>Dataset!B214</f>
        <v>45097</v>
      </c>
      <c r="C214" s="6" t="str">
        <f>TRIM(Dataset!C214)</f>
        <v>C53215</v>
      </c>
      <c r="D214" s="6" t="str">
        <f>TRIM(Dataset!D214)</f>
        <v>Monitor</v>
      </c>
      <c r="E214" s="13">
        <f>VALUE(TRIM(Dataset!E214))</f>
        <v>1</v>
      </c>
      <c r="F214" s="10">
        <f>VALUE(TRIM(Dataset!F214))</f>
        <v>265.38</v>
      </c>
      <c r="G214" s="6" t="str">
        <f>TRIM(Dataset!G214)</f>
        <v>367 Main St</v>
      </c>
      <c r="H214" s="6" t="str">
        <f>TRIM(Dataset!H214)</f>
        <v>Credit Card</v>
      </c>
      <c r="I214" s="6" t="str">
        <f>TRIM(Dataset!I214)</f>
        <v>Cancelled</v>
      </c>
      <c r="J214" s="6" t="str">
        <f>TRIM(Dataset!J214)</f>
        <v>TRK34751835</v>
      </c>
      <c r="K214" s="8" t="str">
        <f>TRIM(Dataset!K214)</f>
        <v>6</v>
      </c>
      <c r="L214" s="6" t="str">
        <f>Dataset!L214</f>
        <v>WINTER15</v>
      </c>
      <c r="M214" s="6" t="str">
        <f>TRIM(Dataset!M214)</f>
        <v>Email</v>
      </c>
      <c r="N214" s="10">
        <f>VALUE(TRIM(Dataset!N214))</f>
        <v>265.38</v>
      </c>
    </row>
    <row r="215" spans="1:14" x14ac:dyDescent="0.35">
      <c r="A215" s="6" t="str">
        <f>TRIM(Dataset!A215)</f>
        <v>ORD200213</v>
      </c>
      <c r="B215" s="4">
        <f>Dataset!B215</f>
        <v>45036</v>
      </c>
      <c r="C215" s="6" t="str">
        <f>TRIM(Dataset!C215)</f>
        <v>C71122</v>
      </c>
      <c r="D215" s="6" t="str">
        <f>TRIM(Dataset!D215)</f>
        <v>Laptop</v>
      </c>
      <c r="E215" s="13">
        <f>VALUE(TRIM(Dataset!E215))</f>
        <v>1</v>
      </c>
      <c r="F215" s="10">
        <f>VALUE(TRIM(Dataset!F215))</f>
        <v>634.4</v>
      </c>
      <c r="G215" s="6" t="str">
        <f>TRIM(Dataset!G215)</f>
        <v>317 Main St</v>
      </c>
      <c r="H215" s="6" t="str">
        <f>TRIM(Dataset!H215)</f>
        <v>Cash</v>
      </c>
      <c r="I215" s="6" t="str">
        <f>TRIM(Dataset!I215)</f>
        <v>Cancelled</v>
      </c>
      <c r="J215" s="6" t="str">
        <f>TRIM(Dataset!J215)</f>
        <v>TRK54757882</v>
      </c>
      <c r="K215" s="8" t="str">
        <f>TRIM(Dataset!K215)</f>
        <v>6</v>
      </c>
      <c r="L215" s="6" t="str">
        <f>Dataset!L215</f>
        <v>SAVE10</v>
      </c>
      <c r="M215" s="6" t="str">
        <f>TRIM(Dataset!M215)</f>
        <v>Email</v>
      </c>
      <c r="N215" s="10">
        <f>VALUE(TRIM(Dataset!N215))</f>
        <v>634.4</v>
      </c>
    </row>
    <row r="216" spans="1:14" x14ac:dyDescent="0.35">
      <c r="A216" s="6" t="str">
        <f>TRIM(Dataset!A216)</f>
        <v>ORD200214</v>
      </c>
      <c r="B216" s="4">
        <f>Dataset!B216</f>
        <v>45525</v>
      </c>
      <c r="C216" s="6" t="str">
        <f>TRIM(Dataset!C216)</f>
        <v>C29483</v>
      </c>
      <c r="D216" s="6" t="str">
        <f>TRIM(Dataset!D216)</f>
        <v>Desk</v>
      </c>
      <c r="E216" s="13">
        <f>VALUE(TRIM(Dataset!E216))</f>
        <v>4</v>
      </c>
      <c r="F216" s="10">
        <f>VALUE(TRIM(Dataset!F216))</f>
        <v>305.72000000000003</v>
      </c>
      <c r="G216" s="6" t="str">
        <f>TRIM(Dataset!G216)</f>
        <v>673 Main St</v>
      </c>
      <c r="H216" s="6" t="str">
        <f>TRIM(Dataset!H216)</f>
        <v>Online</v>
      </c>
      <c r="I216" s="6" t="str">
        <f>TRIM(Dataset!I216)</f>
        <v>Delivered</v>
      </c>
      <c r="J216" s="6" t="str">
        <f>TRIM(Dataset!J216)</f>
        <v>TRK89423603</v>
      </c>
      <c r="K216" s="8" t="str">
        <f>TRIM(Dataset!K216)</f>
        <v>5</v>
      </c>
      <c r="L216" s="6" t="s">
        <v>4284</v>
      </c>
      <c r="M216" s="6" t="str">
        <f>TRIM(Dataset!M216)</f>
        <v>Facebook</v>
      </c>
      <c r="N216" s="10">
        <f>VALUE(TRIM(Dataset!N216))</f>
        <v>1222.8800000000001</v>
      </c>
    </row>
    <row r="217" spans="1:14" x14ac:dyDescent="0.35">
      <c r="A217" s="6" t="str">
        <f>TRIM(Dataset!A217)</f>
        <v>ORD200215</v>
      </c>
      <c r="B217" s="4">
        <f>Dataset!B217</f>
        <v>45148</v>
      </c>
      <c r="C217" s="6" t="str">
        <f>TRIM(Dataset!C217)</f>
        <v>C26767</v>
      </c>
      <c r="D217" s="6" t="str">
        <f>TRIM(Dataset!D217)</f>
        <v>Printer</v>
      </c>
      <c r="E217" s="13">
        <f>VALUE(TRIM(Dataset!E217))</f>
        <v>1</v>
      </c>
      <c r="F217" s="10">
        <f>VALUE(TRIM(Dataset!F217))</f>
        <v>303.60000000000002</v>
      </c>
      <c r="G217" s="6" t="str">
        <f>TRIM(Dataset!G217)</f>
        <v>432 Main St</v>
      </c>
      <c r="H217" s="6" t="str">
        <f>TRIM(Dataset!H217)</f>
        <v>Cash</v>
      </c>
      <c r="I217" s="6" t="str">
        <f>TRIM(Dataset!I217)</f>
        <v>Shipped</v>
      </c>
      <c r="J217" s="6" t="str">
        <f>TRIM(Dataset!J217)</f>
        <v>TRK24585307</v>
      </c>
      <c r="K217" s="8" t="str">
        <f>TRIM(Dataset!K217)</f>
        <v>5</v>
      </c>
      <c r="L217" s="6" t="str">
        <f>Dataset!L217</f>
        <v>FREESHIP</v>
      </c>
      <c r="M217" s="6" t="str">
        <f>TRIM(Dataset!M217)</f>
        <v>Facebook</v>
      </c>
      <c r="N217" s="10">
        <f>VALUE(TRIM(Dataset!N217))</f>
        <v>303.60000000000002</v>
      </c>
    </row>
    <row r="218" spans="1:14" x14ac:dyDescent="0.35">
      <c r="A218" s="6" t="str">
        <f>TRIM(Dataset!A218)</f>
        <v>ORD200216</v>
      </c>
      <c r="B218" s="4">
        <f>Dataset!B218</f>
        <v>45762</v>
      </c>
      <c r="C218" s="6" t="str">
        <f>TRIM(Dataset!C218)</f>
        <v>C70492</v>
      </c>
      <c r="D218" s="6" t="str">
        <f>TRIM(Dataset!D218)</f>
        <v>Monitor</v>
      </c>
      <c r="E218" s="13">
        <f>VALUE(TRIM(Dataset!E218))</f>
        <v>4</v>
      </c>
      <c r="F218" s="10">
        <f>VALUE(TRIM(Dataset!F218))</f>
        <v>496</v>
      </c>
      <c r="G218" s="6" t="str">
        <f>TRIM(Dataset!G218)</f>
        <v>811 Main St</v>
      </c>
      <c r="H218" s="6" t="str">
        <f>TRIM(Dataset!H218)</f>
        <v>Online</v>
      </c>
      <c r="I218" s="6" t="str">
        <f>TRIM(Dataset!I218)</f>
        <v>Cancelled</v>
      </c>
      <c r="J218" s="6" t="str">
        <f>TRIM(Dataset!J218)</f>
        <v>TRK84625405</v>
      </c>
      <c r="K218" s="8" t="str">
        <f>TRIM(Dataset!K218)</f>
        <v>8</v>
      </c>
      <c r="L218" s="6" t="str">
        <f>Dataset!L218</f>
        <v>WINTER15</v>
      </c>
      <c r="M218" s="6" t="str">
        <f>TRIM(Dataset!M218)</f>
        <v>Google</v>
      </c>
      <c r="N218" s="10">
        <f>VALUE(TRIM(Dataset!N218))</f>
        <v>1984</v>
      </c>
    </row>
    <row r="219" spans="1:14" x14ac:dyDescent="0.35">
      <c r="A219" s="6" t="str">
        <f>TRIM(Dataset!A219)</f>
        <v>ORD200217</v>
      </c>
      <c r="B219" s="4">
        <f>Dataset!B219</f>
        <v>45432</v>
      </c>
      <c r="C219" s="6" t="str">
        <f>TRIM(Dataset!C219)</f>
        <v>C61549</v>
      </c>
      <c r="D219" s="6" t="str">
        <f>TRIM(Dataset!D219)</f>
        <v>Desk</v>
      </c>
      <c r="E219" s="13">
        <f>VALUE(TRIM(Dataset!E219))</f>
        <v>4</v>
      </c>
      <c r="F219" s="10">
        <f>VALUE(TRIM(Dataset!F219))</f>
        <v>321.51</v>
      </c>
      <c r="G219" s="6" t="str">
        <f>TRIM(Dataset!G219)</f>
        <v>908 Main St</v>
      </c>
      <c r="H219" s="6" t="str">
        <f>TRIM(Dataset!H219)</f>
        <v>Cash</v>
      </c>
      <c r="I219" s="6" t="str">
        <f>TRIM(Dataset!I219)</f>
        <v>Returned</v>
      </c>
      <c r="J219" s="6" t="str">
        <f>TRIM(Dataset!J219)</f>
        <v>TRK65596914</v>
      </c>
      <c r="K219" s="8" t="str">
        <f>TRIM(Dataset!K219)</f>
        <v>9</v>
      </c>
      <c r="L219" s="6" t="s">
        <v>4284</v>
      </c>
      <c r="M219" s="6" t="str">
        <f>TRIM(Dataset!M219)</f>
        <v>Google</v>
      </c>
      <c r="N219" s="10">
        <f>VALUE(TRIM(Dataset!N219))</f>
        <v>1286.04</v>
      </c>
    </row>
    <row r="220" spans="1:14" x14ac:dyDescent="0.35">
      <c r="A220" s="6" t="str">
        <f>TRIM(Dataset!A220)</f>
        <v>ORD200218</v>
      </c>
      <c r="B220" s="4">
        <f>Dataset!B220</f>
        <v>45044</v>
      </c>
      <c r="C220" s="6" t="str">
        <f>TRIM(Dataset!C220)</f>
        <v>C11665</v>
      </c>
      <c r="D220" s="6" t="str">
        <f>TRIM(Dataset!D220)</f>
        <v>Tablet</v>
      </c>
      <c r="E220" s="13">
        <f>VALUE(TRIM(Dataset!E220))</f>
        <v>3</v>
      </c>
      <c r="F220" s="10">
        <f>VALUE(TRIM(Dataset!F220))</f>
        <v>112.46</v>
      </c>
      <c r="G220" s="6" t="str">
        <f>TRIM(Dataset!G220)</f>
        <v>882 Main St</v>
      </c>
      <c r="H220" s="6" t="str">
        <f>TRIM(Dataset!H220)</f>
        <v>Gift Card</v>
      </c>
      <c r="I220" s="6" t="str">
        <f>TRIM(Dataset!I220)</f>
        <v>Shipped</v>
      </c>
      <c r="J220" s="6" t="str">
        <f>TRIM(Dataset!J220)</f>
        <v>TRK10993930</v>
      </c>
      <c r="K220" s="8" t="str">
        <f>TRIM(Dataset!K220)</f>
        <v>6</v>
      </c>
      <c r="L220" s="6" t="str">
        <f>Dataset!L220</f>
        <v>SAVE10</v>
      </c>
      <c r="M220" s="6" t="str">
        <f>TRIM(Dataset!M220)</f>
        <v>Instagram</v>
      </c>
      <c r="N220" s="10">
        <f>VALUE(TRIM(Dataset!N220))</f>
        <v>337.38</v>
      </c>
    </row>
    <row r="221" spans="1:14" x14ac:dyDescent="0.35">
      <c r="A221" s="6" t="str">
        <f>TRIM(Dataset!A221)</f>
        <v>ORD200219</v>
      </c>
      <c r="B221" s="4">
        <f>Dataset!B221</f>
        <v>45779</v>
      </c>
      <c r="C221" s="6" t="str">
        <f>TRIM(Dataset!C221)</f>
        <v>C48946</v>
      </c>
      <c r="D221" s="6" t="str">
        <f>TRIM(Dataset!D221)</f>
        <v>Laptop</v>
      </c>
      <c r="E221" s="13">
        <f>VALUE(TRIM(Dataset!E221))</f>
        <v>5</v>
      </c>
      <c r="F221" s="10">
        <f>VALUE(TRIM(Dataset!F221))</f>
        <v>61.97</v>
      </c>
      <c r="G221" s="6" t="str">
        <f>TRIM(Dataset!G221)</f>
        <v>457 Main St</v>
      </c>
      <c r="H221" s="6" t="str">
        <f>TRIM(Dataset!H221)</f>
        <v>Cash</v>
      </c>
      <c r="I221" s="6" t="str">
        <f>TRIM(Dataset!I221)</f>
        <v>Delivered</v>
      </c>
      <c r="J221" s="6" t="str">
        <f>TRIM(Dataset!J221)</f>
        <v>TRK99387220</v>
      </c>
      <c r="K221" s="8" t="str">
        <f>TRIM(Dataset!K221)</f>
        <v>6</v>
      </c>
      <c r="L221" s="6" t="str">
        <f>Dataset!L221</f>
        <v>SAVE10</v>
      </c>
      <c r="M221" s="6" t="str">
        <f>TRIM(Dataset!M221)</f>
        <v>Email</v>
      </c>
      <c r="N221" s="10">
        <f>VALUE(TRIM(Dataset!N221))</f>
        <v>309.85000000000002</v>
      </c>
    </row>
    <row r="222" spans="1:14" x14ac:dyDescent="0.35">
      <c r="A222" s="6" t="str">
        <f>TRIM(Dataset!A222)</f>
        <v>ORD200220</v>
      </c>
      <c r="B222" s="4">
        <f>Dataset!B222</f>
        <v>45125</v>
      </c>
      <c r="C222" s="6" t="str">
        <f>TRIM(Dataset!C222)</f>
        <v>C79506</v>
      </c>
      <c r="D222" s="6" t="str">
        <f>TRIM(Dataset!D222)</f>
        <v>Laptop</v>
      </c>
      <c r="E222" s="13">
        <f>VALUE(TRIM(Dataset!E222))</f>
        <v>2</v>
      </c>
      <c r="F222" s="10">
        <f>VALUE(TRIM(Dataset!F222))</f>
        <v>373.17</v>
      </c>
      <c r="G222" s="6" t="str">
        <f>TRIM(Dataset!G222)</f>
        <v>497 Main St</v>
      </c>
      <c r="H222" s="6" t="str">
        <f>TRIM(Dataset!H222)</f>
        <v>Credit Card</v>
      </c>
      <c r="I222" s="6" t="str">
        <f>TRIM(Dataset!I222)</f>
        <v>Pending</v>
      </c>
      <c r="J222" s="6" t="str">
        <f>TRIM(Dataset!J222)</f>
        <v>TRK95188748</v>
      </c>
      <c r="K222" s="8" t="str">
        <f>TRIM(Dataset!K222)</f>
        <v>6</v>
      </c>
      <c r="L222" s="6" t="str">
        <f>Dataset!L222</f>
        <v>SAVE10</v>
      </c>
      <c r="M222" s="6" t="str">
        <f>TRIM(Dataset!M222)</f>
        <v>Referral</v>
      </c>
      <c r="N222" s="10">
        <f>VALUE(TRIM(Dataset!N222))</f>
        <v>746.34</v>
      </c>
    </row>
    <row r="223" spans="1:14" x14ac:dyDescent="0.35">
      <c r="A223" s="6" t="str">
        <f>TRIM(Dataset!A223)</f>
        <v>ORD200221</v>
      </c>
      <c r="B223" s="4">
        <f>Dataset!B223</f>
        <v>45345</v>
      </c>
      <c r="C223" s="6" t="str">
        <f>TRIM(Dataset!C223)</f>
        <v>C93473</v>
      </c>
      <c r="D223" s="6" t="str">
        <f>TRIM(Dataset!D223)</f>
        <v>Tablet</v>
      </c>
      <c r="E223" s="13">
        <f>VALUE(TRIM(Dataset!E223))</f>
        <v>5</v>
      </c>
      <c r="F223" s="10">
        <f>VALUE(TRIM(Dataset!F223))</f>
        <v>639.37</v>
      </c>
      <c r="G223" s="6" t="str">
        <f>TRIM(Dataset!G223)</f>
        <v>552 Main St</v>
      </c>
      <c r="H223" s="6" t="str">
        <f>TRIM(Dataset!H223)</f>
        <v>Debit Card</v>
      </c>
      <c r="I223" s="6" t="str">
        <f>TRIM(Dataset!I223)</f>
        <v>Pending</v>
      </c>
      <c r="J223" s="6" t="str">
        <f>TRIM(Dataset!J223)</f>
        <v>TRK50003989</v>
      </c>
      <c r="K223" s="8" t="str">
        <f>TRIM(Dataset!K223)</f>
        <v>6</v>
      </c>
      <c r="L223" s="6" t="str">
        <f>Dataset!L223</f>
        <v>SAVE10</v>
      </c>
      <c r="M223" s="6" t="str">
        <f>TRIM(Dataset!M223)</f>
        <v>Google</v>
      </c>
      <c r="N223" s="10">
        <f>VALUE(TRIM(Dataset!N223))</f>
        <v>3196.85</v>
      </c>
    </row>
    <row r="224" spans="1:14" x14ac:dyDescent="0.35">
      <c r="A224" s="6" t="str">
        <f>TRIM(Dataset!A224)</f>
        <v>ORD200222</v>
      </c>
      <c r="B224" s="4">
        <f>Dataset!B224</f>
        <v>45050</v>
      </c>
      <c r="C224" s="6" t="str">
        <f>TRIM(Dataset!C224)</f>
        <v>C43124</v>
      </c>
      <c r="D224" s="6" t="str">
        <f>TRIM(Dataset!D224)</f>
        <v>Chair</v>
      </c>
      <c r="E224" s="13">
        <f>VALUE(TRIM(Dataset!E224))</f>
        <v>4</v>
      </c>
      <c r="F224" s="10">
        <f>VALUE(TRIM(Dataset!F224))</f>
        <v>693.36</v>
      </c>
      <c r="G224" s="6" t="str">
        <f>TRIM(Dataset!G224)</f>
        <v>931 Main St</v>
      </c>
      <c r="H224" s="6" t="str">
        <f>TRIM(Dataset!H224)</f>
        <v>Online</v>
      </c>
      <c r="I224" s="6" t="str">
        <f>TRIM(Dataset!I224)</f>
        <v>Shipped</v>
      </c>
      <c r="J224" s="6" t="str">
        <f>TRIM(Dataset!J224)</f>
        <v>TRK17293348</v>
      </c>
      <c r="K224" s="8" t="str">
        <f>TRIM(Dataset!K224)</f>
        <v>8</v>
      </c>
      <c r="L224" s="6" t="s">
        <v>4284</v>
      </c>
      <c r="M224" s="6" t="str">
        <f>TRIM(Dataset!M224)</f>
        <v>Instagram</v>
      </c>
      <c r="N224" s="10">
        <f>VALUE(TRIM(Dataset!N224))</f>
        <v>2773.44</v>
      </c>
    </row>
    <row r="225" spans="1:14" x14ac:dyDescent="0.35">
      <c r="A225" s="6" t="str">
        <f>TRIM(Dataset!A225)</f>
        <v>ORD200223</v>
      </c>
      <c r="B225" s="4">
        <f>Dataset!B225</f>
        <v>45546</v>
      </c>
      <c r="C225" s="6" t="str">
        <f>TRIM(Dataset!C225)</f>
        <v>C22783</v>
      </c>
      <c r="D225" s="6" t="str">
        <f>TRIM(Dataset!D225)</f>
        <v>Phone</v>
      </c>
      <c r="E225" s="13">
        <f>VALUE(TRIM(Dataset!E225))</f>
        <v>4</v>
      </c>
      <c r="F225" s="10">
        <f>VALUE(TRIM(Dataset!F225))</f>
        <v>692.91</v>
      </c>
      <c r="G225" s="6" t="str">
        <f>TRIM(Dataset!G225)</f>
        <v>673 Main St</v>
      </c>
      <c r="H225" s="6" t="str">
        <f>TRIM(Dataset!H225)</f>
        <v>Credit Card</v>
      </c>
      <c r="I225" s="6" t="str">
        <f>TRIM(Dataset!I225)</f>
        <v>Pending</v>
      </c>
      <c r="J225" s="6" t="str">
        <f>TRIM(Dataset!J225)</f>
        <v>TRK55009149</v>
      </c>
      <c r="K225" s="8" t="str">
        <f>TRIM(Dataset!K225)</f>
        <v>9</v>
      </c>
      <c r="L225" s="6" t="str">
        <f>Dataset!L225</f>
        <v>SAVE10</v>
      </c>
      <c r="M225" s="6" t="str">
        <f>TRIM(Dataset!M225)</f>
        <v>Instagram</v>
      </c>
      <c r="N225" s="10">
        <f>VALUE(TRIM(Dataset!N225))</f>
        <v>2771.64</v>
      </c>
    </row>
    <row r="226" spans="1:14" x14ac:dyDescent="0.35">
      <c r="A226" s="6" t="str">
        <f>TRIM(Dataset!A226)</f>
        <v>ORD200224</v>
      </c>
      <c r="B226" s="4">
        <f>Dataset!B226</f>
        <v>45192</v>
      </c>
      <c r="C226" s="6" t="str">
        <f>TRIM(Dataset!C226)</f>
        <v>C18567</v>
      </c>
      <c r="D226" s="6" t="str">
        <f>TRIM(Dataset!D226)</f>
        <v>Printer</v>
      </c>
      <c r="E226" s="13">
        <f>VALUE(TRIM(Dataset!E226))</f>
        <v>4</v>
      </c>
      <c r="F226" s="10">
        <f>VALUE(TRIM(Dataset!F226))</f>
        <v>91.46</v>
      </c>
      <c r="G226" s="6" t="str">
        <f>TRIM(Dataset!G226)</f>
        <v>507 Main St</v>
      </c>
      <c r="H226" s="6" t="str">
        <f>TRIM(Dataset!H226)</f>
        <v>Cash</v>
      </c>
      <c r="I226" s="6" t="str">
        <f>TRIM(Dataset!I226)</f>
        <v>Cancelled</v>
      </c>
      <c r="J226" s="6" t="str">
        <f>TRIM(Dataset!J226)</f>
        <v>TRK17554673</v>
      </c>
      <c r="K226" s="8" t="str">
        <f>TRIM(Dataset!K226)</f>
        <v>9</v>
      </c>
      <c r="L226" s="6" t="str">
        <f>Dataset!L226</f>
        <v>SAVE10</v>
      </c>
      <c r="M226" s="6" t="str">
        <f>TRIM(Dataset!M226)</f>
        <v>Referral</v>
      </c>
      <c r="N226" s="10">
        <f>VALUE(TRIM(Dataset!N226))</f>
        <v>365.84</v>
      </c>
    </row>
    <row r="227" spans="1:14" x14ac:dyDescent="0.35">
      <c r="A227" s="6" t="str">
        <f>TRIM(Dataset!A227)</f>
        <v>ORD200225</v>
      </c>
      <c r="B227" s="4">
        <f>Dataset!B227</f>
        <v>45364</v>
      </c>
      <c r="C227" s="6" t="str">
        <f>TRIM(Dataset!C227)</f>
        <v>C99879</v>
      </c>
      <c r="D227" s="6" t="str">
        <f>TRIM(Dataset!D227)</f>
        <v>Phone</v>
      </c>
      <c r="E227" s="13">
        <f>VALUE(TRIM(Dataset!E227))</f>
        <v>3</v>
      </c>
      <c r="F227" s="10">
        <f>VALUE(TRIM(Dataset!F227))</f>
        <v>273.95999999999998</v>
      </c>
      <c r="G227" s="6" t="str">
        <f>TRIM(Dataset!G227)</f>
        <v>692 Main St</v>
      </c>
      <c r="H227" s="6" t="str">
        <f>TRIM(Dataset!H227)</f>
        <v>Debit Card</v>
      </c>
      <c r="I227" s="6" t="str">
        <f>TRIM(Dataset!I227)</f>
        <v>Returned</v>
      </c>
      <c r="J227" s="6" t="str">
        <f>TRIM(Dataset!J227)</f>
        <v>TRK50246700</v>
      </c>
      <c r="K227" s="8" t="str">
        <f>TRIM(Dataset!K227)</f>
        <v>8</v>
      </c>
      <c r="L227" s="6" t="str">
        <f>Dataset!L227</f>
        <v>SAVE10</v>
      </c>
      <c r="M227" s="6" t="str">
        <f>TRIM(Dataset!M227)</f>
        <v>Google</v>
      </c>
      <c r="N227" s="10">
        <f>VALUE(TRIM(Dataset!N227))</f>
        <v>821.88</v>
      </c>
    </row>
    <row r="228" spans="1:14" x14ac:dyDescent="0.35">
      <c r="A228" s="6" t="str">
        <f>TRIM(Dataset!A228)</f>
        <v>ORD200226</v>
      </c>
      <c r="B228" s="4">
        <f>Dataset!B228</f>
        <v>45835</v>
      </c>
      <c r="C228" s="6" t="str">
        <f>TRIM(Dataset!C228)</f>
        <v>C31501</v>
      </c>
      <c r="D228" s="6" t="str">
        <f>TRIM(Dataset!D228)</f>
        <v>Desk</v>
      </c>
      <c r="E228" s="13">
        <f>VALUE(TRIM(Dataset!E228))</f>
        <v>3</v>
      </c>
      <c r="F228" s="10">
        <f>VALUE(TRIM(Dataset!F228))</f>
        <v>588.04999999999995</v>
      </c>
      <c r="G228" s="6" t="str">
        <f>TRIM(Dataset!G228)</f>
        <v>242 Main St</v>
      </c>
      <c r="H228" s="6" t="str">
        <f>TRIM(Dataset!H228)</f>
        <v>Gift Card</v>
      </c>
      <c r="I228" s="6" t="str">
        <f>TRIM(Dataset!I228)</f>
        <v>Delivered</v>
      </c>
      <c r="J228" s="6" t="str">
        <f>TRIM(Dataset!J228)</f>
        <v>TRK93063929</v>
      </c>
      <c r="K228" s="8" t="str">
        <f>TRIM(Dataset!K228)</f>
        <v>8</v>
      </c>
      <c r="L228" s="6" t="s">
        <v>4284</v>
      </c>
      <c r="M228" s="6" t="str">
        <f>TRIM(Dataset!M228)</f>
        <v>Instagram</v>
      </c>
      <c r="N228" s="10">
        <f>VALUE(TRIM(Dataset!N228))</f>
        <v>1764.15</v>
      </c>
    </row>
    <row r="229" spans="1:14" x14ac:dyDescent="0.35">
      <c r="A229" s="6" t="str">
        <f>TRIM(Dataset!A229)</f>
        <v>ORD200227</v>
      </c>
      <c r="B229" s="4">
        <f>Dataset!B229</f>
        <v>45232</v>
      </c>
      <c r="C229" s="6" t="str">
        <f>TRIM(Dataset!C229)</f>
        <v>C93220</v>
      </c>
      <c r="D229" s="6" t="str">
        <f>TRIM(Dataset!D229)</f>
        <v>Monitor</v>
      </c>
      <c r="E229" s="13">
        <f>VALUE(TRIM(Dataset!E229))</f>
        <v>2</v>
      </c>
      <c r="F229" s="10">
        <f>VALUE(TRIM(Dataset!F229))</f>
        <v>365.17</v>
      </c>
      <c r="G229" s="6" t="str">
        <f>TRIM(Dataset!G229)</f>
        <v>353 Main St</v>
      </c>
      <c r="H229" s="6" t="str">
        <f>TRIM(Dataset!H229)</f>
        <v>Online</v>
      </c>
      <c r="I229" s="6" t="str">
        <f>TRIM(Dataset!I229)</f>
        <v>Cancelled</v>
      </c>
      <c r="J229" s="6" t="str">
        <f>TRIM(Dataset!J229)</f>
        <v>TRK89023251</v>
      </c>
      <c r="K229" s="8" t="str">
        <f>TRIM(Dataset!K229)</f>
        <v>4</v>
      </c>
      <c r="L229" s="6" t="str">
        <f>Dataset!L229</f>
        <v>FREESHIP</v>
      </c>
      <c r="M229" s="6" t="str">
        <f>TRIM(Dataset!M229)</f>
        <v>Facebook</v>
      </c>
      <c r="N229" s="10">
        <f>VALUE(TRIM(Dataset!N229))</f>
        <v>730.34</v>
      </c>
    </row>
    <row r="230" spans="1:14" x14ac:dyDescent="0.35">
      <c r="A230" s="6" t="str">
        <f>TRIM(Dataset!A230)</f>
        <v>ORD200228</v>
      </c>
      <c r="B230" s="4">
        <f>Dataset!B230</f>
        <v>45063</v>
      </c>
      <c r="C230" s="6" t="str">
        <f>TRIM(Dataset!C230)</f>
        <v>C57867</v>
      </c>
      <c r="D230" s="6" t="str">
        <f>TRIM(Dataset!D230)</f>
        <v>Chair</v>
      </c>
      <c r="E230" s="13">
        <f>VALUE(TRIM(Dataset!E230))</f>
        <v>4</v>
      </c>
      <c r="F230" s="10">
        <f>VALUE(TRIM(Dataset!F230))</f>
        <v>385.92</v>
      </c>
      <c r="G230" s="6" t="str">
        <f>TRIM(Dataset!G230)</f>
        <v>579 Main St</v>
      </c>
      <c r="H230" s="6" t="str">
        <f>TRIM(Dataset!H230)</f>
        <v>Credit Card</v>
      </c>
      <c r="I230" s="6" t="str">
        <f>TRIM(Dataset!I230)</f>
        <v>Cancelled</v>
      </c>
      <c r="J230" s="6" t="str">
        <f>TRIM(Dataset!J230)</f>
        <v>TRK92055007</v>
      </c>
      <c r="K230" s="8" t="str">
        <f>TRIM(Dataset!K230)</f>
        <v>8</v>
      </c>
      <c r="L230" s="6" t="s">
        <v>4284</v>
      </c>
      <c r="M230" s="6" t="str">
        <f>TRIM(Dataset!M230)</f>
        <v>Instagram</v>
      </c>
      <c r="N230" s="10">
        <f>VALUE(TRIM(Dataset!N230))</f>
        <v>1543.68</v>
      </c>
    </row>
    <row r="231" spans="1:14" x14ac:dyDescent="0.35">
      <c r="A231" s="6" t="str">
        <f>TRIM(Dataset!A231)</f>
        <v>ORD200229</v>
      </c>
      <c r="B231" s="4">
        <f>Dataset!B231</f>
        <v>45744</v>
      </c>
      <c r="C231" s="6" t="str">
        <f>TRIM(Dataset!C231)</f>
        <v>C62622</v>
      </c>
      <c r="D231" s="6" t="str">
        <f>TRIM(Dataset!D231)</f>
        <v>Tablet</v>
      </c>
      <c r="E231" s="13">
        <f>VALUE(TRIM(Dataset!E231))</f>
        <v>1</v>
      </c>
      <c r="F231" s="10">
        <f>VALUE(TRIM(Dataset!F231))</f>
        <v>562.61</v>
      </c>
      <c r="G231" s="6" t="str">
        <f>TRIM(Dataset!G231)</f>
        <v>762 Main St</v>
      </c>
      <c r="H231" s="6" t="str">
        <f>TRIM(Dataset!H231)</f>
        <v>Credit Card</v>
      </c>
      <c r="I231" s="6" t="str">
        <f>TRIM(Dataset!I231)</f>
        <v>Delivered</v>
      </c>
      <c r="J231" s="6" t="str">
        <f>TRIM(Dataset!J231)</f>
        <v>TRK70997648</v>
      </c>
      <c r="K231" s="8" t="str">
        <f>TRIM(Dataset!K231)</f>
        <v>3</v>
      </c>
      <c r="L231" s="6" t="str">
        <f>Dataset!L231</f>
        <v>WINTER15</v>
      </c>
      <c r="M231" s="6" t="str">
        <f>TRIM(Dataset!M231)</f>
        <v>Facebook</v>
      </c>
      <c r="N231" s="10">
        <f>VALUE(TRIM(Dataset!N231))</f>
        <v>562.61</v>
      </c>
    </row>
    <row r="232" spans="1:14" x14ac:dyDescent="0.35">
      <c r="A232" s="6" t="str">
        <f>TRIM(Dataset!A232)</f>
        <v>ORD200230</v>
      </c>
      <c r="B232" s="4">
        <f>Dataset!B232</f>
        <v>45276</v>
      </c>
      <c r="C232" s="6" t="str">
        <f>TRIM(Dataset!C232)</f>
        <v>C94595</v>
      </c>
      <c r="D232" s="6" t="str">
        <f>TRIM(Dataset!D232)</f>
        <v>Desk</v>
      </c>
      <c r="E232" s="13">
        <f>VALUE(TRIM(Dataset!E232))</f>
        <v>4</v>
      </c>
      <c r="F232" s="10">
        <f>VALUE(TRIM(Dataset!F232))</f>
        <v>61.91</v>
      </c>
      <c r="G232" s="6" t="str">
        <f>TRIM(Dataset!G232)</f>
        <v>948 Main St</v>
      </c>
      <c r="H232" s="6" t="str">
        <f>TRIM(Dataset!H232)</f>
        <v>Gift Card</v>
      </c>
      <c r="I232" s="6" t="str">
        <f>TRIM(Dataset!I232)</f>
        <v>Delivered</v>
      </c>
      <c r="J232" s="6" t="str">
        <f>TRIM(Dataset!J232)</f>
        <v>TRK24497305</v>
      </c>
      <c r="K232" s="8" t="str">
        <f>TRIM(Dataset!K232)</f>
        <v>6</v>
      </c>
      <c r="L232" s="6" t="str">
        <f>Dataset!L232</f>
        <v>WINTER15</v>
      </c>
      <c r="M232" s="6" t="str">
        <f>TRIM(Dataset!M232)</f>
        <v>Email</v>
      </c>
      <c r="N232" s="10">
        <f>VALUE(TRIM(Dataset!N232))</f>
        <v>247.64</v>
      </c>
    </row>
    <row r="233" spans="1:14" x14ac:dyDescent="0.35">
      <c r="A233" s="6" t="str">
        <f>TRIM(Dataset!A233)</f>
        <v>ORD200231</v>
      </c>
      <c r="B233" s="4">
        <f>Dataset!B233</f>
        <v>45235</v>
      </c>
      <c r="C233" s="6" t="str">
        <f>TRIM(Dataset!C233)</f>
        <v>C30955</v>
      </c>
      <c r="D233" s="6" t="str">
        <f>TRIM(Dataset!D233)</f>
        <v>Phone</v>
      </c>
      <c r="E233" s="13">
        <f>VALUE(TRIM(Dataset!E233))</f>
        <v>4</v>
      </c>
      <c r="F233" s="10">
        <f>VALUE(TRIM(Dataset!F233))</f>
        <v>41.9</v>
      </c>
      <c r="G233" s="6" t="str">
        <f>TRIM(Dataset!G233)</f>
        <v>327 Main St</v>
      </c>
      <c r="H233" s="6" t="str">
        <f>TRIM(Dataset!H233)</f>
        <v>Gift Card</v>
      </c>
      <c r="I233" s="6" t="str">
        <f>TRIM(Dataset!I233)</f>
        <v>Pending</v>
      </c>
      <c r="J233" s="6" t="str">
        <f>TRIM(Dataset!J233)</f>
        <v>TRK46898848</v>
      </c>
      <c r="K233" s="8" t="str">
        <f>TRIM(Dataset!K233)</f>
        <v>9</v>
      </c>
      <c r="L233" s="6" t="str">
        <f>Dataset!L233</f>
        <v>FREESHIP</v>
      </c>
      <c r="M233" s="6" t="str">
        <f>TRIM(Dataset!M233)</f>
        <v>Instagram</v>
      </c>
      <c r="N233" s="10">
        <f>VALUE(TRIM(Dataset!N233))</f>
        <v>167.6</v>
      </c>
    </row>
    <row r="234" spans="1:14" x14ac:dyDescent="0.35">
      <c r="A234" s="6" t="str">
        <f>TRIM(Dataset!A234)</f>
        <v>ORD200232</v>
      </c>
      <c r="B234" s="4">
        <f>Dataset!B234</f>
        <v>45065</v>
      </c>
      <c r="C234" s="6" t="str">
        <f>TRIM(Dataset!C234)</f>
        <v>C20731</v>
      </c>
      <c r="D234" s="6" t="str">
        <f>TRIM(Dataset!D234)</f>
        <v>Printer</v>
      </c>
      <c r="E234" s="13">
        <f>VALUE(TRIM(Dataset!E234))</f>
        <v>4</v>
      </c>
      <c r="F234" s="10">
        <f>VALUE(TRIM(Dataset!F234))</f>
        <v>444.44</v>
      </c>
      <c r="G234" s="6" t="str">
        <f>TRIM(Dataset!G234)</f>
        <v>610 Main St</v>
      </c>
      <c r="H234" s="6" t="str">
        <f>TRIM(Dataset!H234)</f>
        <v>Debit Card</v>
      </c>
      <c r="I234" s="6" t="str">
        <f>TRIM(Dataset!I234)</f>
        <v>Cancelled</v>
      </c>
      <c r="J234" s="6" t="str">
        <f>TRIM(Dataset!J234)</f>
        <v>TRK75568437</v>
      </c>
      <c r="K234" s="8" t="str">
        <f>TRIM(Dataset!K234)</f>
        <v>8</v>
      </c>
      <c r="L234" s="6" t="str">
        <f>Dataset!L234</f>
        <v>WINTER15</v>
      </c>
      <c r="M234" s="6" t="str">
        <f>TRIM(Dataset!M234)</f>
        <v>Google</v>
      </c>
      <c r="N234" s="10">
        <f>VALUE(TRIM(Dataset!N234))</f>
        <v>1777.76</v>
      </c>
    </row>
    <row r="235" spans="1:14" x14ac:dyDescent="0.35">
      <c r="A235" s="6" t="str">
        <f>TRIM(Dataset!A235)</f>
        <v>ORD200233</v>
      </c>
      <c r="B235" s="4">
        <f>Dataset!B235</f>
        <v>45528</v>
      </c>
      <c r="C235" s="6" t="str">
        <f>TRIM(Dataset!C235)</f>
        <v>C30168</v>
      </c>
      <c r="D235" s="6" t="str">
        <f>TRIM(Dataset!D235)</f>
        <v>Phone</v>
      </c>
      <c r="E235" s="13">
        <f>VALUE(TRIM(Dataset!E235))</f>
        <v>3</v>
      </c>
      <c r="F235" s="10">
        <f>VALUE(TRIM(Dataset!F235))</f>
        <v>311.33</v>
      </c>
      <c r="G235" s="6" t="str">
        <f>TRIM(Dataset!G235)</f>
        <v>146 Main St</v>
      </c>
      <c r="H235" s="6" t="str">
        <f>TRIM(Dataset!H235)</f>
        <v>Cash</v>
      </c>
      <c r="I235" s="6" t="str">
        <f>TRIM(Dataset!I235)</f>
        <v>Cancelled</v>
      </c>
      <c r="J235" s="6" t="str">
        <f>TRIM(Dataset!J235)</f>
        <v>TRK73699939</v>
      </c>
      <c r="K235" s="8" t="str">
        <f>TRIM(Dataset!K235)</f>
        <v>3</v>
      </c>
      <c r="L235" s="6" t="str">
        <f>Dataset!L235</f>
        <v>WINTER15</v>
      </c>
      <c r="M235" s="6" t="str">
        <f>TRIM(Dataset!M235)</f>
        <v>Instagram</v>
      </c>
      <c r="N235" s="10">
        <f>VALUE(TRIM(Dataset!N235))</f>
        <v>933.99</v>
      </c>
    </row>
    <row r="236" spans="1:14" x14ac:dyDescent="0.35">
      <c r="A236" s="6" t="str">
        <f>TRIM(Dataset!A236)</f>
        <v>ORD200234</v>
      </c>
      <c r="B236" s="4">
        <f>Dataset!B236</f>
        <v>45622</v>
      </c>
      <c r="C236" s="6" t="str">
        <f>TRIM(Dataset!C236)</f>
        <v>C79842</v>
      </c>
      <c r="D236" s="6" t="str">
        <f>TRIM(Dataset!D236)</f>
        <v>Printer</v>
      </c>
      <c r="E236" s="13">
        <f>VALUE(TRIM(Dataset!E236))</f>
        <v>4</v>
      </c>
      <c r="F236" s="10">
        <f>VALUE(TRIM(Dataset!F236))</f>
        <v>236.41</v>
      </c>
      <c r="G236" s="6" t="str">
        <f>TRIM(Dataset!G236)</f>
        <v>337 Main St</v>
      </c>
      <c r="H236" s="6" t="str">
        <f>TRIM(Dataset!H236)</f>
        <v>Debit Card</v>
      </c>
      <c r="I236" s="6" t="str">
        <f>TRIM(Dataset!I236)</f>
        <v>Pending</v>
      </c>
      <c r="J236" s="6" t="str">
        <f>TRIM(Dataset!J236)</f>
        <v>TRK26957950</v>
      </c>
      <c r="K236" s="8" t="str">
        <f>TRIM(Dataset!K236)</f>
        <v>7</v>
      </c>
      <c r="L236" s="6" t="str">
        <f>Dataset!L236</f>
        <v>SAVE10</v>
      </c>
      <c r="M236" s="6" t="str">
        <f>TRIM(Dataset!M236)</f>
        <v>Google</v>
      </c>
      <c r="N236" s="10">
        <f>VALUE(TRIM(Dataset!N236))</f>
        <v>945.64</v>
      </c>
    </row>
    <row r="237" spans="1:14" x14ac:dyDescent="0.35">
      <c r="A237" s="6" t="str">
        <f>TRIM(Dataset!A237)</f>
        <v>ORD200235</v>
      </c>
      <c r="B237" s="4">
        <f>Dataset!B237</f>
        <v>44977</v>
      </c>
      <c r="C237" s="6" t="str">
        <f>TRIM(Dataset!C237)</f>
        <v>C32854</v>
      </c>
      <c r="D237" s="6" t="str">
        <f>TRIM(Dataset!D237)</f>
        <v>Desk</v>
      </c>
      <c r="E237" s="13">
        <f>VALUE(TRIM(Dataset!E237))</f>
        <v>1</v>
      </c>
      <c r="F237" s="10">
        <f>VALUE(TRIM(Dataset!F237))</f>
        <v>65.45</v>
      </c>
      <c r="G237" s="6" t="str">
        <f>TRIM(Dataset!G237)</f>
        <v>815 Main St</v>
      </c>
      <c r="H237" s="6" t="str">
        <f>TRIM(Dataset!H237)</f>
        <v>Cash</v>
      </c>
      <c r="I237" s="6" t="str">
        <f>TRIM(Dataset!I237)</f>
        <v>Pending</v>
      </c>
      <c r="J237" s="6" t="str">
        <f>TRIM(Dataset!J237)</f>
        <v>TRK30009218</v>
      </c>
      <c r="K237" s="8" t="str">
        <f>TRIM(Dataset!K237)</f>
        <v>2</v>
      </c>
      <c r="L237" s="6" t="str">
        <f>Dataset!L237</f>
        <v>WINTER15</v>
      </c>
      <c r="M237" s="6" t="str">
        <f>TRIM(Dataset!M237)</f>
        <v>Google</v>
      </c>
      <c r="N237" s="10">
        <f>VALUE(TRIM(Dataset!N237))</f>
        <v>65.45</v>
      </c>
    </row>
    <row r="238" spans="1:14" x14ac:dyDescent="0.35">
      <c r="A238" s="6" t="str">
        <f>TRIM(Dataset!A238)</f>
        <v>ORD200236</v>
      </c>
      <c r="B238" s="4">
        <f>Dataset!B238</f>
        <v>44927</v>
      </c>
      <c r="C238" s="6" t="str">
        <f>TRIM(Dataset!C238)</f>
        <v>C14847</v>
      </c>
      <c r="D238" s="6" t="str">
        <f>TRIM(Dataset!D238)</f>
        <v>Monitor</v>
      </c>
      <c r="E238" s="13">
        <f>VALUE(TRIM(Dataset!E238))</f>
        <v>1</v>
      </c>
      <c r="F238" s="10">
        <f>VALUE(TRIM(Dataset!F238))</f>
        <v>318.81</v>
      </c>
      <c r="G238" s="6" t="str">
        <f>TRIM(Dataset!G238)</f>
        <v>562 Main St</v>
      </c>
      <c r="H238" s="6" t="str">
        <f>TRIM(Dataset!H238)</f>
        <v>Debit Card</v>
      </c>
      <c r="I238" s="6" t="str">
        <f>TRIM(Dataset!I238)</f>
        <v>Pending</v>
      </c>
      <c r="J238" s="6" t="str">
        <f>TRIM(Dataset!J238)</f>
        <v>TRK39663243</v>
      </c>
      <c r="K238" s="8" t="str">
        <f>TRIM(Dataset!K238)</f>
        <v>3</v>
      </c>
      <c r="L238" s="6" t="str">
        <f>Dataset!L238</f>
        <v>WINTER15</v>
      </c>
      <c r="M238" s="6" t="str">
        <f>TRIM(Dataset!M238)</f>
        <v>Email</v>
      </c>
      <c r="N238" s="10">
        <f>VALUE(TRIM(Dataset!N238))</f>
        <v>318.81</v>
      </c>
    </row>
    <row r="239" spans="1:14" x14ac:dyDescent="0.35">
      <c r="A239" s="6" t="str">
        <f>TRIM(Dataset!A239)</f>
        <v>ORD200237</v>
      </c>
      <c r="B239" s="4">
        <f>Dataset!B239</f>
        <v>45365</v>
      </c>
      <c r="C239" s="6" t="str">
        <f>TRIM(Dataset!C239)</f>
        <v>C88645</v>
      </c>
      <c r="D239" s="6" t="str">
        <f>TRIM(Dataset!D239)</f>
        <v>Monitor</v>
      </c>
      <c r="E239" s="13">
        <f>VALUE(TRIM(Dataset!E239))</f>
        <v>3</v>
      </c>
      <c r="F239" s="10">
        <f>VALUE(TRIM(Dataset!F239))</f>
        <v>583.72</v>
      </c>
      <c r="G239" s="6" t="str">
        <f>TRIM(Dataset!G239)</f>
        <v>783 Main St</v>
      </c>
      <c r="H239" s="6" t="str">
        <f>TRIM(Dataset!H239)</f>
        <v>Credit Card</v>
      </c>
      <c r="I239" s="6" t="str">
        <f>TRIM(Dataset!I239)</f>
        <v>Shipped</v>
      </c>
      <c r="J239" s="6" t="str">
        <f>TRIM(Dataset!J239)</f>
        <v>TRK74097570</v>
      </c>
      <c r="K239" s="8" t="str">
        <f>TRIM(Dataset!K239)</f>
        <v>5</v>
      </c>
      <c r="L239" s="6" t="str">
        <f>Dataset!L239</f>
        <v>FREESHIP</v>
      </c>
      <c r="M239" s="6" t="str">
        <f>TRIM(Dataset!M239)</f>
        <v>Facebook</v>
      </c>
      <c r="N239" s="10">
        <f>VALUE(TRIM(Dataset!N239))</f>
        <v>1751.16</v>
      </c>
    </row>
    <row r="240" spans="1:14" x14ac:dyDescent="0.35">
      <c r="A240" s="6" t="str">
        <f>TRIM(Dataset!A240)</f>
        <v>ORD200238</v>
      </c>
      <c r="B240" s="4">
        <f>Dataset!B240</f>
        <v>45639</v>
      </c>
      <c r="C240" s="6" t="str">
        <f>TRIM(Dataset!C240)</f>
        <v>C66149</v>
      </c>
      <c r="D240" s="6" t="str">
        <f>TRIM(Dataset!D240)</f>
        <v>Desk</v>
      </c>
      <c r="E240" s="13">
        <f>VALUE(TRIM(Dataset!E240))</f>
        <v>4</v>
      </c>
      <c r="F240" s="10">
        <f>VALUE(TRIM(Dataset!F240))</f>
        <v>384.32</v>
      </c>
      <c r="G240" s="6" t="str">
        <f>TRIM(Dataset!G240)</f>
        <v>770 Main St</v>
      </c>
      <c r="H240" s="6" t="str">
        <f>TRIM(Dataset!H240)</f>
        <v>Credit Card</v>
      </c>
      <c r="I240" s="6" t="str">
        <f>TRIM(Dataset!I240)</f>
        <v>Pending</v>
      </c>
      <c r="J240" s="6" t="str">
        <f>TRIM(Dataset!J240)</f>
        <v>TRK76307307</v>
      </c>
      <c r="K240" s="8" t="str">
        <f>TRIM(Dataset!K240)</f>
        <v>6</v>
      </c>
      <c r="L240" s="6" t="str">
        <f>Dataset!L240</f>
        <v>WINTER15</v>
      </c>
      <c r="M240" s="6" t="str">
        <f>TRIM(Dataset!M240)</f>
        <v>Google</v>
      </c>
      <c r="N240" s="10">
        <f>VALUE(TRIM(Dataset!N240))</f>
        <v>1537.28</v>
      </c>
    </row>
    <row r="241" spans="1:14" x14ac:dyDescent="0.35">
      <c r="A241" s="6" t="str">
        <f>TRIM(Dataset!A241)</f>
        <v>ORD200239</v>
      </c>
      <c r="B241" s="4">
        <f>Dataset!B241</f>
        <v>45637</v>
      </c>
      <c r="C241" s="6" t="str">
        <f>TRIM(Dataset!C241)</f>
        <v>C20256</v>
      </c>
      <c r="D241" s="6" t="str">
        <f>TRIM(Dataset!D241)</f>
        <v>Tablet</v>
      </c>
      <c r="E241" s="13">
        <f>VALUE(TRIM(Dataset!E241))</f>
        <v>3</v>
      </c>
      <c r="F241" s="10">
        <f>VALUE(TRIM(Dataset!F241))</f>
        <v>538.74</v>
      </c>
      <c r="G241" s="6" t="str">
        <f>TRIM(Dataset!G241)</f>
        <v>456 Main St</v>
      </c>
      <c r="H241" s="6" t="str">
        <f>TRIM(Dataset!H241)</f>
        <v>Online</v>
      </c>
      <c r="I241" s="6" t="str">
        <f>TRIM(Dataset!I241)</f>
        <v>Shipped</v>
      </c>
      <c r="J241" s="6" t="str">
        <f>TRIM(Dataset!J241)</f>
        <v>TRK71127943</v>
      </c>
      <c r="K241" s="8" t="str">
        <f>TRIM(Dataset!K241)</f>
        <v>6</v>
      </c>
      <c r="L241" s="6" t="str">
        <f>Dataset!L241</f>
        <v>FREESHIP</v>
      </c>
      <c r="M241" s="6" t="str">
        <f>TRIM(Dataset!M241)</f>
        <v>Email</v>
      </c>
      <c r="N241" s="10">
        <f>VALUE(TRIM(Dataset!N241))</f>
        <v>1616.22</v>
      </c>
    </row>
    <row r="242" spans="1:14" x14ac:dyDescent="0.35">
      <c r="A242" s="6" t="str">
        <f>TRIM(Dataset!A242)</f>
        <v>ORD200240</v>
      </c>
      <c r="B242" s="4">
        <f>Dataset!B242</f>
        <v>45119</v>
      </c>
      <c r="C242" s="6" t="str">
        <f>TRIM(Dataset!C242)</f>
        <v>C14983</v>
      </c>
      <c r="D242" s="6" t="str">
        <f>TRIM(Dataset!D242)</f>
        <v>Tablet</v>
      </c>
      <c r="E242" s="13">
        <f>VALUE(TRIM(Dataset!E242))</f>
        <v>1</v>
      </c>
      <c r="F242" s="10">
        <f>VALUE(TRIM(Dataset!F242))</f>
        <v>17.239999999999998</v>
      </c>
      <c r="G242" s="6" t="str">
        <f>TRIM(Dataset!G242)</f>
        <v>255 Main St</v>
      </c>
      <c r="H242" s="6" t="str">
        <f>TRIM(Dataset!H242)</f>
        <v>Online</v>
      </c>
      <c r="I242" s="6" t="str">
        <f>TRIM(Dataset!I242)</f>
        <v>Pending</v>
      </c>
      <c r="J242" s="6" t="str">
        <f>TRIM(Dataset!J242)</f>
        <v>TRK93444157</v>
      </c>
      <c r="K242" s="8" t="str">
        <f>TRIM(Dataset!K242)</f>
        <v>2</v>
      </c>
      <c r="L242" s="6" t="str">
        <f>Dataset!L242</f>
        <v>FREESHIP</v>
      </c>
      <c r="M242" s="6" t="str">
        <f>TRIM(Dataset!M242)</f>
        <v>Instagram</v>
      </c>
      <c r="N242" s="10">
        <f>VALUE(TRIM(Dataset!N242))</f>
        <v>17.239999999999998</v>
      </c>
    </row>
    <row r="243" spans="1:14" x14ac:dyDescent="0.35">
      <c r="A243" s="6" t="str">
        <f>TRIM(Dataset!A243)</f>
        <v>ORD200241</v>
      </c>
      <c r="B243" s="4">
        <f>Dataset!B243</f>
        <v>45062</v>
      </c>
      <c r="C243" s="6" t="str">
        <f>TRIM(Dataset!C243)</f>
        <v>C20817</v>
      </c>
      <c r="D243" s="6" t="str">
        <f>TRIM(Dataset!D243)</f>
        <v>Chair</v>
      </c>
      <c r="E243" s="13">
        <f>VALUE(TRIM(Dataset!E243))</f>
        <v>5</v>
      </c>
      <c r="F243" s="10">
        <f>VALUE(TRIM(Dataset!F243))</f>
        <v>615.66999999999996</v>
      </c>
      <c r="G243" s="6" t="str">
        <f>TRIM(Dataset!G243)</f>
        <v>407 Main St</v>
      </c>
      <c r="H243" s="6" t="str">
        <f>TRIM(Dataset!H243)</f>
        <v>Online</v>
      </c>
      <c r="I243" s="6" t="str">
        <f>TRIM(Dataset!I243)</f>
        <v>Pending</v>
      </c>
      <c r="J243" s="6" t="str">
        <f>TRIM(Dataset!J243)</f>
        <v>TRK44164590</v>
      </c>
      <c r="K243" s="8" t="str">
        <f>TRIM(Dataset!K243)</f>
        <v>6</v>
      </c>
      <c r="L243" s="6" t="str">
        <f>Dataset!L243</f>
        <v>SAVE10</v>
      </c>
      <c r="M243" s="6" t="str">
        <f>TRIM(Dataset!M243)</f>
        <v>Email</v>
      </c>
      <c r="N243" s="10">
        <f>VALUE(TRIM(Dataset!N243))</f>
        <v>3078.35</v>
      </c>
    </row>
    <row r="244" spans="1:14" x14ac:dyDescent="0.35">
      <c r="A244" s="6" t="str">
        <f>TRIM(Dataset!A244)</f>
        <v>ORD200242</v>
      </c>
      <c r="B244" s="4">
        <f>Dataset!B244</f>
        <v>45055</v>
      </c>
      <c r="C244" s="6" t="str">
        <f>TRIM(Dataset!C244)</f>
        <v>C94921</v>
      </c>
      <c r="D244" s="6" t="str">
        <f>TRIM(Dataset!D244)</f>
        <v>Printer</v>
      </c>
      <c r="E244" s="13">
        <f>VALUE(TRIM(Dataset!E244))</f>
        <v>2</v>
      </c>
      <c r="F244" s="10">
        <f>VALUE(TRIM(Dataset!F244))</f>
        <v>219.1</v>
      </c>
      <c r="G244" s="6" t="str">
        <f>TRIM(Dataset!G244)</f>
        <v>134 Main St</v>
      </c>
      <c r="H244" s="6" t="str">
        <f>TRIM(Dataset!H244)</f>
        <v>Online</v>
      </c>
      <c r="I244" s="6" t="str">
        <f>TRIM(Dataset!I244)</f>
        <v>Pending</v>
      </c>
      <c r="J244" s="6" t="str">
        <f>TRIM(Dataset!J244)</f>
        <v>TRK97794327</v>
      </c>
      <c r="K244" s="8" t="str">
        <f>TRIM(Dataset!K244)</f>
        <v>4</v>
      </c>
      <c r="L244" s="6" t="str">
        <f>Dataset!L244</f>
        <v>SAVE10</v>
      </c>
      <c r="M244" s="6" t="str">
        <f>TRIM(Dataset!M244)</f>
        <v>Referral</v>
      </c>
      <c r="N244" s="10">
        <f>VALUE(TRIM(Dataset!N244))</f>
        <v>438.2</v>
      </c>
    </row>
    <row r="245" spans="1:14" x14ac:dyDescent="0.35">
      <c r="A245" s="6" t="str">
        <f>TRIM(Dataset!A245)</f>
        <v>ORD200243</v>
      </c>
      <c r="B245" s="4">
        <f>Dataset!B245</f>
        <v>45786</v>
      </c>
      <c r="C245" s="6" t="str">
        <f>TRIM(Dataset!C245)</f>
        <v>C54725</v>
      </c>
      <c r="D245" s="6" t="str">
        <f>TRIM(Dataset!D245)</f>
        <v>Chair</v>
      </c>
      <c r="E245" s="13">
        <f>VALUE(TRIM(Dataset!E245))</f>
        <v>2</v>
      </c>
      <c r="F245" s="10">
        <f>VALUE(TRIM(Dataset!F245))</f>
        <v>144.66</v>
      </c>
      <c r="G245" s="6" t="str">
        <f>TRIM(Dataset!G245)</f>
        <v>506 Main St</v>
      </c>
      <c r="H245" s="6" t="str">
        <f>TRIM(Dataset!H245)</f>
        <v>Online</v>
      </c>
      <c r="I245" s="6" t="str">
        <f>TRIM(Dataset!I245)</f>
        <v>Cancelled</v>
      </c>
      <c r="J245" s="6" t="str">
        <f>TRIM(Dataset!J245)</f>
        <v>TRK30601940</v>
      </c>
      <c r="K245" s="8" t="str">
        <f>TRIM(Dataset!K245)</f>
        <v>7</v>
      </c>
      <c r="L245" s="6" t="str">
        <f>Dataset!L245</f>
        <v>FREESHIP</v>
      </c>
      <c r="M245" s="6" t="str">
        <f>TRIM(Dataset!M245)</f>
        <v>Google</v>
      </c>
      <c r="N245" s="10">
        <f>VALUE(TRIM(Dataset!N245))</f>
        <v>289.32</v>
      </c>
    </row>
    <row r="246" spans="1:14" x14ac:dyDescent="0.35">
      <c r="A246" s="6" t="str">
        <f>TRIM(Dataset!A246)</f>
        <v>ORD200244</v>
      </c>
      <c r="B246" s="4">
        <f>Dataset!B246</f>
        <v>44973</v>
      </c>
      <c r="C246" s="6" t="str">
        <f>TRIM(Dataset!C246)</f>
        <v>C98096</v>
      </c>
      <c r="D246" s="6" t="str">
        <f>TRIM(Dataset!D246)</f>
        <v>Desk</v>
      </c>
      <c r="E246" s="13">
        <f>VALUE(TRIM(Dataset!E246))</f>
        <v>2</v>
      </c>
      <c r="F246" s="10">
        <f>VALUE(TRIM(Dataset!F246))</f>
        <v>317.77</v>
      </c>
      <c r="G246" s="6" t="str">
        <f>TRIM(Dataset!G246)</f>
        <v>838 Main St</v>
      </c>
      <c r="H246" s="6" t="str">
        <f>TRIM(Dataset!H246)</f>
        <v>Debit Card</v>
      </c>
      <c r="I246" s="6" t="str">
        <f>TRIM(Dataset!I246)</f>
        <v>Cancelled</v>
      </c>
      <c r="J246" s="6" t="str">
        <f>TRIM(Dataset!J246)</f>
        <v>TRK51518631</v>
      </c>
      <c r="K246" s="8" t="str">
        <f>TRIM(Dataset!K246)</f>
        <v>4</v>
      </c>
      <c r="L246" s="6" t="str">
        <f>Dataset!L246</f>
        <v>WINTER15</v>
      </c>
      <c r="M246" s="6" t="str">
        <f>TRIM(Dataset!M246)</f>
        <v>Facebook</v>
      </c>
      <c r="N246" s="10">
        <f>VALUE(TRIM(Dataset!N246))</f>
        <v>635.54</v>
      </c>
    </row>
    <row r="247" spans="1:14" x14ac:dyDescent="0.35">
      <c r="A247" s="6" t="str">
        <f>TRIM(Dataset!A247)</f>
        <v>ORD200245</v>
      </c>
      <c r="B247" s="4">
        <f>Dataset!B247</f>
        <v>45767</v>
      </c>
      <c r="C247" s="6" t="str">
        <f>TRIM(Dataset!C247)</f>
        <v>C12667</v>
      </c>
      <c r="D247" s="6" t="str">
        <f>TRIM(Dataset!D247)</f>
        <v>Laptop</v>
      </c>
      <c r="E247" s="13">
        <f>VALUE(TRIM(Dataset!E247))</f>
        <v>1</v>
      </c>
      <c r="F247" s="10">
        <f>VALUE(TRIM(Dataset!F247))</f>
        <v>223.3</v>
      </c>
      <c r="G247" s="6" t="str">
        <f>TRIM(Dataset!G247)</f>
        <v>306 Main St</v>
      </c>
      <c r="H247" s="6" t="str">
        <f>TRIM(Dataset!H247)</f>
        <v>Online</v>
      </c>
      <c r="I247" s="6" t="str">
        <f>TRIM(Dataset!I247)</f>
        <v>Returned</v>
      </c>
      <c r="J247" s="6" t="str">
        <f>TRIM(Dataset!J247)</f>
        <v>TRK25390491</v>
      </c>
      <c r="K247" s="8" t="str">
        <f>TRIM(Dataset!K247)</f>
        <v>1</v>
      </c>
      <c r="L247" s="6" t="s">
        <v>4284</v>
      </c>
      <c r="M247" s="6" t="str">
        <f>TRIM(Dataset!M247)</f>
        <v>Facebook</v>
      </c>
      <c r="N247" s="10">
        <f>VALUE(TRIM(Dataset!N247))</f>
        <v>223.3</v>
      </c>
    </row>
    <row r="248" spans="1:14" x14ac:dyDescent="0.35">
      <c r="A248" s="6" t="str">
        <f>TRIM(Dataset!A248)</f>
        <v>ORD200246</v>
      </c>
      <c r="B248" s="4">
        <f>Dataset!B248</f>
        <v>45534</v>
      </c>
      <c r="C248" s="6" t="str">
        <f>TRIM(Dataset!C248)</f>
        <v>C55354</v>
      </c>
      <c r="D248" s="6" t="str">
        <f>TRIM(Dataset!D248)</f>
        <v>Desk</v>
      </c>
      <c r="E248" s="13">
        <f>VALUE(TRIM(Dataset!E248))</f>
        <v>2</v>
      </c>
      <c r="F248" s="10">
        <f>VALUE(TRIM(Dataset!F248))</f>
        <v>342.11</v>
      </c>
      <c r="G248" s="6" t="str">
        <f>TRIM(Dataset!G248)</f>
        <v>164 Main St</v>
      </c>
      <c r="H248" s="6" t="str">
        <f>TRIM(Dataset!H248)</f>
        <v>Gift Card</v>
      </c>
      <c r="I248" s="6" t="str">
        <f>TRIM(Dataset!I248)</f>
        <v>Shipped</v>
      </c>
      <c r="J248" s="6" t="str">
        <f>TRIM(Dataset!J248)</f>
        <v>TRK15439493</v>
      </c>
      <c r="K248" s="8" t="str">
        <f>TRIM(Dataset!K248)</f>
        <v>2</v>
      </c>
      <c r="L248" s="6" t="str">
        <f>Dataset!L248</f>
        <v>WINTER15</v>
      </c>
      <c r="M248" s="6" t="str">
        <f>TRIM(Dataset!M248)</f>
        <v>Instagram</v>
      </c>
      <c r="N248" s="10">
        <f>VALUE(TRIM(Dataset!N248))</f>
        <v>684.22</v>
      </c>
    </row>
    <row r="249" spans="1:14" x14ac:dyDescent="0.35">
      <c r="A249" s="6" t="str">
        <f>TRIM(Dataset!A249)</f>
        <v>ORD200247</v>
      </c>
      <c r="B249" s="4">
        <f>Dataset!B249</f>
        <v>45127</v>
      </c>
      <c r="C249" s="6" t="str">
        <f>TRIM(Dataset!C249)</f>
        <v>C14600</v>
      </c>
      <c r="D249" s="6" t="str">
        <f>TRIM(Dataset!D249)</f>
        <v>Printer</v>
      </c>
      <c r="E249" s="13">
        <f>VALUE(TRIM(Dataset!E249))</f>
        <v>2</v>
      </c>
      <c r="F249" s="10">
        <f>VALUE(TRIM(Dataset!F249))</f>
        <v>220.9</v>
      </c>
      <c r="G249" s="6" t="str">
        <f>TRIM(Dataset!G249)</f>
        <v>785 Main St</v>
      </c>
      <c r="H249" s="6" t="str">
        <f>TRIM(Dataset!H249)</f>
        <v>Gift Card</v>
      </c>
      <c r="I249" s="6" t="str">
        <f>TRIM(Dataset!I249)</f>
        <v>Shipped</v>
      </c>
      <c r="J249" s="6" t="str">
        <f>TRIM(Dataset!J249)</f>
        <v>TRK84984764</v>
      </c>
      <c r="K249" s="8" t="str">
        <f>TRIM(Dataset!K249)</f>
        <v>4</v>
      </c>
      <c r="L249" s="6" t="s">
        <v>4284</v>
      </c>
      <c r="M249" s="6" t="str">
        <f>TRIM(Dataset!M249)</f>
        <v>Email</v>
      </c>
      <c r="N249" s="10">
        <f>VALUE(TRIM(Dataset!N249))</f>
        <v>441.8</v>
      </c>
    </row>
    <row r="250" spans="1:14" x14ac:dyDescent="0.35">
      <c r="A250" s="6" t="str">
        <f>TRIM(Dataset!A250)</f>
        <v>ORD200248</v>
      </c>
      <c r="B250" s="4">
        <f>Dataset!B250</f>
        <v>45109</v>
      </c>
      <c r="C250" s="6" t="str">
        <f>TRIM(Dataset!C250)</f>
        <v>C97187</v>
      </c>
      <c r="D250" s="6" t="str">
        <f>TRIM(Dataset!D250)</f>
        <v>Laptop</v>
      </c>
      <c r="E250" s="13">
        <f>VALUE(TRIM(Dataset!E250))</f>
        <v>1</v>
      </c>
      <c r="F250" s="10">
        <f>VALUE(TRIM(Dataset!F250))</f>
        <v>670.54</v>
      </c>
      <c r="G250" s="6" t="str">
        <f>TRIM(Dataset!G250)</f>
        <v>471 Main St</v>
      </c>
      <c r="H250" s="6" t="str">
        <f>TRIM(Dataset!H250)</f>
        <v>Cash</v>
      </c>
      <c r="I250" s="6" t="str">
        <f>TRIM(Dataset!I250)</f>
        <v>Shipped</v>
      </c>
      <c r="J250" s="6" t="str">
        <f>TRIM(Dataset!J250)</f>
        <v>TRK62283713</v>
      </c>
      <c r="K250" s="8" t="str">
        <f>TRIM(Dataset!K250)</f>
        <v>6</v>
      </c>
      <c r="L250" s="6" t="str">
        <f>Dataset!L250</f>
        <v>FREESHIP</v>
      </c>
      <c r="M250" s="6" t="str">
        <f>TRIM(Dataset!M250)</f>
        <v>Referral</v>
      </c>
      <c r="N250" s="10">
        <f>VALUE(TRIM(Dataset!N250))</f>
        <v>670.54</v>
      </c>
    </row>
    <row r="251" spans="1:14" x14ac:dyDescent="0.35">
      <c r="A251" s="6" t="str">
        <f>TRIM(Dataset!A251)</f>
        <v>ORD200249</v>
      </c>
      <c r="B251" s="4">
        <f>Dataset!B251</f>
        <v>45329</v>
      </c>
      <c r="C251" s="6" t="str">
        <f>TRIM(Dataset!C251)</f>
        <v>C39106</v>
      </c>
      <c r="D251" s="6" t="str">
        <f>TRIM(Dataset!D251)</f>
        <v>Printer</v>
      </c>
      <c r="E251" s="13">
        <f>VALUE(TRIM(Dataset!E251))</f>
        <v>1</v>
      </c>
      <c r="F251" s="10">
        <f>VALUE(TRIM(Dataset!F251))</f>
        <v>546.19000000000005</v>
      </c>
      <c r="G251" s="6" t="str">
        <f>TRIM(Dataset!G251)</f>
        <v>245 Main St</v>
      </c>
      <c r="H251" s="6" t="str">
        <f>TRIM(Dataset!H251)</f>
        <v>Cash</v>
      </c>
      <c r="I251" s="6" t="str">
        <f>TRIM(Dataset!I251)</f>
        <v>Pending</v>
      </c>
      <c r="J251" s="6" t="str">
        <f>TRIM(Dataset!J251)</f>
        <v>TRK35464433</v>
      </c>
      <c r="K251" s="8" t="str">
        <f>TRIM(Dataset!K251)</f>
        <v>5</v>
      </c>
      <c r="L251" s="6" t="str">
        <f>Dataset!L251</f>
        <v>FREESHIP</v>
      </c>
      <c r="M251" s="6" t="str">
        <f>TRIM(Dataset!M251)</f>
        <v>Referral</v>
      </c>
      <c r="N251" s="10">
        <f>VALUE(TRIM(Dataset!N251))</f>
        <v>546.19000000000005</v>
      </c>
    </row>
    <row r="252" spans="1:14" x14ac:dyDescent="0.35">
      <c r="A252" s="6" t="str">
        <f>TRIM(Dataset!A252)</f>
        <v>ORD200250</v>
      </c>
      <c r="B252" s="4">
        <f>Dataset!B252</f>
        <v>45021</v>
      </c>
      <c r="C252" s="6" t="str">
        <f>TRIM(Dataset!C252)</f>
        <v>C93379</v>
      </c>
      <c r="D252" s="6" t="str">
        <f>TRIM(Dataset!D252)</f>
        <v>Desk</v>
      </c>
      <c r="E252" s="13">
        <f>VALUE(TRIM(Dataset!E252))</f>
        <v>3</v>
      </c>
      <c r="F252" s="10">
        <f>VALUE(TRIM(Dataset!F252))</f>
        <v>42.95</v>
      </c>
      <c r="G252" s="6" t="str">
        <f>TRIM(Dataset!G252)</f>
        <v>318 Main St</v>
      </c>
      <c r="H252" s="6" t="str">
        <f>TRIM(Dataset!H252)</f>
        <v>Gift Card</v>
      </c>
      <c r="I252" s="6" t="str">
        <f>TRIM(Dataset!I252)</f>
        <v>Returned</v>
      </c>
      <c r="J252" s="6" t="str">
        <f>TRIM(Dataset!J252)</f>
        <v>TRK67954150</v>
      </c>
      <c r="K252" s="8" t="str">
        <f>TRIM(Dataset!K252)</f>
        <v>8</v>
      </c>
      <c r="L252" s="6" t="str">
        <f>Dataset!L252</f>
        <v>SAVE10</v>
      </c>
      <c r="M252" s="6" t="str">
        <f>TRIM(Dataset!M252)</f>
        <v>Email</v>
      </c>
      <c r="N252" s="10">
        <f>VALUE(TRIM(Dataset!N252))</f>
        <v>128.85</v>
      </c>
    </row>
    <row r="253" spans="1:14" x14ac:dyDescent="0.35">
      <c r="A253" s="6" t="str">
        <f>TRIM(Dataset!A253)</f>
        <v>ORD200251</v>
      </c>
      <c r="B253" s="4">
        <f>Dataset!B253</f>
        <v>45792</v>
      </c>
      <c r="C253" s="6" t="str">
        <f>TRIM(Dataset!C253)</f>
        <v>C93175</v>
      </c>
      <c r="D253" s="6" t="str">
        <f>TRIM(Dataset!D253)</f>
        <v>Monitor</v>
      </c>
      <c r="E253" s="13">
        <f>VALUE(TRIM(Dataset!E253))</f>
        <v>4</v>
      </c>
      <c r="F253" s="10">
        <f>VALUE(TRIM(Dataset!F253))</f>
        <v>14.69</v>
      </c>
      <c r="G253" s="6" t="str">
        <f>TRIM(Dataset!G253)</f>
        <v>814 Main St</v>
      </c>
      <c r="H253" s="6" t="str">
        <f>TRIM(Dataset!H253)</f>
        <v>Cash</v>
      </c>
      <c r="I253" s="6" t="str">
        <f>TRIM(Dataset!I253)</f>
        <v>Cancelled</v>
      </c>
      <c r="J253" s="6" t="str">
        <f>TRIM(Dataset!J253)</f>
        <v>TRK32995144</v>
      </c>
      <c r="K253" s="8" t="str">
        <f>TRIM(Dataset!K253)</f>
        <v>9</v>
      </c>
      <c r="L253" s="6" t="s">
        <v>4284</v>
      </c>
      <c r="M253" s="6" t="str">
        <f>TRIM(Dataset!M253)</f>
        <v>Email</v>
      </c>
      <c r="N253" s="10">
        <f>VALUE(TRIM(Dataset!N253))</f>
        <v>58.76</v>
      </c>
    </row>
    <row r="254" spans="1:14" x14ac:dyDescent="0.35">
      <c r="A254" s="6" t="str">
        <f>TRIM(Dataset!A254)</f>
        <v>ORD200252</v>
      </c>
      <c r="B254" s="4">
        <f>Dataset!B254</f>
        <v>45555</v>
      </c>
      <c r="C254" s="6" t="str">
        <f>TRIM(Dataset!C254)</f>
        <v>C19648</v>
      </c>
      <c r="D254" s="6" t="str">
        <f>TRIM(Dataset!D254)</f>
        <v>Phone</v>
      </c>
      <c r="E254" s="13">
        <f>VALUE(TRIM(Dataset!E254))</f>
        <v>4</v>
      </c>
      <c r="F254" s="10">
        <f>VALUE(TRIM(Dataset!F254))</f>
        <v>668.36</v>
      </c>
      <c r="G254" s="6" t="str">
        <f>TRIM(Dataset!G254)</f>
        <v>821 Main St</v>
      </c>
      <c r="H254" s="6" t="str">
        <f>TRIM(Dataset!H254)</f>
        <v>Gift Card</v>
      </c>
      <c r="I254" s="6" t="str">
        <f>TRIM(Dataset!I254)</f>
        <v>Cancelled</v>
      </c>
      <c r="J254" s="6" t="str">
        <f>TRIM(Dataset!J254)</f>
        <v>TRK51297879</v>
      </c>
      <c r="K254" s="8" t="str">
        <f>TRIM(Dataset!K254)</f>
        <v>5</v>
      </c>
      <c r="L254" s="6" t="str">
        <f>Dataset!L254</f>
        <v>FREESHIP</v>
      </c>
      <c r="M254" s="6" t="str">
        <f>TRIM(Dataset!M254)</f>
        <v>Facebook</v>
      </c>
      <c r="N254" s="10">
        <f>VALUE(TRIM(Dataset!N254))</f>
        <v>2673.44</v>
      </c>
    </row>
    <row r="255" spans="1:14" x14ac:dyDescent="0.35">
      <c r="A255" s="6" t="str">
        <f>TRIM(Dataset!A255)</f>
        <v>ORD200253</v>
      </c>
      <c r="B255" s="4">
        <f>Dataset!B255</f>
        <v>45374</v>
      </c>
      <c r="C255" s="6" t="str">
        <f>TRIM(Dataset!C255)</f>
        <v>C14891</v>
      </c>
      <c r="D255" s="6" t="str">
        <f>TRIM(Dataset!D255)</f>
        <v>Chair</v>
      </c>
      <c r="E255" s="13">
        <f>VALUE(TRIM(Dataset!E255))</f>
        <v>4</v>
      </c>
      <c r="F255" s="10">
        <f>VALUE(TRIM(Dataset!F255))</f>
        <v>413.74</v>
      </c>
      <c r="G255" s="6" t="str">
        <f>TRIM(Dataset!G255)</f>
        <v>743 Main St</v>
      </c>
      <c r="H255" s="6" t="str">
        <f>TRIM(Dataset!H255)</f>
        <v>Gift Card</v>
      </c>
      <c r="I255" s="6" t="str">
        <f>TRIM(Dataset!I255)</f>
        <v>Returned</v>
      </c>
      <c r="J255" s="6" t="str">
        <f>TRIM(Dataset!J255)</f>
        <v>TRK79471534</v>
      </c>
      <c r="K255" s="8" t="str">
        <f>TRIM(Dataset!K255)</f>
        <v>7</v>
      </c>
      <c r="L255" s="6" t="str">
        <f>Dataset!L255</f>
        <v>FREESHIP</v>
      </c>
      <c r="M255" s="6" t="str">
        <f>TRIM(Dataset!M255)</f>
        <v>Instagram</v>
      </c>
      <c r="N255" s="10">
        <f>VALUE(TRIM(Dataset!N255))</f>
        <v>1654.96</v>
      </c>
    </row>
    <row r="256" spans="1:14" x14ac:dyDescent="0.35">
      <c r="A256" s="6" t="str">
        <f>TRIM(Dataset!A256)</f>
        <v>ORD200254</v>
      </c>
      <c r="B256" s="4">
        <f>Dataset!B256</f>
        <v>45286</v>
      </c>
      <c r="C256" s="6" t="str">
        <f>TRIM(Dataset!C256)</f>
        <v>C10866</v>
      </c>
      <c r="D256" s="6" t="str">
        <f>TRIM(Dataset!D256)</f>
        <v>Monitor</v>
      </c>
      <c r="E256" s="13">
        <f>VALUE(TRIM(Dataset!E256))</f>
        <v>3</v>
      </c>
      <c r="F256" s="10">
        <f>VALUE(TRIM(Dataset!F256))</f>
        <v>263.19</v>
      </c>
      <c r="G256" s="6" t="str">
        <f>TRIM(Dataset!G256)</f>
        <v>770 Main St</v>
      </c>
      <c r="H256" s="6" t="str">
        <f>TRIM(Dataset!H256)</f>
        <v>Online</v>
      </c>
      <c r="I256" s="6" t="str">
        <f>TRIM(Dataset!I256)</f>
        <v>Delivered</v>
      </c>
      <c r="J256" s="6" t="str">
        <f>TRIM(Dataset!J256)</f>
        <v>TRK34809583</v>
      </c>
      <c r="K256" s="8" t="str">
        <f>TRIM(Dataset!K256)</f>
        <v>5</v>
      </c>
      <c r="L256" s="6" t="s">
        <v>4284</v>
      </c>
      <c r="M256" s="6" t="str">
        <f>TRIM(Dataset!M256)</f>
        <v>Instagram</v>
      </c>
      <c r="N256" s="10">
        <f>VALUE(TRIM(Dataset!N256))</f>
        <v>789.57</v>
      </c>
    </row>
    <row r="257" spans="1:14" x14ac:dyDescent="0.35">
      <c r="A257" s="6" t="str">
        <f>TRIM(Dataset!A257)</f>
        <v>ORD200255</v>
      </c>
      <c r="B257" s="4">
        <f>Dataset!B257</f>
        <v>45425</v>
      </c>
      <c r="C257" s="6" t="str">
        <f>TRIM(Dataset!C257)</f>
        <v>C47283</v>
      </c>
      <c r="D257" s="6" t="str">
        <f>TRIM(Dataset!D257)</f>
        <v>Monitor</v>
      </c>
      <c r="E257" s="13">
        <f>VALUE(TRIM(Dataset!E257))</f>
        <v>1</v>
      </c>
      <c r="F257" s="10">
        <f>VALUE(TRIM(Dataset!F257))</f>
        <v>263.95999999999998</v>
      </c>
      <c r="G257" s="6" t="str">
        <f>TRIM(Dataset!G257)</f>
        <v>806 Main St</v>
      </c>
      <c r="H257" s="6" t="str">
        <f>TRIM(Dataset!H257)</f>
        <v>Gift Card</v>
      </c>
      <c r="I257" s="6" t="str">
        <f>TRIM(Dataset!I257)</f>
        <v>Returned</v>
      </c>
      <c r="J257" s="6" t="str">
        <f>TRIM(Dataset!J257)</f>
        <v>TRK56235117</v>
      </c>
      <c r="K257" s="8" t="str">
        <f>TRIM(Dataset!K257)</f>
        <v>2</v>
      </c>
      <c r="L257" s="6" t="str">
        <f>Dataset!L257</f>
        <v>SAVE10</v>
      </c>
      <c r="M257" s="6" t="str">
        <f>TRIM(Dataset!M257)</f>
        <v>Google</v>
      </c>
      <c r="N257" s="10">
        <f>VALUE(TRIM(Dataset!N257))</f>
        <v>263.95999999999998</v>
      </c>
    </row>
    <row r="258" spans="1:14" x14ac:dyDescent="0.35">
      <c r="A258" s="6" t="str">
        <f>TRIM(Dataset!A258)</f>
        <v>ORD200256</v>
      </c>
      <c r="B258" s="4">
        <f>Dataset!B258</f>
        <v>45838</v>
      </c>
      <c r="C258" s="6" t="str">
        <f>TRIM(Dataset!C258)</f>
        <v>C94323</v>
      </c>
      <c r="D258" s="6" t="str">
        <f>TRIM(Dataset!D258)</f>
        <v>Chair</v>
      </c>
      <c r="E258" s="13">
        <f>VALUE(TRIM(Dataset!E258))</f>
        <v>5</v>
      </c>
      <c r="F258" s="10">
        <f>VALUE(TRIM(Dataset!F258))</f>
        <v>75.81</v>
      </c>
      <c r="G258" s="6" t="str">
        <f>TRIM(Dataset!G258)</f>
        <v>463 Main St</v>
      </c>
      <c r="H258" s="6" t="str">
        <f>TRIM(Dataset!H258)</f>
        <v>Gift Card</v>
      </c>
      <c r="I258" s="6" t="str">
        <f>TRIM(Dataset!I258)</f>
        <v>Returned</v>
      </c>
      <c r="J258" s="6" t="str">
        <f>TRIM(Dataset!J258)</f>
        <v>TRK22663277</v>
      </c>
      <c r="K258" s="8" t="str">
        <f>TRIM(Dataset!K258)</f>
        <v>10</v>
      </c>
      <c r="L258" s="6" t="str">
        <f>Dataset!L258</f>
        <v>WINTER15</v>
      </c>
      <c r="M258" s="6" t="str">
        <f>TRIM(Dataset!M258)</f>
        <v>Instagram</v>
      </c>
      <c r="N258" s="10">
        <f>VALUE(TRIM(Dataset!N258))</f>
        <v>379.05</v>
      </c>
    </row>
    <row r="259" spans="1:14" x14ac:dyDescent="0.35">
      <c r="A259" s="6" t="str">
        <f>TRIM(Dataset!A259)</f>
        <v>ORD200257</v>
      </c>
      <c r="B259" s="4">
        <f>Dataset!B259</f>
        <v>45405</v>
      </c>
      <c r="C259" s="6" t="str">
        <f>TRIM(Dataset!C259)</f>
        <v>C89732</v>
      </c>
      <c r="D259" s="6" t="str">
        <f>TRIM(Dataset!D259)</f>
        <v>Phone</v>
      </c>
      <c r="E259" s="13">
        <f>VALUE(TRIM(Dataset!E259))</f>
        <v>1</v>
      </c>
      <c r="F259" s="10">
        <f>VALUE(TRIM(Dataset!F259))</f>
        <v>406.22</v>
      </c>
      <c r="G259" s="6" t="str">
        <f>TRIM(Dataset!G259)</f>
        <v>712 Main St</v>
      </c>
      <c r="H259" s="6" t="str">
        <f>TRIM(Dataset!H259)</f>
        <v>Credit Card</v>
      </c>
      <c r="I259" s="6" t="str">
        <f>TRIM(Dataset!I259)</f>
        <v>Cancelled</v>
      </c>
      <c r="J259" s="6" t="str">
        <f>TRIM(Dataset!J259)</f>
        <v>TRK41059233</v>
      </c>
      <c r="K259" s="8" t="str">
        <f>TRIM(Dataset!K259)</f>
        <v>5</v>
      </c>
      <c r="L259" s="6" t="str">
        <f>Dataset!L259</f>
        <v>SAVE10</v>
      </c>
      <c r="M259" s="6" t="str">
        <f>TRIM(Dataset!M259)</f>
        <v>Referral</v>
      </c>
      <c r="N259" s="10">
        <f>VALUE(TRIM(Dataset!N259))</f>
        <v>406.22</v>
      </c>
    </row>
    <row r="260" spans="1:14" x14ac:dyDescent="0.35">
      <c r="A260" s="6" t="str">
        <f>TRIM(Dataset!A260)</f>
        <v>ORD200258</v>
      </c>
      <c r="B260" s="4">
        <f>Dataset!B260</f>
        <v>45348</v>
      </c>
      <c r="C260" s="6" t="str">
        <f>TRIM(Dataset!C260)</f>
        <v>C87764</v>
      </c>
      <c r="D260" s="6" t="str">
        <f>TRIM(Dataset!D260)</f>
        <v>Tablet</v>
      </c>
      <c r="E260" s="13">
        <f>VALUE(TRIM(Dataset!E260))</f>
        <v>2</v>
      </c>
      <c r="F260" s="10">
        <f>VALUE(TRIM(Dataset!F260))</f>
        <v>103.41</v>
      </c>
      <c r="G260" s="6" t="str">
        <f>TRIM(Dataset!G260)</f>
        <v>294 Main St</v>
      </c>
      <c r="H260" s="6" t="str">
        <f>TRIM(Dataset!H260)</f>
        <v>Online</v>
      </c>
      <c r="I260" s="6" t="str">
        <f>TRIM(Dataset!I260)</f>
        <v>Shipped</v>
      </c>
      <c r="J260" s="6" t="str">
        <f>TRIM(Dataset!J260)</f>
        <v>TRK94082469</v>
      </c>
      <c r="K260" s="8" t="str">
        <f>TRIM(Dataset!K260)</f>
        <v>2</v>
      </c>
      <c r="L260" s="6" t="str">
        <f>Dataset!L260</f>
        <v>FREESHIP</v>
      </c>
      <c r="M260" s="6" t="str">
        <f>TRIM(Dataset!M260)</f>
        <v>Referral</v>
      </c>
      <c r="N260" s="10">
        <f>VALUE(TRIM(Dataset!N260))</f>
        <v>206.82</v>
      </c>
    </row>
    <row r="261" spans="1:14" x14ac:dyDescent="0.35">
      <c r="A261" s="6" t="str">
        <f>TRIM(Dataset!A261)</f>
        <v>ORD200259</v>
      </c>
      <c r="B261" s="4">
        <f>Dataset!B261</f>
        <v>45088</v>
      </c>
      <c r="C261" s="6" t="str">
        <f>TRIM(Dataset!C261)</f>
        <v>C20977</v>
      </c>
      <c r="D261" s="6" t="str">
        <f>TRIM(Dataset!D261)</f>
        <v>Chair</v>
      </c>
      <c r="E261" s="13">
        <f>VALUE(TRIM(Dataset!E261))</f>
        <v>4</v>
      </c>
      <c r="F261" s="10">
        <f>VALUE(TRIM(Dataset!F261))</f>
        <v>435.12</v>
      </c>
      <c r="G261" s="6" t="str">
        <f>TRIM(Dataset!G261)</f>
        <v>636 Main St</v>
      </c>
      <c r="H261" s="6" t="str">
        <f>TRIM(Dataset!H261)</f>
        <v>Credit Card</v>
      </c>
      <c r="I261" s="6" t="str">
        <f>TRIM(Dataset!I261)</f>
        <v>Delivered</v>
      </c>
      <c r="J261" s="6" t="str">
        <f>TRIM(Dataset!J261)</f>
        <v>TRK54991561</v>
      </c>
      <c r="K261" s="8" t="str">
        <f>TRIM(Dataset!K261)</f>
        <v>9</v>
      </c>
      <c r="L261" s="6" t="str">
        <f>Dataset!L261</f>
        <v>SAVE10</v>
      </c>
      <c r="M261" s="6" t="str">
        <f>TRIM(Dataset!M261)</f>
        <v>Instagram</v>
      </c>
      <c r="N261" s="10">
        <f>VALUE(TRIM(Dataset!N261))</f>
        <v>1740.48</v>
      </c>
    </row>
    <row r="262" spans="1:14" x14ac:dyDescent="0.35">
      <c r="A262" s="6" t="str">
        <f>TRIM(Dataset!A262)</f>
        <v>ORD200260</v>
      </c>
      <c r="B262" s="4">
        <f>Dataset!B262</f>
        <v>45063</v>
      </c>
      <c r="C262" s="6" t="str">
        <f>TRIM(Dataset!C262)</f>
        <v>C12245</v>
      </c>
      <c r="D262" s="6" t="str">
        <f>TRIM(Dataset!D262)</f>
        <v>Monitor</v>
      </c>
      <c r="E262" s="13">
        <f>VALUE(TRIM(Dataset!E262))</f>
        <v>2</v>
      </c>
      <c r="F262" s="10">
        <f>VALUE(TRIM(Dataset!F262))</f>
        <v>407.79</v>
      </c>
      <c r="G262" s="6" t="str">
        <f>TRIM(Dataset!G262)</f>
        <v>153 Main St</v>
      </c>
      <c r="H262" s="6" t="str">
        <f>TRIM(Dataset!H262)</f>
        <v>Debit Card</v>
      </c>
      <c r="I262" s="6" t="str">
        <f>TRIM(Dataset!I262)</f>
        <v>Shipped</v>
      </c>
      <c r="J262" s="6" t="str">
        <f>TRIM(Dataset!J262)</f>
        <v>TRK22000463</v>
      </c>
      <c r="K262" s="8" t="str">
        <f>TRIM(Dataset!K262)</f>
        <v>3</v>
      </c>
      <c r="L262" s="6" t="s">
        <v>4284</v>
      </c>
      <c r="M262" s="6" t="str">
        <f>TRIM(Dataset!M262)</f>
        <v>Google</v>
      </c>
      <c r="N262" s="10">
        <f>VALUE(TRIM(Dataset!N262))</f>
        <v>815.58</v>
      </c>
    </row>
    <row r="263" spans="1:14" x14ac:dyDescent="0.35">
      <c r="A263" s="6" t="str">
        <f>TRIM(Dataset!A263)</f>
        <v>ORD200261</v>
      </c>
      <c r="B263" s="4">
        <f>Dataset!B263</f>
        <v>45805</v>
      </c>
      <c r="C263" s="6" t="str">
        <f>TRIM(Dataset!C263)</f>
        <v>C68976</v>
      </c>
      <c r="D263" s="6" t="str">
        <f>TRIM(Dataset!D263)</f>
        <v>Phone</v>
      </c>
      <c r="E263" s="13">
        <f>VALUE(TRIM(Dataset!E263))</f>
        <v>5</v>
      </c>
      <c r="F263" s="10">
        <f>VALUE(TRIM(Dataset!F263))</f>
        <v>173.65</v>
      </c>
      <c r="G263" s="6" t="str">
        <f>TRIM(Dataset!G263)</f>
        <v>460 Main St</v>
      </c>
      <c r="H263" s="6" t="str">
        <f>TRIM(Dataset!H263)</f>
        <v>Gift Card</v>
      </c>
      <c r="I263" s="6" t="str">
        <f>TRIM(Dataset!I263)</f>
        <v>Delivered</v>
      </c>
      <c r="J263" s="6" t="str">
        <f>TRIM(Dataset!J263)</f>
        <v>TRK25491356</v>
      </c>
      <c r="K263" s="8" t="str">
        <f>TRIM(Dataset!K263)</f>
        <v>9</v>
      </c>
      <c r="L263" s="6" t="str">
        <f>Dataset!L263</f>
        <v>SAVE10</v>
      </c>
      <c r="M263" s="6" t="str">
        <f>TRIM(Dataset!M263)</f>
        <v>Email</v>
      </c>
      <c r="N263" s="10">
        <f>VALUE(TRIM(Dataset!N263))</f>
        <v>868.25</v>
      </c>
    </row>
    <row r="264" spans="1:14" x14ac:dyDescent="0.35">
      <c r="A264" s="6" t="str">
        <f>TRIM(Dataset!A264)</f>
        <v>ORD200262</v>
      </c>
      <c r="B264" s="4">
        <f>Dataset!B264</f>
        <v>44936</v>
      </c>
      <c r="C264" s="6" t="str">
        <f>TRIM(Dataset!C264)</f>
        <v>C69476</v>
      </c>
      <c r="D264" s="6" t="str">
        <f>TRIM(Dataset!D264)</f>
        <v>Phone</v>
      </c>
      <c r="E264" s="13">
        <f>VALUE(TRIM(Dataset!E264))</f>
        <v>4</v>
      </c>
      <c r="F264" s="10">
        <f>VALUE(TRIM(Dataset!F264))</f>
        <v>249.07</v>
      </c>
      <c r="G264" s="6" t="str">
        <f>TRIM(Dataset!G264)</f>
        <v>642 Main St</v>
      </c>
      <c r="H264" s="6" t="str">
        <f>TRIM(Dataset!H264)</f>
        <v>Credit Card</v>
      </c>
      <c r="I264" s="6" t="str">
        <f>TRIM(Dataset!I264)</f>
        <v>Returned</v>
      </c>
      <c r="J264" s="6" t="str">
        <f>TRIM(Dataset!J264)</f>
        <v>TRK65869386</v>
      </c>
      <c r="K264" s="8" t="str">
        <f>TRIM(Dataset!K264)</f>
        <v>5</v>
      </c>
      <c r="L264" s="6" t="str">
        <f>Dataset!L264</f>
        <v>WINTER15</v>
      </c>
      <c r="M264" s="6" t="str">
        <f>TRIM(Dataset!M264)</f>
        <v>Referral</v>
      </c>
      <c r="N264" s="10">
        <f>VALUE(TRIM(Dataset!N264))</f>
        <v>996.28</v>
      </c>
    </row>
    <row r="265" spans="1:14" x14ac:dyDescent="0.35">
      <c r="A265" s="6" t="str">
        <f>TRIM(Dataset!A265)</f>
        <v>ORD200263</v>
      </c>
      <c r="B265" s="4">
        <f>Dataset!B265</f>
        <v>45010</v>
      </c>
      <c r="C265" s="6" t="str">
        <f>TRIM(Dataset!C265)</f>
        <v>C71040</v>
      </c>
      <c r="D265" s="6" t="str">
        <f>TRIM(Dataset!D265)</f>
        <v>Phone</v>
      </c>
      <c r="E265" s="13">
        <f>VALUE(TRIM(Dataset!E265))</f>
        <v>4</v>
      </c>
      <c r="F265" s="10">
        <f>VALUE(TRIM(Dataset!F265))</f>
        <v>434.85</v>
      </c>
      <c r="G265" s="6" t="str">
        <f>TRIM(Dataset!G265)</f>
        <v>250 Main St</v>
      </c>
      <c r="H265" s="6" t="str">
        <f>TRIM(Dataset!H265)</f>
        <v>Credit Card</v>
      </c>
      <c r="I265" s="6" t="str">
        <f>TRIM(Dataset!I265)</f>
        <v>Pending</v>
      </c>
      <c r="J265" s="6" t="str">
        <f>TRIM(Dataset!J265)</f>
        <v>TRK41397604</v>
      </c>
      <c r="K265" s="8" t="str">
        <f>TRIM(Dataset!K265)</f>
        <v>4</v>
      </c>
      <c r="L265" s="6" t="str">
        <f>Dataset!L265</f>
        <v>WINTER15</v>
      </c>
      <c r="M265" s="6" t="str">
        <f>TRIM(Dataset!M265)</f>
        <v>Google</v>
      </c>
      <c r="N265" s="10">
        <f>VALUE(TRIM(Dataset!N265))</f>
        <v>1739.4</v>
      </c>
    </row>
    <row r="266" spans="1:14" x14ac:dyDescent="0.35">
      <c r="A266" s="6" t="str">
        <f>TRIM(Dataset!A266)</f>
        <v>ORD200264</v>
      </c>
      <c r="B266" s="4">
        <f>Dataset!B266</f>
        <v>45507</v>
      </c>
      <c r="C266" s="6" t="str">
        <f>TRIM(Dataset!C266)</f>
        <v>C71035</v>
      </c>
      <c r="D266" s="6" t="str">
        <f>TRIM(Dataset!D266)</f>
        <v>Tablet</v>
      </c>
      <c r="E266" s="13">
        <f>VALUE(TRIM(Dataset!E266))</f>
        <v>1</v>
      </c>
      <c r="F266" s="10">
        <f>VALUE(TRIM(Dataset!F266))</f>
        <v>436.77</v>
      </c>
      <c r="G266" s="6" t="str">
        <f>TRIM(Dataset!G266)</f>
        <v>977 Main St</v>
      </c>
      <c r="H266" s="6" t="str">
        <f>TRIM(Dataset!H266)</f>
        <v>Cash</v>
      </c>
      <c r="I266" s="6" t="str">
        <f>TRIM(Dataset!I266)</f>
        <v>Returned</v>
      </c>
      <c r="J266" s="6" t="str">
        <f>TRIM(Dataset!J266)</f>
        <v>TRK19599578</v>
      </c>
      <c r="K266" s="8" t="str">
        <f>TRIM(Dataset!K266)</f>
        <v>5</v>
      </c>
      <c r="L266" s="6" t="str">
        <f>Dataset!L266</f>
        <v>FREESHIP</v>
      </c>
      <c r="M266" s="6" t="str">
        <f>TRIM(Dataset!M266)</f>
        <v>Google</v>
      </c>
      <c r="N266" s="10">
        <f>VALUE(TRIM(Dataset!N266))</f>
        <v>436.77</v>
      </c>
    </row>
    <row r="267" spans="1:14" x14ac:dyDescent="0.35">
      <c r="A267" s="6" t="str">
        <f>TRIM(Dataset!A267)</f>
        <v>ORD200265</v>
      </c>
      <c r="B267" s="4">
        <f>Dataset!B267</f>
        <v>45282</v>
      </c>
      <c r="C267" s="6" t="str">
        <f>TRIM(Dataset!C267)</f>
        <v>C20752</v>
      </c>
      <c r="D267" s="6" t="str">
        <f>TRIM(Dataset!D267)</f>
        <v>Printer</v>
      </c>
      <c r="E267" s="13">
        <f>VALUE(TRIM(Dataset!E267))</f>
        <v>1</v>
      </c>
      <c r="F267" s="10">
        <f>VALUE(TRIM(Dataset!F267))</f>
        <v>572.13</v>
      </c>
      <c r="G267" s="6" t="str">
        <f>TRIM(Dataset!G267)</f>
        <v>150 Main St</v>
      </c>
      <c r="H267" s="6" t="str">
        <f>TRIM(Dataset!H267)</f>
        <v>Debit Card</v>
      </c>
      <c r="I267" s="6" t="str">
        <f>TRIM(Dataset!I267)</f>
        <v>Cancelled</v>
      </c>
      <c r="J267" s="6" t="str">
        <f>TRIM(Dataset!J267)</f>
        <v>TRK22298450</v>
      </c>
      <c r="K267" s="8" t="str">
        <f>TRIM(Dataset!K267)</f>
        <v>4</v>
      </c>
      <c r="L267" s="6" t="str">
        <f>Dataset!L267</f>
        <v>SAVE10</v>
      </c>
      <c r="M267" s="6" t="str">
        <f>TRIM(Dataset!M267)</f>
        <v>Google</v>
      </c>
      <c r="N267" s="10">
        <f>VALUE(TRIM(Dataset!N267))</f>
        <v>572.13</v>
      </c>
    </row>
    <row r="268" spans="1:14" x14ac:dyDescent="0.35">
      <c r="A268" s="6" t="str">
        <f>TRIM(Dataset!A268)</f>
        <v>ORD200266</v>
      </c>
      <c r="B268" s="4">
        <f>Dataset!B268</f>
        <v>45451</v>
      </c>
      <c r="C268" s="6" t="str">
        <f>TRIM(Dataset!C268)</f>
        <v>C38840</v>
      </c>
      <c r="D268" s="6" t="str">
        <f>TRIM(Dataset!D268)</f>
        <v>Chair</v>
      </c>
      <c r="E268" s="13">
        <f>VALUE(TRIM(Dataset!E268))</f>
        <v>4</v>
      </c>
      <c r="F268" s="10">
        <f>VALUE(TRIM(Dataset!F268))</f>
        <v>583.07000000000005</v>
      </c>
      <c r="G268" s="6" t="str">
        <f>TRIM(Dataset!G268)</f>
        <v>589 Main St</v>
      </c>
      <c r="H268" s="6" t="str">
        <f>TRIM(Dataset!H268)</f>
        <v>Credit Card</v>
      </c>
      <c r="I268" s="6" t="str">
        <f>TRIM(Dataset!I268)</f>
        <v>Cancelled</v>
      </c>
      <c r="J268" s="6" t="str">
        <f>TRIM(Dataset!J268)</f>
        <v>TRK48484633</v>
      </c>
      <c r="K268" s="8" t="str">
        <f>TRIM(Dataset!K268)</f>
        <v>6</v>
      </c>
      <c r="L268" s="6" t="str">
        <f>Dataset!L268</f>
        <v>FREESHIP</v>
      </c>
      <c r="M268" s="6" t="str">
        <f>TRIM(Dataset!M268)</f>
        <v>Referral</v>
      </c>
      <c r="N268" s="10">
        <f>VALUE(TRIM(Dataset!N268))</f>
        <v>2332.2800000000002</v>
      </c>
    </row>
    <row r="269" spans="1:14" x14ac:dyDescent="0.35">
      <c r="A269" s="6" t="str">
        <f>TRIM(Dataset!A269)</f>
        <v>ORD200267</v>
      </c>
      <c r="B269" s="4">
        <f>Dataset!B269</f>
        <v>45764</v>
      </c>
      <c r="C269" s="6" t="str">
        <f>TRIM(Dataset!C269)</f>
        <v>C84480</v>
      </c>
      <c r="D269" s="6" t="str">
        <f>TRIM(Dataset!D269)</f>
        <v>Chair</v>
      </c>
      <c r="E269" s="13">
        <f>VALUE(TRIM(Dataset!E269))</f>
        <v>5</v>
      </c>
      <c r="F269" s="10">
        <f>VALUE(TRIM(Dataset!F269))</f>
        <v>468.51</v>
      </c>
      <c r="G269" s="6" t="str">
        <f>TRIM(Dataset!G269)</f>
        <v>803 Main St</v>
      </c>
      <c r="H269" s="6" t="str">
        <f>TRIM(Dataset!H269)</f>
        <v>Debit Card</v>
      </c>
      <c r="I269" s="6" t="str">
        <f>TRIM(Dataset!I269)</f>
        <v>Delivered</v>
      </c>
      <c r="J269" s="6" t="str">
        <f>TRIM(Dataset!J269)</f>
        <v>TRK62361867</v>
      </c>
      <c r="K269" s="8" t="str">
        <f>TRIM(Dataset!K269)</f>
        <v>9</v>
      </c>
      <c r="L269" s="6" t="s">
        <v>4284</v>
      </c>
      <c r="M269" s="6" t="str">
        <f>TRIM(Dataset!M269)</f>
        <v>Facebook</v>
      </c>
      <c r="N269" s="10">
        <f>VALUE(TRIM(Dataset!N269))</f>
        <v>2342.5500000000002</v>
      </c>
    </row>
    <row r="270" spans="1:14" x14ac:dyDescent="0.35">
      <c r="A270" s="6" t="str">
        <f>TRIM(Dataset!A270)</f>
        <v>ORD200268</v>
      </c>
      <c r="B270" s="4">
        <f>Dataset!B270</f>
        <v>45149</v>
      </c>
      <c r="C270" s="6" t="str">
        <f>TRIM(Dataset!C270)</f>
        <v>C37032</v>
      </c>
      <c r="D270" s="6" t="str">
        <f>TRIM(Dataset!D270)</f>
        <v>Phone</v>
      </c>
      <c r="E270" s="13">
        <f>VALUE(TRIM(Dataset!E270))</f>
        <v>2</v>
      </c>
      <c r="F270" s="10">
        <f>VALUE(TRIM(Dataset!F270))</f>
        <v>423.88</v>
      </c>
      <c r="G270" s="6" t="str">
        <f>TRIM(Dataset!G270)</f>
        <v>655 Main St</v>
      </c>
      <c r="H270" s="6" t="str">
        <f>TRIM(Dataset!H270)</f>
        <v>Debit Card</v>
      </c>
      <c r="I270" s="6" t="str">
        <f>TRIM(Dataset!I270)</f>
        <v>Delivered</v>
      </c>
      <c r="J270" s="6" t="str">
        <f>TRIM(Dataset!J270)</f>
        <v>TRK48639226</v>
      </c>
      <c r="K270" s="8" t="str">
        <f>TRIM(Dataset!K270)</f>
        <v>7</v>
      </c>
      <c r="L270" s="6" t="str">
        <f>Dataset!L270</f>
        <v>SAVE10</v>
      </c>
      <c r="M270" s="6" t="str">
        <f>TRIM(Dataset!M270)</f>
        <v>Referral</v>
      </c>
      <c r="N270" s="10">
        <f>VALUE(TRIM(Dataset!N270))</f>
        <v>847.76</v>
      </c>
    </row>
    <row r="271" spans="1:14" x14ac:dyDescent="0.35">
      <c r="A271" s="6" t="str">
        <f>TRIM(Dataset!A271)</f>
        <v>ORD200269</v>
      </c>
      <c r="B271" s="4">
        <f>Dataset!B271</f>
        <v>45255</v>
      </c>
      <c r="C271" s="6" t="str">
        <f>TRIM(Dataset!C271)</f>
        <v>C48942</v>
      </c>
      <c r="D271" s="6" t="str">
        <f>TRIM(Dataset!D271)</f>
        <v>Tablet</v>
      </c>
      <c r="E271" s="13">
        <f>VALUE(TRIM(Dataset!E271))</f>
        <v>4</v>
      </c>
      <c r="F271" s="10">
        <f>VALUE(TRIM(Dataset!F271))</f>
        <v>663.67</v>
      </c>
      <c r="G271" s="6" t="str">
        <f>TRIM(Dataset!G271)</f>
        <v>129 Main St</v>
      </c>
      <c r="H271" s="6" t="str">
        <f>TRIM(Dataset!H271)</f>
        <v>Credit Card</v>
      </c>
      <c r="I271" s="6" t="str">
        <f>TRIM(Dataset!I271)</f>
        <v>Pending</v>
      </c>
      <c r="J271" s="6" t="str">
        <f>TRIM(Dataset!J271)</f>
        <v>TRK29355120</v>
      </c>
      <c r="K271" s="8" t="str">
        <f>TRIM(Dataset!K271)</f>
        <v>7</v>
      </c>
      <c r="L271" s="6" t="str">
        <f>Dataset!L271</f>
        <v>FREESHIP</v>
      </c>
      <c r="M271" s="6" t="str">
        <f>TRIM(Dataset!M271)</f>
        <v>Google</v>
      </c>
      <c r="N271" s="10">
        <f>VALUE(TRIM(Dataset!N271))</f>
        <v>2654.68</v>
      </c>
    </row>
    <row r="272" spans="1:14" x14ac:dyDescent="0.35">
      <c r="A272" s="6" t="str">
        <f>TRIM(Dataset!A272)</f>
        <v>ORD200270</v>
      </c>
      <c r="B272" s="4">
        <f>Dataset!B272</f>
        <v>45081</v>
      </c>
      <c r="C272" s="6" t="str">
        <f>TRIM(Dataset!C272)</f>
        <v>C13540</v>
      </c>
      <c r="D272" s="6" t="str">
        <f>TRIM(Dataset!D272)</f>
        <v>Printer</v>
      </c>
      <c r="E272" s="13">
        <f>VALUE(TRIM(Dataset!E272))</f>
        <v>4</v>
      </c>
      <c r="F272" s="10">
        <f>VALUE(TRIM(Dataset!F272))</f>
        <v>309.91000000000003</v>
      </c>
      <c r="G272" s="6" t="str">
        <f>TRIM(Dataset!G272)</f>
        <v>127 Main St</v>
      </c>
      <c r="H272" s="6" t="str">
        <f>TRIM(Dataset!H272)</f>
        <v>Debit Card</v>
      </c>
      <c r="I272" s="6" t="str">
        <f>TRIM(Dataset!I272)</f>
        <v>Shipped</v>
      </c>
      <c r="J272" s="6" t="str">
        <f>TRIM(Dataset!J272)</f>
        <v>TRK81087373</v>
      </c>
      <c r="K272" s="8" t="str">
        <f>TRIM(Dataset!K272)</f>
        <v>5</v>
      </c>
      <c r="L272" s="6" t="str">
        <f>Dataset!L272</f>
        <v>WINTER15</v>
      </c>
      <c r="M272" s="6" t="str">
        <f>TRIM(Dataset!M272)</f>
        <v>Google</v>
      </c>
      <c r="N272" s="10">
        <f>VALUE(TRIM(Dataset!N272))</f>
        <v>1239.6400000000001</v>
      </c>
    </row>
    <row r="273" spans="1:14" x14ac:dyDescent="0.35">
      <c r="A273" s="6" t="str">
        <f>TRIM(Dataset!A273)</f>
        <v>ORD200271</v>
      </c>
      <c r="B273" s="4">
        <f>Dataset!B273</f>
        <v>45013</v>
      </c>
      <c r="C273" s="6" t="str">
        <f>TRIM(Dataset!C273)</f>
        <v>C59572</v>
      </c>
      <c r="D273" s="6" t="str">
        <f>TRIM(Dataset!D273)</f>
        <v>Monitor</v>
      </c>
      <c r="E273" s="13">
        <f>VALUE(TRIM(Dataset!E273))</f>
        <v>1</v>
      </c>
      <c r="F273" s="10">
        <f>VALUE(TRIM(Dataset!F273))</f>
        <v>542.07000000000005</v>
      </c>
      <c r="G273" s="6" t="str">
        <f>TRIM(Dataset!G273)</f>
        <v>791 Main St</v>
      </c>
      <c r="H273" s="6" t="str">
        <f>TRIM(Dataset!H273)</f>
        <v>Cash</v>
      </c>
      <c r="I273" s="6" t="str">
        <f>TRIM(Dataset!I273)</f>
        <v>Shipped</v>
      </c>
      <c r="J273" s="6" t="str">
        <f>TRIM(Dataset!J273)</f>
        <v>TRK16792991</v>
      </c>
      <c r="K273" s="8" t="str">
        <f>TRIM(Dataset!K273)</f>
        <v>6</v>
      </c>
      <c r="L273" s="6" t="str">
        <f>Dataset!L273</f>
        <v>WINTER15</v>
      </c>
      <c r="M273" s="6" t="str">
        <f>TRIM(Dataset!M273)</f>
        <v>Referral</v>
      </c>
      <c r="N273" s="10">
        <f>VALUE(TRIM(Dataset!N273))</f>
        <v>542.07000000000005</v>
      </c>
    </row>
    <row r="274" spans="1:14" x14ac:dyDescent="0.35">
      <c r="A274" s="6" t="str">
        <f>TRIM(Dataset!A274)</f>
        <v>ORD200272</v>
      </c>
      <c r="B274" s="4">
        <f>Dataset!B274</f>
        <v>45188</v>
      </c>
      <c r="C274" s="6" t="str">
        <f>TRIM(Dataset!C274)</f>
        <v>C29758</v>
      </c>
      <c r="D274" s="6" t="str">
        <f>TRIM(Dataset!D274)</f>
        <v>Chair</v>
      </c>
      <c r="E274" s="13">
        <f>VALUE(TRIM(Dataset!E274))</f>
        <v>2</v>
      </c>
      <c r="F274" s="10">
        <f>VALUE(TRIM(Dataset!F274))</f>
        <v>399.32</v>
      </c>
      <c r="G274" s="6" t="str">
        <f>TRIM(Dataset!G274)</f>
        <v>119 Main St</v>
      </c>
      <c r="H274" s="6" t="str">
        <f>TRIM(Dataset!H274)</f>
        <v>Online</v>
      </c>
      <c r="I274" s="6" t="str">
        <f>TRIM(Dataset!I274)</f>
        <v>Pending</v>
      </c>
      <c r="J274" s="6" t="str">
        <f>TRIM(Dataset!J274)</f>
        <v>TRK12990043</v>
      </c>
      <c r="K274" s="8" t="str">
        <f>TRIM(Dataset!K274)</f>
        <v>6</v>
      </c>
      <c r="L274" s="6" t="str">
        <f>Dataset!L274</f>
        <v>WINTER15</v>
      </c>
      <c r="M274" s="6" t="str">
        <f>TRIM(Dataset!M274)</f>
        <v>Instagram</v>
      </c>
      <c r="N274" s="10">
        <f>VALUE(TRIM(Dataset!N274))</f>
        <v>798.64</v>
      </c>
    </row>
    <row r="275" spans="1:14" x14ac:dyDescent="0.35">
      <c r="A275" s="6" t="str">
        <f>TRIM(Dataset!A275)</f>
        <v>ORD200273</v>
      </c>
      <c r="B275" s="4">
        <f>Dataset!B275</f>
        <v>45592</v>
      </c>
      <c r="C275" s="6" t="str">
        <f>TRIM(Dataset!C275)</f>
        <v>C11849</v>
      </c>
      <c r="D275" s="6" t="str">
        <f>TRIM(Dataset!D275)</f>
        <v>Tablet</v>
      </c>
      <c r="E275" s="13">
        <f>VALUE(TRIM(Dataset!E275))</f>
        <v>2</v>
      </c>
      <c r="F275" s="10">
        <f>VALUE(TRIM(Dataset!F275))</f>
        <v>238.25</v>
      </c>
      <c r="G275" s="6" t="str">
        <f>TRIM(Dataset!G275)</f>
        <v>974 Main St</v>
      </c>
      <c r="H275" s="6" t="str">
        <f>TRIM(Dataset!H275)</f>
        <v>Online</v>
      </c>
      <c r="I275" s="6" t="str">
        <f>TRIM(Dataset!I275)</f>
        <v>Cancelled</v>
      </c>
      <c r="J275" s="6" t="str">
        <f>TRIM(Dataset!J275)</f>
        <v>TRK91195261</v>
      </c>
      <c r="K275" s="8" t="str">
        <f>TRIM(Dataset!K275)</f>
        <v>7</v>
      </c>
      <c r="L275" s="6" t="str">
        <f>Dataset!L275</f>
        <v>FREESHIP</v>
      </c>
      <c r="M275" s="6" t="str">
        <f>TRIM(Dataset!M275)</f>
        <v>Email</v>
      </c>
      <c r="N275" s="10">
        <f>VALUE(TRIM(Dataset!N275))</f>
        <v>476.5</v>
      </c>
    </row>
    <row r="276" spans="1:14" x14ac:dyDescent="0.35">
      <c r="A276" s="6" t="str">
        <f>TRIM(Dataset!A276)</f>
        <v>ORD200274</v>
      </c>
      <c r="B276" s="4">
        <f>Dataset!B276</f>
        <v>44961</v>
      </c>
      <c r="C276" s="6" t="str">
        <f>TRIM(Dataset!C276)</f>
        <v>C50967</v>
      </c>
      <c r="D276" s="6" t="str">
        <f>TRIM(Dataset!D276)</f>
        <v>Phone</v>
      </c>
      <c r="E276" s="13">
        <f>VALUE(TRIM(Dataset!E276))</f>
        <v>2</v>
      </c>
      <c r="F276" s="10">
        <f>VALUE(TRIM(Dataset!F276))</f>
        <v>182.4</v>
      </c>
      <c r="G276" s="6" t="str">
        <f>TRIM(Dataset!G276)</f>
        <v>884 Main St</v>
      </c>
      <c r="H276" s="6" t="str">
        <f>TRIM(Dataset!H276)</f>
        <v>Gift Card</v>
      </c>
      <c r="I276" s="6" t="str">
        <f>TRIM(Dataset!I276)</f>
        <v>Cancelled</v>
      </c>
      <c r="J276" s="6" t="str">
        <f>TRIM(Dataset!J276)</f>
        <v>TRK65300814</v>
      </c>
      <c r="K276" s="8" t="str">
        <f>TRIM(Dataset!K276)</f>
        <v>5</v>
      </c>
      <c r="L276" s="6" t="str">
        <f>Dataset!L276</f>
        <v>SAVE10</v>
      </c>
      <c r="M276" s="6" t="str">
        <f>TRIM(Dataset!M276)</f>
        <v>Referral</v>
      </c>
      <c r="N276" s="10">
        <f>VALUE(TRIM(Dataset!N276))</f>
        <v>364.8</v>
      </c>
    </row>
    <row r="277" spans="1:14" x14ac:dyDescent="0.35">
      <c r="A277" s="6" t="str">
        <f>TRIM(Dataset!A277)</f>
        <v>ORD200275</v>
      </c>
      <c r="B277" s="4">
        <f>Dataset!B277</f>
        <v>45234</v>
      </c>
      <c r="C277" s="6" t="str">
        <f>TRIM(Dataset!C277)</f>
        <v>C80735</v>
      </c>
      <c r="D277" s="6" t="str">
        <f>TRIM(Dataset!D277)</f>
        <v>Chair</v>
      </c>
      <c r="E277" s="13">
        <f>VALUE(TRIM(Dataset!E277))</f>
        <v>2</v>
      </c>
      <c r="F277" s="10">
        <f>VALUE(TRIM(Dataset!F277))</f>
        <v>65.069999999999993</v>
      </c>
      <c r="G277" s="6" t="str">
        <f>TRIM(Dataset!G277)</f>
        <v>360 Main St</v>
      </c>
      <c r="H277" s="6" t="str">
        <f>TRIM(Dataset!H277)</f>
        <v>Credit Card</v>
      </c>
      <c r="I277" s="6" t="str">
        <f>TRIM(Dataset!I277)</f>
        <v>Cancelled</v>
      </c>
      <c r="J277" s="6" t="str">
        <f>TRIM(Dataset!J277)</f>
        <v>TRK99880231</v>
      </c>
      <c r="K277" s="8" t="str">
        <f>TRIM(Dataset!K277)</f>
        <v>4</v>
      </c>
      <c r="L277" s="6" t="str">
        <f>Dataset!L277</f>
        <v>SAVE10</v>
      </c>
      <c r="M277" s="6" t="str">
        <f>TRIM(Dataset!M277)</f>
        <v>Google</v>
      </c>
      <c r="N277" s="10">
        <f>VALUE(TRIM(Dataset!N277))</f>
        <v>130.13999999999999</v>
      </c>
    </row>
    <row r="278" spans="1:14" x14ac:dyDescent="0.35">
      <c r="A278" s="6" t="str">
        <f>TRIM(Dataset!A278)</f>
        <v>ORD200276</v>
      </c>
      <c r="B278" s="4">
        <f>Dataset!B278</f>
        <v>45745</v>
      </c>
      <c r="C278" s="6" t="str">
        <f>TRIM(Dataset!C278)</f>
        <v>C99050</v>
      </c>
      <c r="D278" s="6" t="str">
        <f>TRIM(Dataset!D278)</f>
        <v>Printer</v>
      </c>
      <c r="E278" s="13">
        <f>VALUE(TRIM(Dataset!E278))</f>
        <v>2</v>
      </c>
      <c r="F278" s="10">
        <f>VALUE(TRIM(Dataset!F278))</f>
        <v>600.57000000000005</v>
      </c>
      <c r="G278" s="6" t="str">
        <f>TRIM(Dataset!G278)</f>
        <v>654 Main St</v>
      </c>
      <c r="H278" s="6" t="str">
        <f>TRIM(Dataset!H278)</f>
        <v>Debit Card</v>
      </c>
      <c r="I278" s="6" t="str">
        <f>TRIM(Dataset!I278)</f>
        <v>Returned</v>
      </c>
      <c r="J278" s="6" t="str">
        <f>TRIM(Dataset!J278)</f>
        <v>TRK56927089</v>
      </c>
      <c r="K278" s="8" t="str">
        <f>TRIM(Dataset!K278)</f>
        <v>3</v>
      </c>
      <c r="L278" s="6" t="str">
        <f>Dataset!L278</f>
        <v>WINTER15</v>
      </c>
      <c r="M278" s="6" t="str">
        <f>TRIM(Dataset!M278)</f>
        <v>Instagram</v>
      </c>
      <c r="N278" s="10">
        <f>VALUE(TRIM(Dataset!N278))</f>
        <v>1201.1400000000001</v>
      </c>
    </row>
    <row r="279" spans="1:14" x14ac:dyDescent="0.35">
      <c r="A279" s="6" t="str">
        <f>TRIM(Dataset!A279)</f>
        <v>ORD200277</v>
      </c>
      <c r="B279" s="4">
        <f>Dataset!B279</f>
        <v>45544</v>
      </c>
      <c r="C279" s="6" t="str">
        <f>TRIM(Dataset!C279)</f>
        <v>C11210</v>
      </c>
      <c r="D279" s="6" t="str">
        <f>TRIM(Dataset!D279)</f>
        <v>Chair</v>
      </c>
      <c r="E279" s="13">
        <f>VALUE(TRIM(Dataset!E279))</f>
        <v>5</v>
      </c>
      <c r="F279" s="10">
        <f>VALUE(TRIM(Dataset!F279))</f>
        <v>90.92</v>
      </c>
      <c r="G279" s="6" t="str">
        <f>TRIM(Dataset!G279)</f>
        <v>910 Main St</v>
      </c>
      <c r="H279" s="6" t="str">
        <f>TRIM(Dataset!H279)</f>
        <v>Credit Card</v>
      </c>
      <c r="I279" s="6" t="str">
        <f>TRIM(Dataset!I279)</f>
        <v>Delivered</v>
      </c>
      <c r="J279" s="6" t="str">
        <f>TRIM(Dataset!J279)</f>
        <v>TRK44929965</v>
      </c>
      <c r="K279" s="8" t="str">
        <f>TRIM(Dataset!K279)</f>
        <v>9</v>
      </c>
      <c r="L279" s="6" t="str">
        <f>Dataset!L279</f>
        <v>SAVE10</v>
      </c>
      <c r="M279" s="6" t="str">
        <f>TRIM(Dataset!M279)</f>
        <v>Facebook</v>
      </c>
      <c r="N279" s="10">
        <f>VALUE(TRIM(Dataset!N279))</f>
        <v>454.6</v>
      </c>
    </row>
    <row r="280" spans="1:14" x14ac:dyDescent="0.35">
      <c r="A280" s="6" t="str">
        <f>TRIM(Dataset!A280)</f>
        <v>ORD200278</v>
      </c>
      <c r="B280" s="4">
        <f>Dataset!B280</f>
        <v>45614</v>
      </c>
      <c r="C280" s="6" t="str">
        <f>TRIM(Dataset!C280)</f>
        <v>C46015</v>
      </c>
      <c r="D280" s="6" t="str">
        <f>TRIM(Dataset!D280)</f>
        <v>Laptop</v>
      </c>
      <c r="E280" s="13">
        <f>VALUE(TRIM(Dataset!E280))</f>
        <v>5</v>
      </c>
      <c r="F280" s="10">
        <f>VALUE(TRIM(Dataset!F280))</f>
        <v>362.46</v>
      </c>
      <c r="G280" s="6" t="str">
        <f>TRIM(Dataset!G280)</f>
        <v>299 Main St</v>
      </c>
      <c r="H280" s="6" t="str">
        <f>TRIM(Dataset!H280)</f>
        <v>Cash</v>
      </c>
      <c r="I280" s="6" t="str">
        <f>TRIM(Dataset!I280)</f>
        <v>Delivered</v>
      </c>
      <c r="J280" s="6" t="str">
        <f>TRIM(Dataset!J280)</f>
        <v>TRK46598430</v>
      </c>
      <c r="K280" s="8" t="str">
        <f>TRIM(Dataset!K280)</f>
        <v>6</v>
      </c>
      <c r="L280" s="6" t="str">
        <f>Dataset!L280</f>
        <v>FREESHIP</v>
      </c>
      <c r="M280" s="6" t="str">
        <f>TRIM(Dataset!M280)</f>
        <v>Instagram</v>
      </c>
      <c r="N280" s="10">
        <f>VALUE(TRIM(Dataset!N280))</f>
        <v>1812.3</v>
      </c>
    </row>
    <row r="281" spans="1:14" x14ac:dyDescent="0.35">
      <c r="A281" s="6" t="str">
        <f>TRIM(Dataset!A281)</f>
        <v>ORD200279</v>
      </c>
      <c r="B281" s="4">
        <f>Dataset!B281</f>
        <v>45219</v>
      </c>
      <c r="C281" s="6" t="str">
        <f>TRIM(Dataset!C281)</f>
        <v>C69167</v>
      </c>
      <c r="D281" s="6" t="str">
        <f>TRIM(Dataset!D281)</f>
        <v>Chair</v>
      </c>
      <c r="E281" s="13">
        <f>VALUE(TRIM(Dataset!E281))</f>
        <v>3</v>
      </c>
      <c r="F281" s="10">
        <f>VALUE(TRIM(Dataset!F281))</f>
        <v>55.01</v>
      </c>
      <c r="G281" s="6" t="str">
        <f>TRIM(Dataset!G281)</f>
        <v>263 Main St</v>
      </c>
      <c r="H281" s="6" t="str">
        <f>TRIM(Dataset!H281)</f>
        <v>Online</v>
      </c>
      <c r="I281" s="6" t="str">
        <f>TRIM(Dataset!I281)</f>
        <v>Pending</v>
      </c>
      <c r="J281" s="6" t="str">
        <f>TRIM(Dataset!J281)</f>
        <v>TRK12425655</v>
      </c>
      <c r="K281" s="8" t="str">
        <f>TRIM(Dataset!K281)</f>
        <v>7</v>
      </c>
      <c r="L281" s="6" t="str">
        <f>Dataset!L281</f>
        <v>WINTER15</v>
      </c>
      <c r="M281" s="6" t="str">
        <f>TRIM(Dataset!M281)</f>
        <v>Email</v>
      </c>
      <c r="N281" s="10">
        <f>VALUE(TRIM(Dataset!N281))</f>
        <v>165.03</v>
      </c>
    </row>
    <row r="282" spans="1:14" x14ac:dyDescent="0.35">
      <c r="A282" s="6" t="str">
        <f>TRIM(Dataset!A282)</f>
        <v>ORD200280</v>
      </c>
      <c r="B282" s="4">
        <f>Dataset!B282</f>
        <v>45012</v>
      </c>
      <c r="C282" s="6" t="str">
        <f>TRIM(Dataset!C282)</f>
        <v>C55388</v>
      </c>
      <c r="D282" s="6" t="str">
        <f>TRIM(Dataset!D282)</f>
        <v>Tablet</v>
      </c>
      <c r="E282" s="13">
        <f>VALUE(TRIM(Dataset!E282))</f>
        <v>3</v>
      </c>
      <c r="F282" s="10">
        <f>VALUE(TRIM(Dataset!F282))</f>
        <v>404.62</v>
      </c>
      <c r="G282" s="6" t="str">
        <f>TRIM(Dataset!G282)</f>
        <v>740 Main St</v>
      </c>
      <c r="H282" s="6" t="str">
        <f>TRIM(Dataset!H282)</f>
        <v>Gift Card</v>
      </c>
      <c r="I282" s="6" t="str">
        <f>TRIM(Dataset!I282)</f>
        <v>Delivered</v>
      </c>
      <c r="J282" s="6" t="str">
        <f>TRIM(Dataset!J282)</f>
        <v>TRK75741001</v>
      </c>
      <c r="K282" s="8" t="str">
        <f>TRIM(Dataset!K282)</f>
        <v>6</v>
      </c>
      <c r="L282" s="6" t="str">
        <f>Dataset!L282</f>
        <v>FREESHIP</v>
      </c>
      <c r="M282" s="6" t="str">
        <f>TRIM(Dataset!M282)</f>
        <v>Instagram</v>
      </c>
      <c r="N282" s="10">
        <f>VALUE(TRIM(Dataset!N282))</f>
        <v>1213.8599999999999</v>
      </c>
    </row>
    <row r="283" spans="1:14" x14ac:dyDescent="0.35">
      <c r="A283" s="6" t="str">
        <f>TRIM(Dataset!A283)</f>
        <v>ORD200281</v>
      </c>
      <c r="B283" s="4">
        <f>Dataset!B283</f>
        <v>45134</v>
      </c>
      <c r="C283" s="6" t="str">
        <f>TRIM(Dataset!C283)</f>
        <v>C87181</v>
      </c>
      <c r="D283" s="6" t="str">
        <f>TRIM(Dataset!D283)</f>
        <v>Desk</v>
      </c>
      <c r="E283" s="13">
        <f>VALUE(TRIM(Dataset!E283))</f>
        <v>4</v>
      </c>
      <c r="F283" s="10">
        <f>VALUE(TRIM(Dataset!F283))</f>
        <v>654.79</v>
      </c>
      <c r="G283" s="6" t="str">
        <f>TRIM(Dataset!G283)</f>
        <v>195 Main St</v>
      </c>
      <c r="H283" s="6" t="str">
        <f>TRIM(Dataset!H283)</f>
        <v>Cash</v>
      </c>
      <c r="I283" s="6" t="str">
        <f>TRIM(Dataset!I283)</f>
        <v>Pending</v>
      </c>
      <c r="J283" s="6" t="str">
        <f>TRIM(Dataset!J283)</f>
        <v>TRK60093390</v>
      </c>
      <c r="K283" s="8" t="str">
        <f>TRIM(Dataset!K283)</f>
        <v>9</v>
      </c>
      <c r="L283" s="6" t="s">
        <v>4284</v>
      </c>
      <c r="M283" s="6" t="str">
        <f>TRIM(Dataset!M283)</f>
        <v>Referral</v>
      </c>
      <c r="N283" s="10">
        <f>VALUE(TRIM(Dataset!N283))</f>
        <v>2619.16</v>
      </c>
    </row>
    <row r="284" spans="1:14" x14ac:dyDescent="0.35">
      <c r="A284" s="6" t="str">
        <f>TRIM(Dataset!A284)</f>
        <v>ORD200282</v>
      </c>
      <c r="B284" s="4">
        <f>Dataset!B284</f>
        <v>45769</v>
      </c>
      <c r="C284" s="6" t="str">
        <f>TRIM(Dataset!C284)</f>
        <v>C30411</v>
      </c>
      <c r="D284" s="6" t="str">
        <f>TRIM(Dataset!D284)</f>
        <v>Printer</v>
      </c>
      <c r="E284" s="13">
        <f>VALUE(TRIM(Dataset!E284))</f>
        <v>4</v>
      </c>
      <c r="F284" s="10">
        <f>VALUE(TRIM(Dataset!F284))</f>
        <v>637.79</v>
      </c>
      <c r="G284" s="6" t="str">
        <f>TRIM(Dataset!G284)</f>
        <v>375 Main St</v>
      </c>
      <c r="H284" s="6" t="str">
        <f>TRIM(Dataset!H284)</f>
        <v>Gift Card</v>
      </c>
      <c r="I284" s="6" t="str">
        <f>TRIM(Dataset!I284)</f>
        <v>Cancelled</v>
      </c>
      <c r="J284" s="6" t="str">
        <f>TRIM(Dataset!J284)</f>
        <v>TRK71810536</v>
      </c>
      <c r="K284" s="8" t="str">
        <f>TRIM(Dataset!K284)</f>
        <v>9</v>
      </c>
      <c r="L284" s="6" t="str">
        <f>Dataset!L284</f>
        <v>FREESHIP</v>
      </c>
      <c r="M284" s="6" t="str">
        <f>TRIM(Dataset!M284)</f>
        <v>Google</v>
      </c>
      <c r="N284" s="10">
        <f>VALUE(TRIM(Dataset!N284))</f>
        <v>2551.16</v>
      </c>
    </row>
    <row r="285" spans="1:14" x14ac:dyDescent="0.35">
      <c r="A285" s="6" t="str">
        <f>TRIM(Dataset!A285)</f>
        <v>ORD200283</v>
      </c>
      <c r="B285" s="4">
        <f>Dataset!B285</f>
        <v>45716</v>
      </c>
      <c r="C285" s="6" t="str">
        <f>TRIM(Dataset!C285)</f>
        <v>C39638</v>
      </c>
      <c r="D285" s="6" t="str">
        <f>TRIM(Dataset!D285)</f>
        <v>Laptop</v>
      </c>
      <c r="E285" s="13">
        <f>VALUE(TRIM(Dataset!E285))</f>
        <v>4</v>
      </c>
      <c r="F285" s="10">
        <f>VALUE(TRIM(Dataset!F285))</f>
        <v>540.33000000000004</v>
      </c>
      <c r="G285" s="6" t="str">
        <f>TRIM(Dataset!G285)</f>
        <v>990 Main St</v>
      </c>
      <c r="H285" s="6" t="str">
        <f>TRIM(Dataset!H285)</f>
        <v>Cash</v>
      </c>
      <c r="I285" s="6" t="str">
        <f>TRIM(Dataset!I285)</f>
        <v>Shipped</v>
      </c>
      <c r="J285" s="6" t="str">
        <f>TRIM(Dataset!J285)</f>
        <v>TRK69745608</v>
      </c>
      <c r="K285" s="8" t="str">
        <f>TRIM(Dataset!K285)</f>
        <v>6</v>
      </c>
      <c r="L285" s="6" t="s">
        <v>4284</v>
      </c>
      <c r="M285" s="6" t="str">
        <f>TRIM(Dataset!M285)</f>
        <v>Google</v>
      </c>
      <c r="N285" s="10">
        <f>VALUE(TRIM(Dataset!N285))</f>
        <v>2161.3200000000002</v>
      </c>
    </row>
    <row r="286" spans="1:14" x14ac:dyDescent="0.35">
      <c r="A286" s="6" t="str">
        <f>TRIM(Dataset!A286)</f>
        <v>ORD200284</v>
      </c>
      <c r="B286" s="4">
        <f>Dataset!B286</f>
        <v>44973</v>
      </c>
      <c r="C286" s="6" t="str">
        <f>TRIM(Dataset!C286)</f>
        <v>C27203</v>
      </c>
      <c r="D286" s="6" t="str">
        <f>TRIM(Dataset!D286)</f>
        <v>Laptop</v>
      </c>
      <c r="E286" s="13">
        <f>VALUE(TRIM(Dataset!E286))</f>
        <v>5</v>
      </c>
      <c r="F286" s="10">
        <f>VALUE(TRIM(Dataset!F286))</f>
        <v>208.17</v>
      </c>
      <c r="G286" s="6" t="str">
        <f>TRIM(Dataset!G286)</f>
        <v>516 Main St</v>
      </c>
      <c r="H286" s="6" t="str">
        <f>TRIM(Dataset!H286)</f>
        <v>Credit Card</v>
      </c>
      <c r="I286" s="6" t="str">
        <f>TRIM(Dataset!I286)</f>
        <v>Returned</v>
      </c>
      <c r="J286" s="6" t="str">
        <f>TRIM(Dataset!J286)</f>
        <v>TRK22023906</v>
      </c>
      <c r="K286" s="8" t="str">
        <f>TRIM(Dataset!K286)</f>
        <v>6</v>
      </c>
      <c r="L286" s="6" t="str">
        <f>Dataset!L286</f>
        <v>SAVE10</v>
      </c>
      <c r="M286" s="6" t="str">
        <f>TRIM(Dataset!M286)</f>
        <v>Facebook</v>
      </c>
      <c r="N286" s="10">
        <f>VALUE(TRIM(Dataset!N286))</f>
        <v>1040.8499999999999</v>
      </c>
    </row>
    <row r="287" spans="1:14" x14ac:dyDescent="0.35">
      <c r="A287" s="6" t="str">
        <f>TRIM(Dataset!A287)</f>
        <v>ORD200285</v>
      </c>
      <c r="B287" s="4">
        <f>Dataset!B287</f>
        <v>45818</v>
      </c>
      <c r="C287" s="6" t="str">
        <f>TRIM(Dataset!C287)</f>
        <v>C67583</v>
      </c>
      <c r="D287" s="6" t="str">
        <f>TRIM(Dataset!D287)</f>
        <v>Phone</v>
      </c>
      <c r="E287" s="13">
        <f>VALUE(TRIM(Dataset!E287))</f>
        <v>1</v>
      </c>
      <c r="F287" s="10">
        <f>VALUE(TRIM(Dataset!F287))</f>
        <v>338.31</v>
      </c>
      <c r="G287" s="6" t="str">
        <f>TRIM(Dataset!G287)</f>
        <v>974 Main St</v>
      </c>
      <c r="H287" s="6" t="str">
        <f>TRIM(Dataset!H287)</f>
        <v>Online</v>
      </c>
      <c r="I287" s="6" t="str">
        <f>TRIM(Dataset!I287)</f>
        <v>Delivered</v>
      </c>
      <c r="J287" s="6" t="str">
        <f>TRIM(Dataset!J287)</f>
        <v>TRK93281700</v>
      </c>
      <c r="K287" s="8" t="str">
        <f>TRIM(Dataset!K287)</f>
        <v>3</v>
      </c>
      <c r="L287" s="6" t="s">
        <v>4284</v>
      </c>
      <c r="M287" s="6" t="str">
        <f>TRIM(Dataset!M287)</f>
        <v>Google</v>
      </c>
      <c r="N287" s="10">
        <f>VALUE(TRIM(Dataset!N287))</f>
        <v>338.31</v>
      </c>
    </row>
    <row r="288" spans="1:14" x14ac:dyDescent="0.35">
      <c r="A288" s="6" t="str">
        <f>TRIM(Dataset!A288)</f>
        <v>ORD200286</v>
      </c>
      <c r="B288" s="4">
        <f>Dataset!B288</f>
        <v>45754</v>
      </c>
      <c r="C288" s="6" t="str">
        <f>TRIM(Dataset!C288)</f>
        <v>C70554</v>
      </c>
      <c r="D288" s="6" t="str">
        <f>TRIM(Dataset!D288)</f>
        <v>Monitor</v>
      </c>
      <c r="E288" s="13">
        <f>VALUE(TRIM(Dataset!E288))</f>
        <v>3</v>
      </c>
      <c r="F288" s="10">
        <f>VALUE(TRIM(Dataset!F288))</f>
        <v>139.44999999999999</v>
      </c>
      <c r="G288" s="6" t="str">
        <f>TRIM(Dataset!G288)</f>
        <v>187 Main St</v>
      </c>
      <c r="H288" s="6" t="str">
        <f>TRIM(Dataset!H288)</f>
        <v>Gift Card</v>
      </c>
      <c r="I288" s="6" t="str">
        <f>TRIM(Dataset!I288)</f>
        <v>Returned</v>
      </c>
      <c r="J288" s="6" t="str">
        <f>TRIM(Dataset!J288)</f>
        <v>TRK61086952</v>
      </c>
      <c r="K288" s="8" t="str">
        <f>TRIM(Dataset!K288)</f>
        <v>8</v>
      </c>
      <c r="L288" s="6" t="str">
        <f>Dataset!L288</f>
        <v>WINTER15</v>
      </c>
      <c r="M288" s="6" t="str">
        <f>TRIM(Dataset!M288)</f>
        <v>Google</v>
      </c>
      <c r="N288" s="10">
        <f>VALUE(TRIM(Dataset!N288))</f>
        <v>418.35</v>
      </c>
    </row>
    <row r="289" spans="1:14" x14ac:dyDescent="0.35">
      <c r="A289" s="6" t="str">
        <f>TRIM(Dataset!A289)</f>
        <v>ORD200287</v>
      </c>
      <c r="B289" s="4">
        <f>Dataset!B289</f>
        <v>45254</v>
      </c>
      <c r="C289" s="6" t="str">
        <f>TRIM(Dataset!C289)</f>
        <v>C70437</v>
      </c>
      <c r="D289" s="6" t="str">
        <f>TRIM(Dataset!D289)</f>
        <v>Chair</v>
      </c>
      <c r="E289" s="13">
        <f>VALUE(TRIM(Dataset!E289))</f>
        <v>4</v>
      </c>
      <c r="F289" s="10">
        <f>VALUE(TRIM(Dataset!F289))</f>
        <v>655.17999999999995</v>
      </c>
      <c r="G289" s="6" t="str">
        <f>TRIM(Dataset!G289)</f>
        <v>630 Main St</v>
      </c>
      <c r="H289" s="6" t="str">
        <f>TRIM(Dataset!H289)</f>
        <v>Online</v>
      </c>
      <c r="I289" s="6" t="str">
        <f>TRIM(Dataset!I289)</f>
        <v>Shipped</v>
      </c>
      <c r="J289" s="6" t="str">
        <f>TRIM(Dataset!J289)</f>
        <v>TRK26628830</v>
      </c>
      <c r="K289" s="8" t="str">
        <f>TRIM(Dataset!K289)</f>
        <v>5</v>
      </c>
      <c r="L289" s="6" t="s">
        <v>4284</v>
      </c>
      <c r="M289" s="6" t="str">
        <f>TRIM(Dataset!M289)</f>
        <v>Facebook</v>
      </c>
      <c r="N289" s="10">
        <f>VALUE(TRIM(Dataset!N289))</f>
        <v>2620.7199999999998</v>
      </c>
    </row>
    <row r="290" spans="1:14" x14ac:dyDescent="0.35">
      <c r="A290" s="6" t="str">
        <f>TRIM(Dataset!A290)</f>
        <v>ORD200288</v>
      </c>
      <c r="B290" s="4">
        <f>Dataset!B290</f>
        <v>44997</v>
      </c>
      <c r="C290" s="6" t="str">
        <f>TRIM(Dataset!C290)</f>
        <v>C97643</v>
      </c>
      <c r="D290" s="6" t="str">
        <f>TRIM(Dataset!D290)</f>
        <v>Laptop</v>
      </c>
      <c r="E290" s="13">
        <f>VALUE(TRIM(Dataset!E290))</f>
        <v>4</v>
      </c>
      <c r="F290" s="10">
        <f>VALUE(TRIM(Dataset!F290))</f>
        <v>512.75</v>
      </c>
      <c r="G290" s="6" t="str">
        <f>TRIM(Dataset!G290)</f>
        <v>537 Main St</v>
      </c>
      <c r="H290" s="6" t="str">
        <f>TRIM(Dataset!H290)</f>
        <v>Debit Card</v>
      </c>
      <c r="I290" s="6" t="str">
        <f>TRIM(Dataset!I290)</f>
        <v>Returned</v>
      </c>
      <c r="J290" s="6" t="str">
        <f>TRIM(Dataset!J290)</f>
        <v>TRK60831391</v>
      </c>
      <c r="K290" s="8" t="str">
        <f>TRIM(Dataset!K290)</f>
        <v>8</v>
      </c>
      <c r="L290" s="6" t="str">
        <f>Dataset!L290</f>
        <v>WINTER15</v>
      </c>
      <c r="M290" s="6" t="str">
        <f>TRIM(Dataset!M290)</f>
        <v>Google</v>
      </c>
      <c r="N290" s="10">
        <f>VALUE(TRIM(Dataset!N290))</f>
        <v>2051</v>
      </c>
    </row>
    <row r="291" spans="1:14" x14ac:dyDescent="0.35">
      <c r="A291" s="6" t="str">
        <f>TRIM(Dataset!A291)</f>
        <v>ORD200289</v>
      </c>
      <c r="B291" s="4">
        <f>Dataset!B291</f>
        <v>45133</v>
      </c>
      <c r="C291" s="6" t="str">
        <f>TRIM(Dataset!C291)</f>
        <v>C17136</v>
      </c>
      <c r="D291" s="6" t="str">
        <f>TRIM(Dataset!D291)</f>
        <v>Chair</v>
      </c>
      <c r="E291" s="13">
        <f>VALUE(TRIM(Dataset!E291))</f>
        <v>4</v>
      </c>
      <c r="F291" s="10">
        <f>VALUE(TRIM(Dataset!F291))</f>
        <v>160.49</v>
      </c>
      <c r="G291" s="6" t="str">
        <f>TRIM(Dataset!G291)</f>
        <v>333 Main St</v>
      </c>
      <c r="H291" s="6" t="str">
        <f>TRIM(Dataset!H291)</f>
        <v>Credit Card</v>
      </c>
      <c r="I291" s="6" t="str">
        <f>TRIM(Dataset!I291)</f>
        <v>Shipped</v>
      </c>
      <c r="J291" s="6" t="str">
        <f>TRIM(Dataset!J291)</f>
        <v>TRK55362541</v>
      </c>
      <c r="K291" s="8" t="str">
        <f>TRIM(Dataset!K291)</f>
        <v>8</v>
      </c>
      <c r="L291" s="6" t="str">
        <f>Dataset!L291</f>
        <v>WINTER15</v>
      </c>
      <c r="M291" s="6" t="str">
        <f>TRIM(Dataset!M291)</f>
        <v>Referral</v>
      </c>
      <c r="N291" s="10">
        <f>VALUE(TRIM(Dataset!N291))</f>
        <v>641.96</v>
      </c>
    </row>
    <row r="292" spans="1:14" x14ac:dyDescent="0.35">
      <c r="A292" s="6" t="str">
        <f>TRIM(Dataset!A292)</f>
        <v>ORD200290</v>
      </c>
      <c r="B292" s="4">
        <f>Dataset!B292</f>
        <v>45051</v>
      </c>
      <c r="C292" s="6" t="str">
        <f>TRIM(Dataset!C292)</f>
        <v>C24901</v>
      </c>
      <c r="D292" s="6" t="str">
        <f>TRIM(Dataset!D292)</f>
        <v>Chair</v>
      </c>
      <c r="E292" s="13">
        <f>VALUE(TRIM(Dataset!E292))</f>
        <v>3</v>
      </c>
      <c r="F292" s="10">
        <f>VALUE(TRIM(Dataset!F292))</f>
        <v>99.9</v>
      </c>
      <c r="G292" s="6" t="str">
        <f>TRIM(Dataset!G292)</f>
        <v>258 Main St</v>
      </c>
      <c r="H292" s="6" t="str">
        <f>TRIM(Dataset!H292)</f>
        <v>Cash</v>
      </c>
      <c r="I292" s="6" t="str">
        <f>TRIM(Dataset!I292)</f>
        <v>Delivered</v>
      </c>
      <c r="J292" s="6" t="str">
        <f>TRIM(Dataset!J292)</f>
        <v>TRK14029489</v>
      </c>
      <c r="K292" s="8" t="str">
        <f>TRIM(Dataset!K292)</f>
        <v>8</v>
      </c>
      <c r="L292" s="6" t="str">
        <f>Dataset!L292</f>
        <v>FREESHIP</v>
      </c>
      <c r="M292" s="6" t="str">
        <f>TRIM(Dataset!M292)</f>
        <v>Facebook</v>
      </c>
      <c r="N292" s="10">
        <f>VALUE(TRIM(Dataset!N292))</f>
        <v>299.7</v>
      </c>
    </row>
    <row r="293" spans="1:14" x14ac:dyDescent="0.35">
      <c r="A293" s="6" t="str">
        <f>TRIM(Dataset!A293)</f>
        <v>ORD200291</v>
      </c>
      <c r="B293" s="4">
        <f>Dataset!B293</f>
        <v>45424</v>
      </c>
      <c r="C293" s="6" t="str">
        <f>TRIM(Dataset!C293)</f>
        <v>C61521</v>
      </c>
      <c r="D293" s="6" t="str">
        <f>TRIM(Dataset!D293)</f>
        <v>Phone</v>
      </c>
      <c r="E293" s="13">
        <f>VALUE(TRIM(Dataset!E293))</f>
        <v>2</v>
      </c>
      <c r="F293" s="10">
        <f>VALUE(TRIM(Dataset!F293))</f>
        <v>345.01</v>
      </c>
      <c r="G293" s="6" t="str">
        <f>TRIM(Dataset!G293)</f>
        <v>670 Main St</v>
      </c>
      <c r="H293" s="6" t="str">
        <f>TRIM(Dataset!H293)</f>
        <v>Credit Card</v>
      </c>
      <c r="I293" s="6" t="str">
        <f>TRIM(Dataset!I293)</f>
        <v>Delivered</v>
      </c>
      <c r="J293" s="6" t="str">
        <f>TRIM(Dataset!J293)</f>
        <v>TRK93676567</v>
      </c>
      <c r="K293" s="8" t="str">
        <f>TRIM(Dataset!K293)</f>
        <v>6</v>
      </c>
      <c r="L293" s="6" t="str">
        <f>Dataset!L293</f>
        <v>FREESHIP</v>
      </c>
      <c r="M293" s="6" t="str">
        <f>TRIM(Dataset!M293)</f>
        <v>Google</v>
      </c>
      <c r="N293" s="10">
        <f>VALUE(TRIM(Dataset!N293))</f>
        <v>690.02</v>
      </c>
    </row>
    <row r="294" spans="1:14" x14ac:dyDescent="0.35">
      <c r="A294" s="6" t="str">
        <f>TRIM(Dataset!A294)</f>
        <v>ORD200292</v>
      </c>
      <c r="B294" s="4">
        <f>Dataset!B294</f>
        <v>45672</v>
      </c>
      <c r="C294" s="6" t="str">
        <f>TRIM(Dataset!C294)</f>
        <v>C39639</v>
      </c>
      <c r="D294" s="6" t="str">
        <f>TRIM(Dataset!D294)</f>
        <v>Monitor</v>
      </c>
      <c r="E294" s="13">
        <f>VALUE(TRIM(Dataset!E294))</f>
        <v>1</v>
      </c>
      <c r="F294" s="10">
        <f>VALUE(TRIM(Dataset!F294))</f>
        <v>65.95</v>
      </c>
      <c r="G294" s="6" t="str">
        <f>TRIM(Dataset!G294)</f>
        <v>185 Main St</v>
      </c>
      <c r="H294" s="6" t="str">
        <f>TRIM(Dataset!H294)</f>
        <v>Credit Card</v>
      </c>
      <c r="I294" s="6" t="str">
        <f>TRIM(Dataset!I294)</f>
        <v>Delivered</v>
      </c>
      <c r="J294" s="6" t="str">
        <f>TRIM(Dataset!J294)</f>
        <v>TRK31042152</v>
      </c>
      <c r="K294" s="8" t="str">
        <f>TRIM(Dataset!K294)</f>
        <v>5</v>
      </c>
      <c r="L294" s="6" t="s">
        <v>4284</v>
      </c>
      <c r="M294" s="6" t="str">
        <f>TRIM(Dataset!M294)</f>
        <v>Facebook</v>
      </c>
      <c r="N294" s="10">
        <f>VALUE(TRIM(Dataset!N294))</f>
        <v>65.95</v>
      </c>
    </row>
    <row r="295" spans="1:14" x14ac:dyDescent="0.35">
      <c r="A295" s="6" t="str">
        <f>TRIM(Dataset!A295)</f>
        <v>ORD200293</v>
      </c>
      <c r="B295" s="4">
        <f>Dataset!B295</f>
        <v>44973</v>
      </c>
      <c r="C295" s="6" t="str">
        <f>TRIM(Dataset!C295)</f>
        <v>C33220</v>
      </c>
      <c r="D295" s="6" t="str">
        <f>TRIM(Dataset!D295)</f>
        <v>Tablet</v>
      </c>
      <c r="E295" s="13">
        <f>VALUE(TRIM(Dataset!E295))</f>
        <v>4</v>
      </c>
      <c r="F295" s="10">
        <f>VALUE(TRIM(Dataset!F295))</f>
        <v>463.04</v>
      </c>
      <c r="G295" s="6" t="str">
        <f>TRIM(Dataset!G295)</f>
        <v>564 Main St</v>
      </c>
      <c r="H295" s="6" t="str">
        <f>TRIM(Dataset!H295)</f>
        <v>Gift Card</v>
      </c>
      <c r="I295" s="6" t="str">
        <f>TRIM(Dataset!I295)</f>
        <v>Returned</v>
      </c>
      <c r="J295" s="6" t="str">
        <f>TRIM(Dataset!J295)</f>
        <v>TRK40450219</v>
      </c>
      <c r="K295" s="8" t="str">
        <f>TRIM(Dataset!K295)</f>
        <v>9</v>
      </c>
      <c r="L295" s="6" t="s">
        <v>4284</v>
      </c>
      <c r="M295" s="6" t="str">
        <f>TRIM(Dataset!M295)</f>
        <v>Instagram</v>
      </c>
      <c r="N295" s="10">
        <f>VALUE(TRIM(Dataset!N295))</f>
        <v>1852.16</v>
      </c>
    </row>
    <row r="296" spans="1:14" x14ac:dyDescent="0.35">
      <c r="A296" s="6" t="str">
        <f>TRIM(Dataset!A296)</f>
        <v>ORD200294</v>
      </c>
      <c r="B296" s="4">
        <f>Dataset!B296</f>
        <v>45748</v>
      </c>
      <c r="C296" s="6" t="str">
        <f>TRIM(Dataset!C296)</f>
        <v>C65414</v>
      </c>
      <c r="D296" s="6" t="str">
        <f>TRIM(Dataset!D296)</f>
        <v>Phone</v>
      </c>
      <c r="E296" s="13">
        <f>VALUE(TRIM(Dataset!E296))</f>
        <v>2</v>
      </c>
      <c r="F296" s="10">
        <f>VALUE(TRIM(Dataset!F296))</f>
        <v>297.70999999999998</v>
      </c>
      <c r="G296" s="6" t="str">
        <f>TRIM(Dataset!G296)</f>
        <v>208 Main St</v>
      </c>
      <c r="H296" s="6" t="str">
        <f>TRIM(Dataset!H296)</f>
        <v>Online</v>
      </c>
      <c r="I296" s="6" t="str">
        <f>TRIM(Dataset!I296)</f>
        <v>Shipped</v>
      </c>
      <c r="J296" s="6" t="str">
        <f>TRIM(Dataset!J296)</f>
        <v>TRK67562517</v>
      </c>
      <c r="K296" s="8" t="str">
        <f>TRIM(Dataset!K296)</f>
        <v>7</v>
      </c>
      <c r="L296" s="6" t="str">
        <f>Dataset!L296</f>
        <v>SAVE10</v>
      </c>
      <c r="M296" s="6" t="str">
        <f>TRIM(Dataset!M296)</f>
        <v>Referral</v>
      </c>
      <c r="N296" s="10">
        <f>VALUE(TRIM(Dataset!N296))</f>
        <v>595.41999999999996</v>
      </c>
    </row>
    <row r="297" spans="1:14" x14ac:dyDescent="0.35">
      <c r="A297" s="6" t="str">
        <f>TRIM(Dataset!A297)</f>
        <v>ORD200295</v>
      </c>
      <c r="B297" s="4">
        <f>Dataset!B297</f>
        <v>44951</v>
      </c>
      <c r="C297" s="6" t="str">
        <f>TRIM(Dataset!C297)</f>
        <v>C49009</v>
      </c>
      <c r="D297" s="6" t="str">
        <f>TRIM(Dataset!D297)</f>
        <v>Printer</v>
      </c>
      <c r="E297" s="13">
        <f>VALUE(TRIM(Dataset!E297))</f>
        <v>5</v>
      </c>
      <c r="F297" s="10">
        <f>VALUE(TRIM(Dataset!F297))</f>
        <v>107.48</v>
      </c>
      <c r="G297" s="6" t="str">
        <f>TRIM(Dataset!G297)</f>
        <v>278 Main St</v>
      </c>
      <c r="H297" s="6" t="str">
        <f>TRIM(Dataset!H297)</f>
        <v>Debit Card</v>
      </c>
      <c r="I297" s="6" t="str">
        <f>TRIM(Dataset!I297)</f>
        <v>Cancelled</v>
      </c>
      <c r="J297" s="6" t="str">
        <f>TRIM(Dataset!J297)</f>
        <v>TRK46285799</v>
      </c>
      <c r="K297" s="8" t="str">
        <f>TRIM(Dataset!K297)</f>
        <v>9</v>
      </c>
      <c r="L297" s="6" t="str">
        <f>Dataset!L297</f>
        <v>FREESHIP</v>
      </c>
      <c r="M297" s="6" t="str">
        <f>TRIM(Dataset!M297)</f>
        <v>Email</v>
      </c>
      <c r="N297" s="10">
        <f>VALUE(TRIM(Dataset!N297))</f>
        <v>537.4</v>
      </c>
    </row>
    <row r="298" spans="1:14" x14ac:dyDescent="0.35">
      <c r="A298" s="6" t="str">
        <f>TRIM(Dataset!A298)</f>
        <v>ORD200296</v>
      </c>
      <c r="B298" s="4">
        <f>Dataset!B298</f>
        <v>45462</v>
      </c>
      <c r="C298" s="6" t="str">
        <f>TRIM(Dataset!C298)</f>
        <v>C48453</v>
      </c>
      <c r="D298" s="6" t="str">
        <f>TRIM(Dataset!D298)</f>
        <v>Desk</v>
      </c>
      <c r="E298" s="13">
        <f>VALUE(TRIM(Dataset!E298))</f>
        <v>5</v>
      </c>
      <c r="F298" s="10">
        <f>VALUE(TRIM(Dataset!F298))</f>
        <v>638.79999999999995</v>
      </c>
      <c r="G298" s="6" t="str">
        <f>TRIM(Dataset!G298)</f>
        <v>434 Main St</v>
      </c>
      <c r="H298" s="6" t="str">
        <f>TRIM(Dataset!H298)</f>
        <v>Debit Card</v>
      </c>
      <c r="I298" s="6" t="str">
        <f>TRIM(Dataset!I298)</f>
        <v>Cancelled</v>
      </c>
      <c r="J298" s="6" t="str">
        <f>TRIM(Dataset!J298)</f>
        <v>TRK52110494</v>
      </c>
      <c r="K298" s="8" t="str">
        <f>TRIM(Dataset!K298)</f>
        <v>10</v>
      </c>
      <c r="L298" s="6" t="str">
        <f>Dataset!L298</f>
        <v>WINTER15</v>
      </c>
      <c r="M298" s="6" t="str">
        <f>TRIM(Dataset!M298)</f>
        <v>Referral</v>
      </c>
      <c r="N298" s="10">
        <f>VALUE(TRIM(Dataset!N298))</f>
        <v>3194</v>
      </c>
    </row>
    <row r="299" spans="1:14" x14ac:dyDescent="0.35">
      <c r="A299" s="6" t="str">
        <f>TRIM(Dataset!A299)</f>
        <v>ORD200297</v>
      </c>
      <c r="B299" s="4">
        <f>Dataset!B299</f>
        <v>44979</v>
      </c>
      <c r="C299" s="6" t="str">
        <f>TRIM(Dataset!C299)</f>
        <v>C68078</v>
      </c>
      <c r="D299" s="6" t="str">
        <f>TRIM(Dataset!D299)</f>
        <v>Desk</v>
      </c>
      <c r="E299" s="13">
        <f>VALUE(TRIM(Dataset!E299))</f>
        <v>2</v>
      </c>
      <c r="F299" s="10">
        <f>VALUE(TRIM(Dataset!F299))</f>
        <v>493.88</v>
      </c>
      <c r="G299" s="6" t="str">
        <f>TRIM(Dataset!G299)</f>
        <v>252 Main St</v>
      </c>
      <c r="H299" s="6" t="str">
        <f>TRIM(Dataset!H299)</f>
        <v>Credit Card</v>
      </c>
      <c r="I299" s="6" t="str">
        <f>TRIM(Dataset!I299)</f>
        <v>Returned</v>
      </c>
      <c r="J299" s="6" t="str">
        <f>TRIM(Dataset!J299)</f>
        <v>TRK64862812</v>
      </c>
      <c r="K299" s="8" t="str">
        <f>TRIM(Dataset!K299)</f>
        <v>7</v>
      </c>
      <c r="L299" s="6" t="str">
        <f>Dataset!L299</f>
        <v>SAVE10</v>
      </c>
      <c r="M299" s="6" t="str">
        <f>TRIM(Dataset!M299)</f>
        <v>Instagram</v>
      </c>
      <c r="N299" s="10">
        <f>VALUE(TRIM(Dataset!N299))</f>
        <v>987.76</v>
      </c>
    </row>
    <row r="300" spans="1:14" x14ac:dyDescent="0.35">
      <c r="A300" s="6" t="str">
        <f>TRIM(Dataset!A300)</f>
        <v>ORD200298</v>
      </c>
      <c r="B300" s="4">
        <f>Dataset!B300</f>
        <v>45279</v>
      </c>
      <c r="C300" s="6" t="str">
        <f>TRIM(Dataset!C300)</f>
        <v>C19402</v>
      </c>
      <c r="D300" s="6" t="str">
        <f>TRIM(Dataset!D300)</f>
        <v>Printer</v>
      </c>
      <c r="E300" s="13">
        <f>VALUE(TRIM(Dataset!E300))</f>
        <v>4</v>
      </c>
      <c r="F300" s="10">
        <f>VALUE(TRIM(Dataset!F300))</f>
        <v>301.17</v>
      </c>
      <c r="G300" s="6" t="str">
        <f>TRIM(Dataset!G300)</f>
        <v>267 Main St</v>
      </c>
      <c r="H300" s="6" t="str">
        <f>TRIM(Dataset!H300)</f>
        <v>Online</v>
      </c>
      <c r="I300" s="6" t="str">
        <f>TRIM(Dataset!I300)</f>
        <v>Cancelled</v>
      </c>
      <c r="J300" s="6" t="str">
        <f>TRIM(Dataset!J300)</f>
        <v>TRK97825212</v>
      </c>
      <c r="K300" s="8" t="str">
        <f>TRIM(Dataset!K300)</f>
        <v>6</v>
      </c>
      <c r="L300" s="6" t="s">
        <v>4284</v>
      </c>
      <c r="M300" s="6" t="str">
        <f>TRIM(Dataset!M300)</f>
        <v>Email</v>
      </c>
      <c r="N300" s="10">
        <f>VALUE(TRIM(Dataset!N300))</f>
        <v>1204.68</v>
      </c>
    </row>
    <row r="301" spans="1:14" x14ac:dyDescent="0.35">
      <c r="A301" s="6" t="str">
        <f>TRIM(Dataset!A301)</f>
        <v>ORD200299</v>
      </c>
      <c r="B301" s="4">
        <f>Dataset!B301</f>
        <v>45311</v>
      </c>
      <c r="C301" s="6" t="str">
        <f>TRIM(Dataset!C301)</f>
        <v>C30711</v>
      </c>
      <c r="D301" s="6" t="str">
        <f>TRIM(Dataset!D301)</f>
        <v>Monitor</v>
      </c>
      <c r="E301" s="13">
        <f>VALUE(TRIM(Dataset!E301))</f>
        <v>1</v>
      </c>
      <c r="F301" s="10">
        <f>VALUE(TRIM(Dataset!F301))</f>
        <v>278.66000000000003</v>
      </c>
      <c r="G301" s="6" t="str">
        <f>TRIM(Dataset!G301)</f>
        <v>856 Main St</v>
      </c>
      <c r="H301" s="6" t="str">
        <f>TRIM(Dataset!H301)</f>
        <v>Gift Card</v>
      </c>
      <c r="I301" s="6" t="str">
        <f>TRIM(Dataset!I301)</f>
        <v>Cancelled</v>
      </c>
      <c r="J301" s="6" t="str">
        <f>TRIM(Dataset!J301)</f>
        <v>TRK42696593</v>
      </c>
      <c r="K301" s="8" t="str">
        <f>TRIM(Dataset!K301)</f>
        <v>2</v>
      </c>
      <c r="L301" s="6" t="str">
        <f>Dataset!L301</f>
        <v>FREESHIP</v>
      </c>
      <c r="M301" s="6" t="str">
        <f>TRIM(Dataset!M301)</f>
        <v>Instagram</v>
      </c>
      <c r="N301" s="10">
        <f>VALUE(TRIM(Dataset!N301))</f>
        <v>278.66000000000003</v>
      </c>
    </row>
    <row r="302" spans="1:14" x14ac:dyDescent="0.35">
      <c r="A302" s="6" t="str">
        <f>TRIM(Dataset!A302)</f>
        <v>ORD200300</v>
      </c>
      <c r="B302" s="4">
        <f>Dataset!B302</f>
        <v>45537</v>
      </c>
      <c r="C302" s="6" t="str">
        <f>TRIM(Dataset!C302)</f>
        <v>C39000</v>
      </c>
      <c r="D302" s="6" t="str">
        <f>TRIM(Dataset!D302)</f>
        <v>Phone</v>
      </c>
      <c r="E302" s="13">
        <f>VALUE(TRIM(Dataset!E302))</f>
        <v>1</v>
      </c>
      <c r="F302" s="10">
        <f>VALUE(TRIM(Dataset!F302))</f>
        <v>287.45999999999998</v>
      </c>
      <c r="G302" s="6" t="str">
        <f>TRIM(Dataset!G302)</f>
        <v>894 Main St</v>
      </c>
      <c r="H302" s="6" t="str">
        <f>TRIM(Dataset!H302)</f>
        <v>Debit Card</v>
      </c>
      <c r="I302" s="6" t="str">
        <f>TRIM(Dataset!I302)</f>
        <v>Returned</v>
      </c>
      <c r="J302" s="6" t="str">
        <f>TRIM(Dataset!J302)</f>
        <v>TRK33753945</v>
      </c>
      <c r="K302" s="8" t="str">
        <f>TRIM(Dataset!K302)</f>
        <v>3</v>
      </c>
      <c r="L302" s="6" t="str">
        <f>Dataset!L302</f>
        <v>FREESHIP</v>
      </c>
      <c r="M302" s="6" t="str">
        <f>TRIM(Dataset!M302)</f>
        <v>Facebook</v>
      </c>
      <c r="N302" s="10">
        <f>VALUE(TRIM(Dataset!N302))</f>
        <v>287.45999999999998</v>
      </c>
    </row>
    <row r="303" spans="1:14" x14ac:dyDescent="0.35">
      <c r="A303" s="6" t="str">
        <f>TRIM(Dataset!A303)</f>
        <v>ORD200301</v>
      </c>
      <c r="B303" s="4">
        <f>Dataset!B303</f>
        <v>45057</v>
      </c>
      <c r="C303" s="6" t="str">
        <f>TRIM(Dataset!C303)</f>
        <v>C31105</v>
      </c>
      <c r="D303" s="6" t="str">
        <f>TRIM(Dataset!D303)</f>
        <v>Chair</v>
      </c>
      <c r="E303" s="13">
        <f>VALUE(TRIM(Dataset!E303))</f>
        <v>1</v>
      </c>
      <c r="F303" s="10">
        <f>VALUE(TRIM(Dataset!F303))</f>
        <v>583.99</v>
      </c>
      <c r="G303" s="6" t="str">
        <f>TRIM(Dataset!G303)</f>
        <v>726 Main St</v>
      </c>
      <c r="H303" s="6" t="str">
        <f>TRIM(Dataset!H303)</f>
        <v>Cash</v>
      </c>
      <c r="I303" s="6" t="str">
        <f>TRIM(Dataset!I303)</f>
        <v>Cancelled</v>
      </c>
      <c r="J303" s="6" t="str">
        <f>TRIM(Dataset!J303)</f>
        <v>TRK40149095</v>
      </c>
      <c r="K303" s="8" t="str">
        <f>TRIM(Dataset!K303)</f>
        <v>2</v>
      </c>
      <c r="L303" s="6" t="str">
        <f>Dataset!L303</f>
        <v>SAVE10</v>
      </c>
      <c r="M303" s="6" t="str">
        <f>TRIM(Dataset!M303)</f>
        <v>Email</v>
      </c>
      <c r="N303" s="10">
        <f>VALUE(TRIM(Dataset!N303))</f>
        <v>583.99</v>
      </c>
    </row>
    <row r="304" spans="1:14" x14ac:dyDescent="0.35">
      <c r="A304" s="6" t="str">
        <f>TRIM(Dataset!A304)</f>
        <v>ORD200302</v>
      </c>
      <c r="B304" s="4">
        <f>Dataset!B304</f>
        <v>45062</v>
      </c>
      <c r="C304" s="6" t="str">
        <f>TRIM(Dataset!C304)</f>
        <v>C29432</v>
      </c>
      <c r="D304" s="6" t="str">
        <f>TRIM(Dataset!D304)</f>
        <v>Chair</v>
      </c>
      <c r="E304" s="13">
        <f>VALUE(TRIM(Dataset!E304))</f>
        <v>3</v>
      </c>
      <c r="F304" s="10">
        <f>VALUE(TRIM(Dataset!F304))</f>
        <v>468.74</v>
      </c>
      <c r="G304" s="6" t="str">
        <f>TRIM(Dataset!G304)</f>
        <v>121 Main St</v>
      </c>
      <c r="H304" s="6" t="str">
        <f>TRIM(Dataset!H304)</f>
        <v>Cash</v>
      </c>
      <c r="I304" s="6" t="str">
        <f>TRIM(Dataset!I304)</f>
        <v>Pending</v>
      </c>
      <c r="J304" s="6" t="str">
        <f>TRIM(Dataset!J304)</f>
        <v>TRK44142517</v>
      </c>
      <c r="K304" s="8" t="str">
        <f>TRIM(Dataset!K304)</f>
        <v>4</v>
      </c>
      <c r="L304" s="6" t="str">
        <f>Dataset!L304</f>
        <v>FREESHIP</v>
      </c>
      <c r="M304" s="6" t="str">
        <f>TRIM(Dataset!M304)</f>
        <v>Instagram</v>
      </c>
      <c r="N304" s="10">
        <f>VALUE(TRIM(Dataset!N304))</f>
        <v>1406.22</v>
      </c>
    </row>
    <row r="305" spans="1:14" x14ac:dyDescent="0.35">
      <c r="A305" s="6" t="str">
        <f>TRIM(Dataset!A305)</f>
        <v>ORD200303</v>
      </c>
      <c r="B305" s="4">
        <f>Dataset!B305</f>
        <v>45633</v>
      </c>
      <c r="C305" s="6" t="str">
        <f>TRIM(Dataset!C305)</f>
        <v>C48531</v>
      </c>
      <c r="D305" s="6" t="str">
        <f>TRIM(Dataset!D305)</f>
        <v>Tablet</v>
      </c>
      <c r="E305" s="13">
        <f>VALUE(TRIM(Dataset!E305))</f>
        <v>1</v>
      </c>
      <c r="F305" s="10">
        <f>VALUE(TRIM(Dataset!F305))</f>
        <v>30.54</v>
      </c>
      <c r="G305" s="6" t="str">
        <f>TRIM(Dataset!G305)</f>
        <v>368 Main St</v>
      </c>
      <c r="H305" s="6" t="str">
        <f>TRIM(Dataset!H305)</f>
        <v>Debit Card</v>
      </c>
      <c r="I305" s="6" t="str">
        <f>TRIM(Dataset!I305)</f>
        <v>Returned</v>
      </c>
      <c r="J305" s="6" t="str">
        <f>TRIM(Dataset!J305)</f>
        <v>TRK95462192</v>
      </c>
      <c r="K305" s="8" t="str">
        <f>TRIM(Dataset!K305)</f>
        <v>1</v>
      </c>
      <c r="L305" s="6" t="s">
        <v>4284</v>
      </c>
      <c r="M305" s="6" t="str">
        <f>TRIM(Dataset!M305)</f>
        <v>Google</v>
      </c>
      <c r="N305" s="10">
        <f>VALUE(TRIM(Dataset!N305))</f>
        <v>30.54</v>
      </c>
    </row>
    <row r="306" spans="1:14" x14ac:dyDescent="0.35">
      <c r="A306" s="6" t="str">
        <f>TRIM(Dataset!A306)</f>
        <v>ORD200304</v>
      </c>
      <c r="B306" s="4">
        <f>Dataset!B306</f>
        <v>45583</v>
      </c>
      <c r="C306" s="6" t="str">
        <f>TRIM(Dataset!C306)</f>
        <v>C86762</v>
      </c>
      <c r="D306" s="6" t="str">
        <f>TRIM(Dataset!D306)</f>
        <v>Monitor</v>
      </c>
      <c r="E306" s="13">
        <f>VALUE(TRIM(Dataset!E306))</f>
        <v>5</v>
      </c>
      <c r="F306" s="10">
        <f>VALUE(TRIM(Dataset!F306))</f>
        <v>408.73</v>
      </c>
      <c r="G306" s="6" t="str">
        <f>TRIM(Dataset!G306)</f>
        <v>326 Main St</v>
      </c>
      <c r="H306" s="6" t="str">
        <f>TRIM(Dataset!H306)</f>
        <v>Gift Card</v>
      </c>
      <c r="I306" s="6" t="str">
        <f>TRIM(Dataset!I306)</f>
        <v>Delivered</v>
      </c>
      <c r="J306" s="6" t="str">
        <f>TRIM(Dataset!J306)</f>
        <v>TRK75686292</v>
      </c>
      <c r="K306" s="8" t="str">
        <f>TRIM(Dataset!K306)</f>
        <v>10</v>
      </c>
      <c r="L306" s="6" t="str">
        <f>Dataset!L306</f>
        <v>FREESHIP</v>
      </c>
      <c r="M306" s="6" t="str">
        <f>TRIM(Dataset!M306)</f>
        <v>Instagram</v>
      </c>
      <c r="N306" s="10">
        <f>VALUE(TRIM(Dataset!N306))</f>
        <v>2043.65</v>
      </c>
    </row>
    <row r="307" spans="1:14" x14ac:dyDescent="0.35">
      <c r="A307" s="6" t="str">
        <f>TRIM(Dataset!A307)</f>
        <v>ORD200305</v>
      </c>
      <c r="B307" s="4">
        <f>Dataset!B307</f>
        <v>45255</v>
      </c>
      <c r="C307" s="6" t="str">
        <f>TRIM(Dataset!C307)</f>
        <v>C63822</v>
      </c>
      <c r="D307" s="6" t="str">
        <f>TRIM(Dataset!D307)</f>
        <v>Laptop</v>
      </c>
      <c r="E307" s="13">
        <f>VALUE(TRIM(Dataset!E307))</f>
        <v>4</v>
      </c>
      <c r="F307" s="10">
        <f>VALUE(TRIM(Dataset!F307))</f>
        <v>126.89</v>
      </c>
      <c r="G307" s="6" t="str">
        <f>TRIM(Dataset!G307)</f>
        <v>235 Main St</v>
      </c>
      <c r="H307" s="6" t="str">
        <f>TRIM(Dataset!H307)</f>
        <v>Cash</v>
      </c>
      <c r="I307" s="6" t="str">
        <f>TRIM(Dataset!I307)</f>
        <v>Pending</v>
      </c>
      <c r="J307" s="6" t="str">
        <f>TRIM(Dataset!J307)</f>
        <v>TRK59353216</v>
      </c>
      <c r="K307" s="8" t="str">
        <f>TRIM(Dataset!K307)</f>
        <v>9</v>
      </c>
      <c r="L307" s="6" t="str">
        <f>Dataset!L307</f>
        <v>FREESHIP</v>
      </c>
      <c r="M307" s="6" t="str">
        <f>TRIM(Dataset!M307)</f>
        <v>Instagram</v>
      </c>
      <c r="N307" s="10">
        <f>VALUE(TRIM(Dataset!N307))</f>
        <v>507.56</v>
      </c>
    </row>
    <row r="308" spans="1:14" x14ac:dyDescent="0.35">
      <c r="A308" s="6" t="str">
        <f>TRIM(Dataset!A308)</f>
        <v>ORD200306</v>
      </c>
      <c r="B308" s="4">
        <f>Dataset!B308</f>
        <v>45450</v>
      </c>
      <c r="C308" s="6" t="str">
        <f>TRIM(Dataset!C308)</f>
        <v>C70495</v>
      </c>
      <c r="D308" s="6" t="str">
        <f>TRIM(Dataset!D308)</f>
        <v>Printer</v>
      </c>
      <c r="E308" s="13">
        <f>VALUE(TRIM(Dataset!E308))</f>
        <v>2</v>
      </c>
      <c r="F308" s="10">
        <f>VALUE(TRIM(Dataset!F308))</f>
        <v>57.07</v>
      </c>
      <c r="G308" s="6" t="str">
        <f>TRIM(Dataset!G308)</f>
        <v>238 Main St</v>
      </c>
      <c r="H308" s="6" t="str">
        <f>TRIM(Dataset!H308)</f>
        <v>Debit Card</v>
      </c>
      <c r="I308" s="6" t="str">
        <f>TRIM(Dataset!I308)</f>
        <v>Returned</v>
      </c>
      <c r="J308" s="6" t="str">
        <f>TRIM(Dataset!J308)</f>
        <v>TRK65511225</v>
      </c>
      <c r="K308" s="8" t="str">
        <f>TRIM(Dataset!K308)</f>
        <v>3</v>
      </c>
      <c r="L308" s="6" t="str">
        <f>Dataset!L308</f>
        <v>SAVE10</v>
      </c>
      <c r="M308" s="6" t="str">
        <f>TRIM(Dataset!M308)</f>
        <v>Instagram</v>
      </c>
      <c r="N308" s="10">
        <f>VALUE(TRIM(Dataset!N308))</f>
        <v>114.14</v>
      </c>
    </row>
    <row r="309" spans="1:14" x14ac:dyDescent="0.35">
      <c r="A309" s="6" t="str">
        <f>TRIM(Dataset!A309)</f>
        <v>ORD200307</v>
      </c>
      <c r="B309" s="4">
        <f>Dataset!B309</f>
        <v>45108</v>
      </c>
      <c r="C309" s="6" t="str">
        <f>TRIM(Dataset!C309)</f>
        <v>C92407</v>
      </c>
      <c r="D309" s="6" t="str">
        <f>TRIM(Dataset!D309)</f>
        <v>Laptop</v>
      </c>
      <c r="E309" s="13">
        <f>VALUE(TRIM(Dataset!E309))</f>
        <v>3</v>
      </c>
      <c r="F309" s="10">
        <f>VALUE(TRIM(Dataset!F309))</f>
        <v>557.41</v>
      </c>
      <c r="G309" s="6" t="str">
        <f>TRIM(Dataset!G309)</f>
        <v>135 Main St</v>
      </c>
      <c r="H309" s="6" t="str">
        <f>TRIM(Dataset!H309)</f>
        <v>Online</v>
      </c>
      <c r="I309" s="6" t="str">
        <f>TRIM(Dataset!I309)</f>
        <v>Delivered</v>
      </c>
      <c r="J309" s="6" t="str">
        <f>TRIM(Dataset!J309)</f>
        <v>TRK11755610</v>
      </c>
      <c r="K309" s="8" t="str">
        <f>TRIM(Dataset!K309)</f>
        <v>4</v>
      </c>
      <c r="L309" s="6" t="s">
        <v>4284</v>
      </c>
      <c r="M309" s="6" t="str">
        <f>TRIM(Dataset!M309)</f>
        <v>Email</v>
      </c>
      <c r="N309" s="10">
        <f>VALUE(TRIM(Dataset!N309))</f>
        <v>1672.23</v>
      </c>
    </row>
    <row r="310" spans="1:14" x14ac:dyDescent="0.35">
      <c r="A310" s="6" t="str">
        <f>TRIM(Dataset!A310)</f>
        <v>ORD200308</v>
      </c>
      <c r="B310" s="4">
        <f>Dataset!B310</f>
        <v>45271</v>
      </c>
      <c r="C310" s="6" t="str">
        <f>TRIM(Dataset!C310)</f>
        <v>C75888</v>
      </c>
      <c r="D310" s="6" t="str">
        <f>TRIM(Dataset!D310)</f>
        <v>Printer</v>
      </c>
      <c r="E310" s="13">
        <f>VALUE(TRIM(Dataset!E310))</f>
        <v>3</v>
      </c>
      <c r="F310" s="10">
        <f>VALUE(TRIM(Dataset!F310))</f>
        <v>448.9</v>
      </c>
      <c r="G310" s="6" t="str">
        <f>TRIM(Dataset!G310)</f>
        <v>790 Main St</v>
      </c>
      <c r="H310" s="6" t="str">
        <f>TRIM(Dataset!H310)</f>
        <v>Debit Card</v>
      </c>
      <c r="I310" s="6" t="str">
        <f>TRIM(Dataset!I310)</f>
        <v>Returned</v>
      </c>
      <c r="J310" s="6" t="str">
        <f>TRIM(Dataset!J310)</f>
        <v>TRK98467398</v>
      </c>
      <c r="K310" s="8" t="str">
        <f>TRIM(Dataset!K310)</f>
        <v>7</v>
      </c>
      <c r="L310" s="6" t="str">
        <f>Dataset!L310</f>
        <v>SAVE10</v>
      </c>
      <c r="M310" s="6" t="str">
        <f>TRIM(Dataset!M310)</f>
        <v>Instagram</v>
      </c>
      <c r="N310" s="10">
        <f>VALUE(TRIM(Dataset!N310))</f>
        <v>1346.7</v>
      </c>
    </row>
    <row r="311" spans="1:14" x14ac:dyDescent="0.35">
      <c r="A311" s="6" t="str">
        <f>TRIM(Dataset!A311)</f>
        <v>ORD200309</v>
      </c>
      <c r="B311" s="4">
        <f>Dataset!B311</f>
        <v>45202</v>
      </c>
      <c r="C311" s="6" t="str">
        <f>TRIM(Dataset!C311)</f>
        <v>C63153</v>
      </c>
      <c r="D311" s="6" t="str">
        <f>TRIM(Dataset!D311)</f>
        <v>Chair</v>
      </c>
      <c r="E311" s="13">
        <f>VALUE(TRIM(Dataset!E311))</f>
        <v>4</v>
      </c>
      <c r="F311" s="10">
        <f>VALUE(TRIM(Dataset!F311))</f>
        <v>549.76</v>
      </c>
      <c r="G311" s="6" t="str">
        <f>TRIM(Dataset!G311)</f>
        <v>625 Main St</v>
      </c>
      <c r="H311" s="6" t="str">
        <f>TRIM(Dataset!H311)</f>
        <v>Debit Card</v>
      </c>
      <c r="I311" s="6" t="str">
        <f>TRIM(Dataset!I311)</f>
        <v>Delivered</v>
      </c>
      <c r="J311" s="6" t="str">
        <f>TRIM(Dataset!J311)</f>
        <v>TRK38033305</v>
      </c>
      <c r="K311" s="8" t="str">
        <f>TRIM(Dataset!K311)</f>
        <v>4</v>
      </c>
      <c r="L311" s="6" t="str">
        <f>Dataset!L311</f>
        <v>FREESHIP</v>
      </c>
      <c r="M311" s="6" t="str">
        <f>TRIM(Dataset!M311)</f>
        <v>Facebook</v>
      </c>
      <c r="N311" s="10">
        <f>VALUE(TRIM(Dataset!N311))</f>
        <v>2199.04</v>
      </c>
    </row>
    <row r="312" spans="1:14" x14ac:dyDescent="0.35">
      <c r="A312" s="6" t="str">
        <f>TRIM(Dataset!A312)</f>
        <v>ORD200310</v>
      </c>
      <c r="B312" s="4">
        <f>Dataset!B312</f>
        <v>45346</v>
      </c>
      <c r="C312" s="6" t="str">
        <f>TRIM(Dataset!C312)</f>
        <v>C85863</v>
      </c>
      <c r="D312" s="6" t="str">
        <f>TRIM(Dataset!D312)</f>
        <v>Printer</v>
      </c>
      <c r="E312" s="13">
        <f>VALUE(TRIM(Dataset!E312))</f>
        <v>3</v>
      </c>
      <c r="F312" s="10">
        <f>VALUE(TRIM(Dataset!F312))</f>
        <v>132.47999999999999</v>
      </c>
      <c r="G312" s="6" t="str">
        <f>TRIM(Dataset!G312)</f>
        <v>968 Main St</v>
      </c>
      <c r="H312" s="6" t="str">
        <f>TRIM(Dataset!H312)</f>
        <v>Online</v>
      </c>
      <c r="I312" s="6" t="str">
        <f>TRIM(Dataset!I312)</f>
        <v>Shipped</v>
      </c>
      <c r="J312" s="6" t="str">
        <f>TRIM(Dataset!J312)</f>
        <v>TRK16094218</v>
      </c>
      <c r="K312" s="8" t="str">
        <f>TRIM(Dataset!K312)</f>
        <v>4</v>
      </c>
      <c r="L312" s="6" t="s">
        <v>4284</v>
      </c>
      <c r="M312" s="6" t="str">
        <f>TRIM(Dataset!M312)</f>
        <v>Referral</v>
      </c>
      <c r="N312" s="10">
        <f>VALUE(TRIM(Dataset!N312))</f>
        <v>397.44</v>
      </c>
    </row>
    <row r="313" spans="1:14" x14ac:dyDescent="0.35">
      <c r="A313" s="6" t="str">
        <f>TRIM(Dataset!A313)</f>
        <v>ORD200311</v>
      </c>
      <c r="B313" s="4">
        <f>Dataset!B313</f>
        <v>45794</v>
      </c>
      <c r="C313" s="6" t="str">
        <f>TRIM(Dataset!C313)</f>
        <v>C71698</v>
      </c>
      <c r="D313" s="6" t="str">
        <f>TRIM(Dataset!D313)</f>
        <v>Desk</v>
      </c>
      <c r="E313" s="13">
        <f>VALUE(TRIM(Dataset!E313))</f>
        <v>5</v>
      </c>
      <c r="F313" s="10">
        <f>VALUE(TRIM(Dataset!F313))</f>
        <v>489.37</v>
      </c>
      <c r="G313" s="6" t="str">
        <f>TRIM(Dataset!G313)</f>
        <v>274 Main St</v>
      </c>
      <c r="H313" s="6" t="str">
        <f>TRIM(Dataset!H313)</f>
        <v>Online</v>
      </c>
      <c r="I313" s="6" t="str">
        <f>TRIM(Dataset!I313)</f>
        <v>Returned</v>
      </c>
      <c r="J313" s="6" t="str">
        <f>TRIM(Dataset!J313)</f>
        <v>TRK34786818</v>
      </c>
      <c r="K313" s="8" t="str">
        <f>TRIM(Dataset!K313)</f>
        <v>8</v>
      </c>
      <c r="L313" s="6" t="s">
        <v>4284</v>
      </c>
      <c r="M313" s="6" t="str">
        <f>TRIM(Dataset!M313)</f>
        <v>Instagram</v>
      </c>
      <c r="N313" s="10">
        <f>VALUE(TRIM(Dataset!N313))</f>
        <v>2446.85</v>
      </c>
    </row>
    <row r="314" spans="1:14" x14ac:dyDescent="0.35">
      <c r="A314" s="6" t="str">
        <f>TRIM(Dataset!A314)</f>
        <v>ORD200312</v>
      </c>
      <c r="B314" s="4">
        <f>Dataset!B314</f>
        <v>45801</v>
      </c>
      <c r="C314" s="6" t="str">
        <f>TRIM(Dataset!C314)</f>
        <v>C35397</v>
      </c>
      <c r="D314" s="6" t="str">
        <f>TRIM(Dataset!D314)</f>
        <v>Printer</v>
      </c>
      <c r="E314" s="13">
        <f>VALUE(TRIM(Dataset!E314))</f>
        <v>5</v>
      </c>
      <c r="F314" s="10">
        <f>VALUE(TRIM(Dataset!F314))</f>
        <v>66.31</v>
      </c>
      <c r="G314" s="6" t="str">
        <f>TRIM(Dataset!G314)</f>
        <v>579 Main St</v>
      </c>
      <c r="H314" s="6" t="str">
        <f>TRIM(Dataset!H314)</f>
        <v>Gift Card</v>
      </c>
      <c r="I314" s="6" t="str">
        <f>TRIM(Dataset!I314)</f>
        <v>Pending</v>
      </c>
      <c r="J314" s="6" t="str">
        <f>TRIM(Dataset!J314)</f>
        <v>TRK64742535</v>
      </c>
      <c r="K314" s="8" t="str">
        <f>TRIM(Dataset!K314)</f>
        <v>7</v>
      </c>
      <c r="L314" s="6" t="str">
        <f>Dataset!L314</f>
        <v>FREESHIP</v>
      </c>
      <c r="M314" s="6" t="str">
        <f>TRIM(Dataset!M314)</f>
        <v>Referral</v>
      </c>
      <c r="N314" s="10">
        <f>VALUE(TRIM(Dataset!N314))</f>
        <v>331.55</v>
      </c>
    </row>
    <row r="315" spans="1:14" x14ac:dyDescent="0.35">
      <c r="A315" s="6" t="str">
        <f>TRIM(Dataset!A315)</f>
        <v>ORD200313</v>
      </c>
      <c r="B315" s="4">
        <f>Dataset!B315</f>
        <v>45116</v>
      </c>
      <c r="C315" s="6" t="str">
        <f>TRIM(Dataset!C315)</f>
        <v>C67687</v>
      </c>
      <c r="D315" s="6" t="str">
        <f>TRIM(Dataset!D315)</f>
        <v>Chair</v>
      </c>
      <c r="E315" s="13">
        <f>VALUE(TRIM(Dataset!E315))</f>
        <v>2</v>
      </c>
      <c r="F315" s="10">
        <f>VALUE(TRIM(Dataset!F315))</f>
        <v>434.3</v>
      </c>
      <c r="G315" s="6" t="str">
        <f>TRIM(Dataset!G315)</f>
        <v>978 Main St</v>
      </c>
      <c r="H315" s="6" t="str">
        <f>TRIM(Dataset!H315)</f>
        <v>Cash</v>
      </c>
      <c r="I315" s="6" t="str">
        <f>TRIM(Dataset!I315)</f>
        <v>Delivered</v>
      </c>
      <c r="J315" s="6" t="str">
        <f>TRIM(Dataset!J315)</f>
        <v>TRK22838735</v>
      </c>
      <c r="K315" s="8" t="str">
        <f>TRIM(Dataset!K315)</f>
        <v>7</v>
      </c>
      <c r="L315" s="6" t="str">
        <f>Dataset!L315</f>
        <v>SAVE10</v>
      </c>
      <c r="M315" s="6" t="str">
        <f>TRIM(Dataset!M315)</f>
        <v>Instagram</v>
      </c>
      <c r="N315" s="10">
        <f>VALUE(TRIM(Dataset!N315))</f>
        <v>868.6</v>
      </c>
    </row>
    <row r="316" spans="1:14" x14ac:dyDescent="0.35">
      <c r="A316" s="6" t="str">
        <f>TRIM(Dataset!A316)</f>
        <v>ORD200314</v>
      </c>
      <c r="B316" s="4">
        <f>Dataset!B316</f>
        <v>45203</v>
      </c>
      <c r="C316" s="6" t="str">
        <f>TRIM(Dataset!C316)</f>
        <v>C29931</v>
      </c>
      <c r="D316" s="6" t="str">
        <f>TRIM(Dataset!D316)</f>
        <v>Desk</v>
      </c>
      <c r="E316" s="13">
        <f>VALUE(TRIM(Dataset!E316))</f>
        <v>4</v>
      </c>
      <c r="F316" s="10">
        <f>VALUE(TRIM(Dataset!F316))</f>
        <v>153.09</v>
      </c>
      <c r="G316" s="6" t="str">
        <f>TRIM(Dataset!G316)</f>
        <v>540 Main St</v>
      </c>
      <c r="H316" s="6" t="str">
        <f>TRIM(Dataset!H316)</f>
        <v>Online</v>
      </c>
      <c r="I316" s="6" t="str">
        <f>TRIM(Dataset!I316)</f>
        <v>Delivered</v>
      </c>
      <c r="J316" s="6" t="str">
        <f>TRIM(Dataset!J316)</f>
        <v>TRK48712417</v>
      </c>
      <c r="K316" s="8" t="str">
        <f>TRIM(Dataset!K316)</f>
        <v>4</v>
      </c>
      <c r="L316" s="6" t="str">
        <f>Dataset!L316</f>
        <v>FREESHIP</v>
      </c>
      <c r="M316" s="6" t="str">
        <f>TRIM(Dataset!M316)</f>
        <v>Referral</v>
      </c>
      <c r="N316" s="10">
        <f>VALUE(TRIM(Dataset!N316))</f>
        <v>612.36</v>
      </c>
    </row>
    <row r="317" spans="1:14" x14ac:dyDescent="0.35">
      <c r="A317" s="6" t="str">
        <f>TRIM(Dataset!A317)</f>
        <v>ORD200315</v>
      </c>
      <c r="B317" s="4">
        <f>Dataset!B317</f>
        <v>45789</v>
      </c>
      <c r="C317" s="6" t="str">
        <f>TRIM(Dataset!C317)</f>
        <v>C59139</v>
      </c>
      <c r="D317" s="6" t="str">
        <f>TRIM(Dataset!D317)</f>
        <v>Tablet</v>
      </c>
      <c r="E317" s="13">
        <f>VALUE(TRIM(Dataset!E317))</f>
        <v>5</v>
      </c>
      <c r="F317" s="10">
        <f>VALUE(TRIM(Dataset!F317))</f>
        <v>91.67</v>
      </c>
      <c r="G317" s="6" t="str">
        <f>TRIM(Dataset!G317)</f>
        <v>301 Main St</v>
      </c>
      <c r="H317" s="6" t="str">
        <f>TRIM(Dataset!H317)</f>
        <v>Online</v>
      </c>
      <c r="I317" s="6" t="str">
        <f>TRIM(Dataset!I317)</f>
        <v>Cancelled</v>
      </c>
      <c r="J317" s="6" t="str">
        <f>TRIM(Dataset!J317)</f>
        <v>TRK45507090</v>
      </c>
      <c r="K317" s="8" t="str">
        <f>TRIM(Dataset!K317)</f>
        <v>9</v>
      </c>
      <c r="L317" s="6" t="str">
        <f>Dataset!L317</f>
        <v>FREESHIP</v>
      </c>
      <c r="M317" s="6" t="str">
        <f>TRIM(Dataset!M317)</f>
        <v>Email</v>
      </c>
      <c r="N317" s="10">
        <f>VALUE(TRIM(Dataset!N317))</f>
        <v>458.35</v>
      </c>
    </row>
    <row r="318" spans="1:14" x14ac:dyDescent="0.35">
      <c r="A318" s="6" t="str">
        <f>TRIM(Dataset!A318)</f>
        <v>ORD200316</v>
      </c>
      <c r="B318" s="4">
        <f>Dataset!B318</f>
        <v>45201</v>
      </c>
      <c r="C318" s="6" t="str">
        <f>TRIM(Dataset!C318)</f>
        <v>C66078</v>
      </c>
      <c r="D318" s="6" t="str">
        <f>TRIM(Dataset!D318)</f>
        <v>Desk</v>
      </c>
      <c r="E318" s="13">
        <f>VALUE(TRIM(Dataset!E318))</f>
        <v>4</v>
      </c>
      <c r="F318" s="10">
        <f>VALUE(TRIM(Dataset!F318))</f>
        <v>275.27999999999997</v>
      </c>
      <c r="G318" s="6" t="str">
        <f>TRIM(Dataset!G318)</f>
        <v>101 Main St</v>
      </c>
      <c r="H318" s="6" t="str">
        <f>TRIM(Dataset!H318)</f>
        <v>Gift Card</v>
      </c>
      <c r="I318" s="6" t="str">
        <f>TRIM(Dataset!I318)</f>
        <v>Shipped</v>
      </c>
      <c r="J318" s="6" t="str">
        <f>TRIM(Dataset!J318)</f>
        <v>TRK86474559</v>
      </c>
      <c r="K318" s="8" t="str">
        <f>TRIM(Dataset!K318)</f>
        <v>9</v>
      </c>
      <c r="L318" s="6" t="str">
        <f>Dataset!L318</f>
        <v>WINTER15</v>
      </c>
      <c r="M318" s="6" t="str">
        <f>TRIM(Dataset!M318)</f>
        <v>Facebook</v>
      </c>
      <c r="N318" s="10">
        <f>VALUE(TRIM(Dataset!N318))</f>
        <v>1101.1199999999999</v>
      </c>
    </row>
    <row r="319" spans="1:14" x14ac:dyDescent="0.35">
      <c r="A319" s="6" t="str">
        <f>TRIM(Dataset!A319)</f>
        <v>ORD200317</v>
      </c>
      <c r="B319" s="4">
        <f>Dataset!B319</f>
        <v>45026</v>
      </c>
      <c r="C319" s="6" t="str">
        <f>TRIM(Dataset!C319)</f>
        <v>C88370</v>
      </c>
      <c r="D319" s="6" t="str">
        <f>TRIM(Dataset!D319)</f>
        <v>Monitor</v>
      </c>
      <c r="E319" s="13">
        <f>VALUE(TRIM(Dataset!E319))</f>
        <v>2</v>
      </c>
      <c r="F319" s="10">
        <f>VALUE(TRIM(Dataset!F319))</f>
        <v>139.94999999999999</v>
      </c>
      <c r="G319" s="6" t="str">
        <f>TRIM(Dataset!G319)</f>
        <v>339 Main St</v>
      </c>
      <c r="H319" s="6" t="str">
        <f>TRIM(Dataset!H319)</f>
        <v>Online</v>
      </c>
      <c r="I319" s="6" t="str">
        <f>TRIM(Dataset!I319)</f>
        <v>Returned</v>
      </c>
      <c r="J319" s="6" t="str">
        <f>TRIM(Dataset!J319)</f>
        <v>TRK22575151</v>
      </c>
      <c r="K319" s="8" t="str">
        <f>TRIM(Dataset!K319)</f>
        <v>5</v>
      </c>
      <c r="L319" s="6" t="s">
        <v>4284</v>
      </c>
      <c r="M319" s="6" t="str">
        <f>TRIM(Dataset!M319)</f>
        <v>Instagram</v>
      </c>
      <c r="N319" s="10">
        <f>VALUE(TRIM(Dataset!N319))</f>
        <v>279.89999999999998</v>
      </c>
    </row>
    <row r="320" spans="1:14" x14ac:dyDescent="0.35">
      <c r="A320" s="6" t="str">
        <f>TRIM(Dataset!A320)</f>
        <v>ORD200318</v>
      </c>
      <c r="B320" s="4">
        <f>Dataset!B320</f>
        <v>45500</v>
      </c>
      <c r="C320" s="6" t="str">
        <f>TRIM(Dataset!C320)</f>
        <v>C93375</v>
      </c>
      <c r="D320" s="6" t="str">
        <f>TRIM(Dataset!D320)</f>
        <v>Chair</v>
      </c>
      <c r="E320" s="13">
        <f>VALUE(TRIM(Dataset!E320))</f>
        <v>3</v>
      </c>
      <c r="F320" s="10">
        <f>VALUE(TRIM(Dataset!F320))</f>
        <v>148.72</v>
      </c>
      <c r="G320" s="6" t="str">
        <f>TRIM(Dataset!G320)</f>
        <v>317 Main St</v>
      </c>
      <c r="H320" s="6" t="str">
        <f>TRIM(Dataset!H320)</f>
        <v>Debit Card</v>
      </c>
      <c r="I320" s="6" t="str">
        <f>TRIM(Dataset!I320)</f>
        <v>Cancelled</v>
      </c>
      <c r="J320" s="6" t="str">
        <f>TRIM(Dataset!J320)</f>
        <v>TRK95706967</v>
      </c>
      <c r="K320" s="8" t="str">
        <f>TRIM(Dataset!K320)</f>
        <v>7</v>
      </c>
      <c r="L320" s="6" t="str">
        <f>Dataset!L320</f>
        <v>SAVE10</v>
      </c>
      <c r="M320" s="6" t="str">
        <f>TRIM(Dataset!M320)</f>
        <v>Google</v>
      </c>
      <c r="N320" s="10">
        <f>VALUE(TRIM(Dataset!N320))</f>
        <v>446.16</v>
      </c>
    </row>
    <row r="321" spans="1:14" x14ac:dyDescent="0.35">
      <c r="A321" s="6" t="str">
        <f>TRIM(Dataset!A321)</f>
        <v>ORD200319</v>
      </c>
      <c r="B321" s="4">
        <f>Dataset!B321</f>
        <v>45262</v>
      </c>
      <c r="C321" s="6" t="str">
        <f>TRIM(Dataset!C321)</f>
        <v>C53049</v>
      </c>
      <c r="D321" s="6" t="str">
        <f>TRIM(Dataset!D321)</f>
        <v>Laptop</v>
      </c>
      <c r="E321" s="13">
        <f>VALUE(TRIM(Dataset!E321))</f>
        <v>2</v>
      </c>
      <c r="F321" s="10">
        <f>VALUE(TRIM(Dataset!F321))</f>
        <v>563.05999999999995</v>
      </c>
      <c r="G321" s="6" t="str">
        <f>TRIM(Dataset!G321)</f>
        <v>413 Main St</v>
      </c>
      <c r="H321" s="6" t="str">
        <f>TRIM(Dataset!H321)</f>
        <v>Cash</v>
      </c>
      <c r="I321" s="6" t="str">
        <f>TRIM(Dataset!I321)</f>
        <v>Returned</v>
      </c>
      <c r="J321" s="6" t="str">
        <f>TRIM(Dataset!J321)</f>
        <v>TRK48974907</v>
      </c>
      <c r="K321" s="8" t="str">
        <f>TRIM(Dataset!K321)</f>
        <v>6</v>
      </c>
      <c r="L321" s="6" t="s">
        <v>4284</v>
      </c>
      <c r="M321" s="6" t="str">
        <f>TRIM(Dataset!M321)</f>
        <v>Instagram</v>
      </c>
      <c r="N321" s="10">
        <f>VALUE(TRIM(Dataset!N321))</f>
        <v>1126.1199999999999</v>
      </c>
    </row>
    <row r="322" spans="1:14" x14ac:dyDescent="0.35">
      <c r="A322" s="6" t="str">
        <f>TRIM(Dataset!A322)</f>
        <v>ORD200320</v>
      </c>
      <c r="B322" s="4">
        <f>Dataset!B322</f>
        <v>45645</v>
      </c>
      <c r="C322" s="6" t="str">
        <f>TRIM(Dataset!C322)</f>
        <v>C55590</v>
      </c>
      <c r="D322" s="6" t="str">
        <f>TRIM(Dataset!D322)</f>
        <v>Printer</v>
      </c>
      <c r="E322" s="13">
        <f>VALUE(TRIM(Dataset!E322))</f>
        <v>1</v>
      </c>
      <c r="F322" s="10">
        <f>VALUE(TRIM(Dataset!F322))</f>
        <v>625.51</v>
      </c>
      <c r="G322" s="6" t="str">
        <f>TRIM(Dataset!G322)</f>
        <v>772 Main St</v>
      </c>
      <c r="H322" s="6" t="str">
        <f>TRIM(Dataset!H322)</f>
        <v>Credit Card</v>
      </c>
      <c r="I322" s="6" t="str">
        <f>TRIM(Dataset!I322)</f>
        <v>Shipped</v>
      </c>
      <c r="J322" s="6" t="str">
        <f>TRIM(Dataset!J322)</f>
        <v>TRK48792951</v>
      </c>
      <c r="K322" s="8" t="str">
        <f>TRIM(Dataset!K322)</f>
        <v>1</v>
      </c>
      <c r="L322" s="6" t="str">
        <f>Dataset!L322</f>
        <v>FREESHIP</v>
      </c>
      <c r="M322" s="6" t="str">
        <f>TRIM(Dataset!M322)</f>
        <v>Facebook</v>
      </c>
      <c r="N322" s="10">
        <f>VALUE(TRIM(Dataset!N322))</f>
        <v>625.51</v>
      </c>
    </row>
    <row r="323" spans="1:14" x14ac:dyDescent="0.35">
      <c r="A323" s="6" t="str">
        <f>TRIM(Dataset!A323)</f>
        <v>ORD200321</v>
      </c>
      <c r="B323" s="4">
        <f>Dataset!B323</f>
        <v>45147</v>
      </c>
      <c r="C323" s="6" t="str">
        <f>TRIM(Dataset!C323)</f>
        <v>C47086</v>
      </c>
      <c r="D323" s="6" t="str">
        <f>TRIM(Dataset!D323)</f>
        <v>Phone</v>
      </c>
      <c r="E323" s="13">
        <f>VALUE(TRIM(Dataset!E323))</f>
        <v>4</v>
      </c>
      <c r="F323" s="10">
        <f>VALUE(TRIM(Dataset!F323))</f>
        <v>152.29</v>
      </c>
      <c r="G323" s="6" t="str">
        <f>TRIM(Dataset!G323)</f>
        <v>135 Main St</v>
      </c>
      <c r="H323" s="6" t="str">
        <f>TRIM(Dataset!H323)</f>
        <v>Debit Card</v>
      </c>
      <c r="I323" s="6" t="str">
        <f>TRIM(Dataset!I323)</f>
        <v>Cancelled</v>
      </c>
      <c r="J323" s="6" t="str">
        <f>TRIM(Dataset!J323)</f>
        <v>TRK44194358</v>
      </c>
      <c r="K323" s="8" t="str">
        <f>TRIM(Dataset!K323)</f>
        <v>6</v>
      </c>
      <c r="L323" s="6" t="str">
        <f>Dataset!L323</f>
        <v>WINTER15</v>
      </c>
      <c r="M323" s="6" t="str">
        <f>TRIM(Dataset!M323)</f>
        <v>Google</v>
      </c>
      <c r="N323" s="10">
        <f>VALUE(TRIM(Dataset!N323))</f>
        <v>609.16</v>
      </c>
    </row>
    <row r="324" spans="1:14" x14ac:dyDescent="0.35">
      <c r="A324" s="6" t="str">
        <f>TRIM(Dataset!A324)</f>
        <v>ORD200322</v>
      </c>
      <c r="B324" s="4">
        <f>Dataset!B324</f>
        <v>45457</v>
      </c>
      <c r="C324" s="6" t="str">
        <f>TRIM(Dataset!C324)</f>
        <v>C48646</v>
      </c>
      <c r="D324" s="6" t="str">
        <f>TRIM(Dataset!D324)</f>
        <v>Phone</v>
      </c>
      <c r="E324" s="13">
        <f>VALUE(TRIM(Dataset!E324))</f>
        <v>5</v>
      </c>
      <c r="F324" s="10">
        <f>VALUE(TRIM(Dataset!F324))</f>
        <v>231.82</v>
      </c>
      <c r="G324" s="6" t="str">
        <f>TRIM(Dataset!G324)</f>
        <v>339 Main St</v>
      </c>
      <c r="H324" s="6" t="str">
        <f>TRIM(Dataset!H324)</f>
        <v>Debit Card</v>
      </c>
      <c r="I324" s="6" t="str">
        <f>TRIM(Dataset!I324)</f>
        <v>Delivered</v>
      </c>
      <c r="J324" s="6" t="str">
        <f>TRIM(Dataset!J324)</f>
        <v>TRK18233748</v>
      </c>
      <c r="K324" s="8" t="str">
        <f>TRIM(Dataset!K324)</f>
        <v>6</v>
      </c>
      <c r="L324" s="6" t="str">
        <f>Dataset!L324</f>
        <v>SAVE10</v>
      </c>
      <c r="M324" s="6" t="str">
        <f>TRIM(Dataset!M324)</f>
        <v>Facebook</v>
      </c>
      <c r="N324" s="10">
        <f>VALUE(TRIM(Dataset!N324))</f>
        <v>1159.0999999999999</v>
      </c>
    </row>
    <row r="325" spans="1:14" x14ac:dyDescent="0.35">
      <c r="A325" s="6" t="str">
        <f>TRIM(Dataset!A325)</f>
        <v>ORD200323</v>
      </c>
      <c r="B325" s="4">
        <f>Dataset!B325</f>
        <v>45683</v>
      </c>
      <c r="C325" s="6" t="str">
        <f>TRIM(Dataset!C325)</f>
        <v>C29416</v>
      </c>
      <c r="D325" s="6" t="str">
        <f>TRIM(Dataset!D325)</f>
        <v>Laptop</v>
      </c>
      <c r="E325" s="13">
        <f>VALUE(TRIM(Dataset!E325))</f>
        <v>1</v>
      </c>
      <c r="F325" s="10">
        <f>VALUE(TRIM(Dataset!F325))</f>
        <v>150.16999999999999</v>
      </c>
      <c r="G325" s="6" t="str">
        <f>TRIM(Dataset!G325)</f>
        <v>414 Main St</v>
      </c>
      <c r="H325" s="6" t="str">
        <f>TRIM(Dataset!H325)</f>
        <v>Debit Card</v>
      </c>
      <c r="I325" s="6" t="str">
        <f>TRIM(Dataset!I325)</f>
        <v>Returned</v>
      </c>
      <c r="J325" s="6" t="str">
        <f>TRIM(Dataset!J325)</f>
        <v>TRK63820842</v>
      </c>
      <c r="K325" s="8" t="str">
        <f>TRIM(Dataset!K325)</f>
        <v>1</v>
      </c>
      <c r="L325" s="6" t="str">
        <f>Dataset!L325</f>
        <v>SAVE10</v>
      </c>
      <c r="M325" s="6" t="str">
        <f>TRIM(Dataset!M325)</f>
        <v>Referral</v>
      </c>
      <c r="N325" s="10">
        <f>VALUE(TRIM(Dataset!N325))</f>
        <v>150.16999999999999</v>
      </c>
    </row>
    <row r="326" spans="1:14" x14ac:dyDescent="0.35">
      <c r="A326" s="6" t="str">
        <f>TRIM(Dataset!A326)</f>
        <v>ORD200324</v>
      </c>
      <c r="B326" s="4">
        <f>Dataset!B326</f>
        <v>45456</v>
      </c>
      <c r="C326" s="6" t="str">
        <f>TRIM(Dataset!C326)</f>
        <v>C13525</v>
      </c>
      <c r="D326" s="6" t="str">
        <f>TRIM(Dataset!D326)</f>
        <v>Tablet</v>
      </c>
      <c r="E326" s="13">
        <f>VALUE(TRIM(Dataset!E326))</f>
        <v>3</v>
      </c>
      <c r="F326" s="10">
        <f>VALUE(TRIM(Dataset!F326))</f>
        <v>70.930000000000007</v>
      </c>
      <c r="G326" s="6" t="str">
        <f>TRIM(Dataset!G326)</f>
        <v>847 Main St</v>
      </c>
      <c r="H326" s="6" t="str">
        <f>TRIM(Dataset!H326)</f>
        <v>Debit Card</v>
      </c>
      <c r="I326" s="6" t="str">
        <f>TRIM(Dataset!I326)</f>
        <v>Returned</v>
      </c>
      <c r="J326" s="6" t="str">
        <f>TRIM(Dataset!J326)</f>
        <v>TRK70193221</v>
      </c>
      <c r="K326" s="8" t="str">
        <f>TRIM(Dataset!K326)</f>
        <v>5</v>
      </c>
      <c r="L326" s="6" t="s">
        <v>4284</v>
      </c>
      <c r="M326" s="6" t="str">
        <f>TRIM(Dataset!M326)</f>
        <v>Referral</v>
      </c>
      <c r="N326" s="10">
        <f>VALUE(TRIM(Dataset!N326))</f>
        <v>212.79</v>
      </c>
    </row>
    <row r="327" spans="1:14" x14ac:dyDescent="0.35">
      <c r="A327" s="6" t="str">
        <f>TRIM(Dataset!A327)</f>
        <v>ORD200325</v>
      </c>
      <c r="B327" s="4">
        <f>Dataset!B327</f>
        <v>45106</v>
      </c>
      <c r="C327" s="6" t="str">
        <f>TRIM(Dataset!C327)</f>
        <v>C53545</v>
      </c>
      <c r="D327" s="6" t="str">
        <f>TRIM(Dataset!D327)</f>
        <v>Desk</v>
      </c>
      <c r="E327" s="13">
        <f>VALUE(TRIM(Dataset!E327))</f>
        <v>3</v>
      </c>
      <c r="F327" s="10">
        <f>VALUE(TRIM(Dataset!F327))</f>
        <v>361.39</v>
      </c>
      <c r="G327" s="6" t="str">
        <f>TRIM(Dataset!G327)</f>
        <v>665 Main St</v>
      </c>
      <c r="H327" s="6" t="str">
        <f>TRIM(Dataset!H327)</f>
        <v>Credit Card</v>
      </c>
      <c r="I327" s="6" t="str">
        <f>TRIM(Dataset!I327)</f>
        <v>Shipped</v>
      </c>
      <c r="J327" s="6" t="str">
        <f>TRIM(Dataset!J327)</f>
        <v>TRK61123177</v>
      </c>
      <c r="K327" s="8" t="str">
        <f>TRIM(Dataset!K327)</f>
        <v>8</v>
      </c>
      <c r="L327" s="6" t="s">
        <v>4284</v>
      </c>
      <c r="M327" s="6" t="str">
        <f>TRIM(Dataset!M327)</f>
        <v>Referral</v>
      </c>
      <c r="N327" s="10">
        <f>VALUE(TRIM(Dataset!N327))</f>
        <v>1084.17</v>
      </c>
    </row>
    <row r="328" spans="1:14" x14ac:dyDescent="0.35">
      <c r="A328" s="6" t="str">
        <f>TRIM(Dataset!A328)</f>
        <v>ORD200326</v>
      </c>
      <c r="B328" s="4">
        <f>Dataset!B328</f>
        <v>45474</v>
      </c>
      <c r="C328" s="6" t="str">
        <f>TRIM(Dataset!C328)</f>
        <v>C65986</v>
      </c>
      <c r="D328" s="6" t="str">
        <f>TRIM(Dataset!D328)</f>
        <v>Laptop</v>
      </c>
      <c r="E328" s="13">
        <f>VALUE(TRIM(Dataset!E328))</f>
        <v>5</v>
      </c>
      <c r="F328" s="10">
        <f>VALUE(TRIM(Dataset!F328))</f>
        <v>670.48</v>
      </c>
      <c r="G328" s="6" t="str">
        <f>TRIM(Dataset!G328)</f>
        <v>273 Main St</v>
      </c>
      <c r="H328" s="6" t="str">
        <f>TRIM(Dataset!H328)</f>
        <v>Gift Card</v>
      </c>
      <c r="I328" s="6" t="str">
        <f>TRIM(Dataset!I328)</f>
        <v>Returned</v>
      </c>
      <c r="J328" s="6" t="str">
        <f>TRIM(Dataset!J328)</f>
        <v>TRK98353867</v>
      </c>
      <c r="K328" s="8" t="str">
        <f>TRIM(Dataset!K328)</f>
        <v>5</v>
      </c>
      <c r="L328" s="6" t="str">
        <f>Dataset!L328</f>
        <v>SAVE10</v>
      </c>
      <c r="M328" s="6" t="str">
        <f>TRIM(Dataset!M328)</f>
        <v>Facebook</v>
      </c>
      <c r="N328" s="10">
        <f>VALUE(TRIM(Dataset!N328))</f>
        <v>3352.4</v>
      </c>
    </row>
    <row r="329" spans="1:14" x14ac:dyDescent="0.35">
      <c r="A329" s="6" t="str">
        <f>TRIM(Dataset!A329)</f>
        <v>ORD200327</v>
      </c>
      <c r="B329" s="4">
        <f>Dataset!B329</f>
        <v>45132</v>
      </c>
      <c r="C329" s="6" t="str">
        <f>TRIM(Dataset!C329)</f>
        <v>C17302</v>
      </c>
      <c r="D329" s="6" t="str">
        <f>TRIM(Dataset!D329)</f>
        <v>Phone</v>
      </c>
      <c r="E329" s="13">
        <f>VALUE(TRIM(Dataset!E329))</f>
        <v>1</v>
      </c>
      <c r="F329" s="10">
        <f>VALUE(TRIM(Dataset!F329))</f>
        <v>359.99</v>
      </c>
      <c r="G329" s="6" t="str">
        <f>TRIM(Dataset!G329)</f>
        <v>385 Main St</v>
      </c>
      <c r="H329" s="6" t="str">
        <f>TRIM(Dataset!H329)</f>
        <v>Gift Card</v>
      </c>
      <c r="I329" s="6" t="str">
        <f>TRIM(Dataset!I329)</f>
        <v>Cancelled</v>
      </c>
      <c r="J329" s="6" t="str">
        <f>TRIM(Dataset!J329)</f>
        <v>TRK43940016</v>
      </c>
      <c r="K329" s="8" t="str">
        <f>TRIM(Dataset!K329)</f>
        <v>5</v>
      </c>
      <c r="L329" s="6" t="str">
        <f>Dataset!L329</f>
        <v>SAVE10</v>
      </c>
      <c r="M329" s="6" t="str">
        <f>TRIM(Dataset!M329)</f>
        <v>Email</v>
      </c>
      <c r="N329" s="10">
        <f>VALUE(TRIM(Dataset!N329))</f>
        <v>359.99</v>
      </c>
    </row>
    <row r="330" spans="1:14" x14ac:dyDescent="0.35">
      <c r="A330" s="6" t="str">
        <f>TRIM(Dataset!A330)</f>
        <v>ORD200328</v>
      </c>
      <c r="B330" s="4">
        <f>Dataset!B330</f>
        <v>44985</v>
      </c>
      <c r="C330" s="6" t="str">
        <f>TRIM(Dataset!C330)</f>
        <v>C18404</v>
      </c>
      <c r="D330" s="6" t="str">
        <f>TRIM(Dataset!D330)</f>
        <v>Tablet</v>
      </c>
      <c r="E330" s="13">
        <f>VALUE(TRIM(Dataset!E330))</f>
        <v>5</v>
      </c>
      <c r="F330" s="10">
        <f>VALUE(TRIM(Dataset!F330))</f>
        <v>674.04</v>
      </c>
      <c r="G330" s="6" t="str">
        <f>TRIM(Dataset!G330)</f>
        <v>546 Main St</v>
      </c>
      <c r="H330" s="6" t="str">
        <f>TRIM(Dataset!H330)</f>
        <v>Online</v>
      </c>
      <c r="I330" s="6" t="str">
        <f>TRIM(Dataset!I330)</f>
        <v>Cancelled</v>
      </c>
      <c r="J330" s="6" t="str">
        <f>TRIM(Dataset!J330)</f>
        <v>TRK89401624</v>
      </c>
      <c r="K330" s="8" t="str">
        <f>TRIM(Dataset!K330)</f>
        <v>7</v>
      </c>
      <c r="L330" s="6" t="str">
        <f>Dataset!L330</f>
        <v>SAVE10</v>
      </c>
      <c r="M330" s="6" t="str">
        <f>TRIM(Dataset!M330)</f>
        <v>Google</v>
      </c>
      <c r="N330" s="10">
        <f>VALUE(TRIM(Dataset!N330))</f>
        <v>3370.2</v>
      </c>
    </row>
    <row r="331" spans="1:14" x14ac:dyDescent="0.35">
      <c r="A331" s="6" t="str">
        <f>TRIM(Dataset!A331)</f>
        <v>ORD200329</v>
      </c>
      <c r="B331" s="4">
        <f>Dataset!B331</f>
        <v>45651</v>
      </c>
      <c r="C331" s="6" t="str">
        <f>TRIM(Dataset!C331)</f>
        <v>C88371</v>
      </c>
      <c r="D331" s="6" t="str">
        <f>TRIM(Dataset!D331)</f>
        <v>Chair</v>
      </c>
      <c r="E331" s="13">
        <f>VALUE(TRIM(Dataset!E331))</f>
        <v>4</v>
      </c>
      <c r="F331" s="10">
        <f>VALUE(TRIM(Dataset!F331))</f>
        <v>283.16000000000003</v>
      </c>
      <c r="G331" s="6" t="str">
        <f>TRIM(Dataset!G331)</f>
        <v>306 Main St</v>
      </c>
      <c r="H331" s="6" t="str">
        <f>TRIM(Dataset!H331)</f>
        <v>Credit Card</v>
      </c>
      <c r="I331" s="6" t="str">
        <f>TRIM(Dataset!I331)</f>
        <v>Shipped</v>
      </c>
      <c r="J331" s="6" t="str">
        <f>TRIM(Dataset!J331)</f>
        <v>TRK63224811</v>
      </c>
      <c r="K331" s="8" t="str">
        <f>TRIM(Dataset!K331)</f>
        <v>6</v>
      </c>
      <c r="L331" s="6" t="s">
        <v>4284</v>
      </c>
      <c r="M331" s="6" t="str">
        <f>TRIM(Dataset!M331)</f>
        <v>Google</v>
      </c>
      <c r="N331" s="10">
        <f>VALUE(TRIM(Dataset!N331))</f>
        <v>1132.6400000000001</v>
      </c>
    </row>
    <row r="332" spans="1:14" x14ac:dyDescent="0.35">
      <c r="A332" s="6" t="str">
        <f>TRIM(Dataset!A332)</f>
        <v>ORD200330</v>
      </c>
      <c r="B332" s="4">
        <f>Dataset!B332</f>
        <v>45445</v>
      </c>
      <c r="C332" s="6" t="str">
        <f>TRIM(Dataset!C332)</f>
        <v>C38068</v>
      </c>
      <c r="D332" s="6" t="str">
        <f>TRIM(Dataset!D332)</f>
        <v>Desk</v>
      </c>
      <c r="E332" s="13">
        <f>VALUE(TRIM(Dataset!E332))</f>
        <v>5</v>
      </c>
      <c r="F332" s="10">
        <f>VALUE(TRIM(Dataset!F332))</f>
        <v>260.52999999999997</v>
      </c>
      <c r="G332" s="6" t="str">
        <f>TRIM(Dataset!G332)</f>
        <v>532 Main St</v>
      </c>
      <c r="H332" s="6" t="str">
        <f>TRIM(Dataset!H332)</f>
        <v>Gift Card</v>
      </c>
      <c r="I332" s="6" t="str">
        <f>TRIM(Dataset!I332)</f>
        <v>Pending</v>
      </c>
      <c r="J332" s="6" t="str">
        <f>TRIM(Dataset!J332)</f>
        <v>TRK54059198</v>
      </c>
      <c r="K332" s="8" t="str">
        <f>TRIM(Dataset!K332)</f>
        <v>5</v>
      </c>
      <c r="L332" s="6" t="str">
        <f>Dataset!L332</f>
        <v>SAVE10</v>
      </c>
      <c r="M332" s="6" t="str">
        <f>TRIM(Dataset!M332)</f>
        <v>Instagram</v>
      </c>
      <c r="N332" s="10">
        <f>VALUE(TRIM(Dataset!N332))</f>
        <v>1302.6500000000001</v>
      </c>
    </row>
    <row r="333" spans="1:14" x14ac:dyDescent="0.35">
      <c r="A333" s="6" t="str">
        <f>TRIM(Dataset!A333)</f>
        <v>ORD200331</v>
      </c>
      <c r="B333" s="4">
        <f>Dataset!B333</f>
        <v>45031</v>
      </c>
      <c r="C333" s="6" t="str">
        <f>TRIM(Dataset!C333)</f>
        <v>C78724</v>
      </c>
      <c r="D333" s="6" t="str">
        <f>TRIM(Dataset!D333)</f>
        <v>Printer</v>
      </c>
      <c r="E333" s="13">
        <f>VALUE(TRIM(Dataset!E333))</f>
        <v>3</v>
      </c>
      <c r="F333" s="10">
        <f>VALUE(TRIM(Dataset!F333))</f>
        <v>422.13</v>
      </c>
      <c r="G333" s="6" t="str">
        <f>TRIM(Dataset!G333)</f>
        <v>187 Main St</v>
      </c>
      <c r="H333" s="6" t="str">
        <f>TRIM(Dataset!H333)</f>
        <v>Online</v>
      </c>
      <c r="I333" s="6" t="str">
        <f>TRIM(Dataset!I333)</f>
        <v>Delivered</v>
      </c>
      <c r="J333" s="6" t="str">
        <f>TRIM(Dataset!J333)</f>
        <v>TRK25703134</v>
      </c>
      <c r="K333" s="8" t="str">
        <f>TRIM(Dataset!K333)</f>
        <v>7</v>
      </c>
      <c r="L333" s="6" t="str">
        <f>Dataset!L333</f>
        <v>SAVE10</v>
      </c>
      <c r="M333" s="6" t="str">
        <f>TRIM(Dataset!M333)</f>
        <v>Facebook</v>
      </c>
      <c r="N333" s="10">
        <f>VALUE(TRIM(Dataset!N333))</f>
        <v>1266.3900000000001</v>
      </c>
    </row>
    <row r="334" spans="1:14" x14ac:dyDescent="0.35">
      <c r="A334" s="6" t="str">
        <f>TRIM(Dataset!A334)</f>
        <v>ORD200332</v>
      </c>
      <c r="B334" s="4">
        <f>Dataset!B334</f>
        <v>45476</v>
      </c>
      <c r="C334" s="6" t="str">
        <f>TRIM(Dataset!C334)</f>
        <v>C26163</v>
      </c>
      <c r="D334" s="6" t="str">
        <f>TRIM(Dataset!D334)</f>
        <v>Desk</v>
      </c>
      <c r="E334" s="13">
        <f>VALUE(TRIM(Dataset!E334))</f>
        <v>5</v>
      </c>
      <c r="F334" s="10">
        <f>VALUE(TRIM(Dataset!F334))</f>
        <v>125.02</v>
      </c>
      <c r="G334" s="6" t="str">
        <f>TRIM(Dataset!G334)</f>
        <v>607 Main St</v>
      </c>
      <c r="H334" s="6" t="str">
        <f>TRIM(Dataset!H334)</f>
        <v>Debit Card</v>
      </c>
      <c r="I334" s="6" t="str">
        <f>TRIM(Dataset!I334)</f>
        <v>Pending</v>
      </c>
      <c r="J334" s="6" t="str">
        <f>TRIM(Dataset!J334)</f>
        <v>TRK67499316</v>
      </c>
      <c r="K334" s="8" t="str">
        <f>TRIM(Dataset!K334)</f>
        <v>9</v>
      </c>
      <c r="L334" s="6" t="str">
        <f>Dataset!L334</f>
        <v>SAVE10</v>
      </c>
      <c r="M334" s="6" t="str">
        <f>TRIM(Dataset!M334)</f>
        <v>Google</v>
      </c>
      <c r="N334" s="10">
        <f>VALUE(TRIM(Dataset!N334))</f>
        <v>625.1</v>
      </c>
    </row>
    <row r="335" spans="1:14" x14ac:dyDescent="0.35">
      <c r="A335" s="6" t="str">
        <f>TRIM(Dataset!A335)</f>
        <v>ORD200333</v>
      </c>
      <c r="B335" s="4">
        <f>Dataset!B335</f>
        <v>45398</v>
      </c>
      <c r="C335" s="6" t="str">
        <f>TRIM(Dataset!C335)</f>
        <v>C87124</v>
      </c>
      <c r="D335" s="6" t="str">
        <f>TRIM(Dataset!D335)</f>
        <v>Phone</v>
      </c>
      <c r="E335" s="13">
        <f>VALUE(TRIM(Dataset!E335))</f>
        <v>1</v>
      </c>
      <c r="F335" s="10">
        <f>VALUE(TRIM(Dataset!F335))</f>
        <v>198.51</v>
      </c>
      <c r="G335" s="6" t="str">
        <f>TRIM(Dataset!G335)</f>
        <v>818 Main St</v>
      </c>
      <c r="H335" s="6" t="str">
        <f>TRIM(Dataset!H335)</f>
        <v>Credit Card</v>
      </c>
      <c r="I335" s="6" t="str">
        <f>TRIM(Dataset!I335)</f>
        <v>Returned</v>
      </c>
      <c r="J335" s="6" t="str">
        <f>TRIM(Dataset!J335)</f>
        <v>TRK52086740</v>
      </c>
      <c r="K335" s="8" t="str">
        <f>TRIM(Dataset!K335)</f>
        <v>5</v>
      </c>
      <c r="L335" s="6" t="str">
        <f>Dataset!L335</f>
        <v>WINTER15</v>
      </c>
      <c r="M335" s="6" t="str">
        <f>TRIM(Dataset!M335)</f>
        <v>Instagram</v>
      </c>
      <c r="N335" s="10">
        <f>VALUE(TRIM(Dataset!N335))</f>
        <v>198.51</v>
      </c>
    </row>
    <row r="336" spans="1:14" x14ac:dyDescent="0.35">
      <c r="A336" s="6" t="str">
        <f>TRIM(Dataset!A336)</f>
        <v>ORD200334</v>
      </c>
      <c r="B336" s="4">
        <f>Dataset!B336</f>
        <v>45377</v>
      </c>
      <c r="C336" s="6" t="str">
        <f>TRIM(Dataset!C336)</f>
        <v>C90348</v>
      </c>
      <c r="D336" s="6" t="str">
        <f>TRIM(Dataset!D336)</f>
        <v>Chair</v>
      </c>
      <c r="E336" s="13">
        <f>VALUE(TRIM(Dataset!E336))</f>
        <v>4</v>
      </c>
      <c r="F336" s="10">
        <f>VALUE(TRIM(Dataset!F336))</f>
        <v>224.75</v>
      </c>
      <c r="G336" s="6" t="str">
        <f>TRIM(Dataset!G336)</f>
        <v>728 Main St</v>
      </c>
      <c r="H336" s="6" t="str">
        <f>TRIM(Dataset!H336)</f>
        <v>Online</v>
      </c>
      <c r="I336" s="6" t="str">
        <f>TRIM(Dataset!I336)</f>
        <v>Delivered</v>
      </c>
      <c r="J336" s="6" t="str">
        <f>TRIM(Dataset!J336)</f>
        <v>TRK20635777</v>
      </c>
      <c r="K336" s="8" t="str">
        <f>TRIM(Dataset!K336)</f>
        <v>7</v>
      </c>
      <c r="L336" s="6" t="str">
        <f>Dataset!L336</f>
        <v>WINTER15</v>
      </c>
      <c r="M336" s="6" t="str">
        <f>TRIM(Dataset!M336)</f>
        <v>Facebook</v>
      </c>
      <c r="N336" s="10">
        <f>VALUE(TRIM(Dataset!N336))</f>
        <v>899</v>
      </c>
    </row>
    <row r="337" spans="1:14" x14ac:dyDescent="0.35">
      <c r="A337" s="6" t="str">
        <f>TRIM(Dataset!A337)</f>
        <v>ORD200335</v>
      </c>
      <c r="B337" s="4">
        <f>Dataset!B337</f>
        <v>45719</v>
      </c>
      <c r="C337" s="6" t="str">
        <f>TRIM(Dataset!C337)</f>
        <v>C58721</v>
      </c>
      <c r="D337" s="6" t="str">
        <f>TRIM(Dataset!D337)</f>
        <v>Tablet</v>
      </c>
      <c r="E337" s="13">
        <f>VALUE(TRIM(Dataset!E337))</f>
        <v>3</v>
      </c>
      <c r="F337" s="10">
        <f>VALUE(TRIM(Dataset!F337))</f>
        <v>205.86</v>
      </c>
      <c r="G337" s="6" t="str">
        <f>TRIM(Dataset!G337)</f>
        <v>978 Main St</v>
      </c>
      <c r="H337" s="6" t="str">
        <f>TRIM(Dataset!H337)</f>
        <v>Gift Card</v>
      </c>
      <c r="I337" s="6" t="str">
        <f>TRIM(Dataset!I337)</f>
        <v>Shipped</v>
      </c>
      <c r="J337" s="6" t="str">
        <f>TRIM(Dataset!J337)</f>
        <v>TRK34801199</v>
      </c>
      <c r="K337" s="8" t="str">
        <f>TRIM(Dataset!K337)</f>
        <v>4</v>
      </c>
      <c r="L337" s="6" t="s">
        <v>4284</v>
      </c>
      <c r="M337" s="6" t="str">
        <f>TRIM(Dataset!M337)</f>
        <v>Email</v>
      </c>
      <c r="N337" s="10">
        <f>VALUE(TRIM(Dataset!N337))</f>
        <v>617.58000000000004</v>
      </c>
    </row>
    <row r="338" spans="1:14" x14ac:dyDescent="0.35">
      <c r="A338" s="6" t="str">
        <f>TRIM(Dataset!A338)</f>
        <v>ORD200336</v>
      </c>
      <c r="B338" s="4">
        <f>Dataset!B338</f>
        <v>45289</v>
      </c>
      <c r="C338" s="6" t="str">
        <f>TRIM(Dataset!C338)</f>
        <v>C88174</v>
      </c>
      <c r="D338" s="6" t="str">
        <f>TRIM(Dataset!D338)</f>
        <v>Laptop</v>
      </c>
      <c r="E338" s="13">
        <f>VALUE(TRIM(Dataset!E338))</f>
        <v>1</v>
      </c>
      <c r="F338" s="10">
        <f>VALUE(TRIM(Dataset!F338))</f>
        <v>18.2</v>
      </c>
      <c r="G338" s="6" t="str">
        <f>TRIM(Dataset!G338)</f>
        <v>441 Main St</v>
      </c>
      <c r="H338" s="6" t="str">
        <f>TRIM(Dataset!H338)</f>
        <v>Debit Card</v>
      </c>
      <c r="I338" s="6" t="str">
        <f>TRIM(Dataset!I338)</f>
        <v>Pending</v>
      </c>
      <c r="J338" s="6" t="str">
        <f>TRIM(Dataset!J338)</f>
        <v>TRK10143345</v>
      </c>
      <c r="K338" s="8" t="str">
        <f>TRIM(Dataset!K338)</f>
        <v>4</v>
      </c>
      <c r="L338" s="6" t="str">
        <f>Dataset!L338</f>
        <v>SAVE10</v>
      </c>
      <c r="M338" s="6" t="str">
        <f>TRIM(Dataset!M338)</f>
        <v>Instagram</v>
      </c>
      <c r="N338" s="10">
        <f>VALUE(TRIM(Dataset!N338))</f>
        <v>18.2</v>
      </c>
    </row>
    <row r="339" spans="1:14" x14ac:dyDescent="0.35">
      <c r="A339" s="6" t="str">
        <f>TRIM(Dataset!A339)</f>
        <v>ORD200337</v>
      </c>
      <c r="B339" s="4">
        <f>Dataset!B339</f>
        <v>45075</v>
      </c>
      <c r="C339" s="6" t="str">
        <f>TRIM(Dataset!C339)</f>
        <v>C77763</v>
      </c>
      <c r="D339" s="6" t="str">
        <f>TRIM(Dataset!D339)</f>
        <v>Tablet</v>
      </c>
      <c r="E339" s="13">
        <f>VALUE(TRIM(Dataset!E339))</f>
        <v>3</v>
      </c>
      <c r="F339" s="10">
        <f>VALUE(TRIM(Dataset!F339))</f>
        <v>502.77</v>
      </c>
      <c r="G339" s="6" t="str">
        <f>TRIM(Dataset!G339)</f>
        <v>599 Main St</v>
      </c>
      <c r="H339" s="6" t="str">
        <f>TRIM(Dataset!H339)</f>
        <v>Debit Card</v>
      </c>
      <c r="I339" s="6" t="str">
        <f>TRIM(Dataset!I339)</f>
        <v>Returned</v>
      </c>
      <c r="J339" s="6" t="str">
        <f>TRIM(Dataset!J339)</f>
        <v>TRK66980447</v>
      </c>
      <c r="K339" s="8" t="str">
        <f>TRIM(Dataset!K339)</f>
        <v>8</v>
      </c>
      <c r="L339" s="6" t="str">
        <f>Dataset!L339</f>
        <v>WINTER15</v>
      </c>
      <c r="M339" s="6" t="str">
        <f>TRIM(Dataset!M339)</f>
        <v>Email</v>
      </c>
      <c r="N339" s="10">
        <f>VALUE(TRIM(Dataset!N339))</f>
        <v>1508.31</v>
      </c>
    </row>
    <row r="340" spans="1:14" x14ac:dyDescent="0.35">
      <c r="A340" s="6" t="str">
        <f>TRIM(Dataset!A340)</f>
        <v>ORD200338</v>
      </c>
      <c r="B340" s="4">
        <f>Dataset!B340</f>
        <v>45238</v>
      </c>
      <c r="C340" s="6" t="str">
        <f>TRIM(Dataset!C340)</f>
        <v>C53627</v>
      </c>
      <c r="D340" s="6" t="str">
        <f>TRIM(Dataset!D340)</f>
        <v>Phone</v>
      </c>
      <c r="E340" s="13">
        <f>VALUE(TRIM(Dataset!E340))</f>
        <v>5</v>
      </c>
      <c r="F340" s="10">
        <f>VALUE(TRIM(Dataset!F340))</f>
        <v>305.49</v>
      </c>
      <c r="G340" s="6" t="str">
        <f>TRIM(Dataset!G340)</f>
        <v>704 Main St</v>
      </c>
      <c r="H340" s="6" t="str">
        <f>TRIM(Dataset!H340)</f>
        <v>Debit Card</v>
      </c>
      <c r="I340" s="6" t="str">
        <f>TRIM(Dataset!I340)</f>
        <v>Shipped</v>
      </c>
      <c r="J340" s="6" t="str">
        <f>TRIM(Dataset!J340)</f>
        <v>TRK64112352</v>
      </c>
      <c r="K340" s="8" t="str">
        <f>TRIM(Dataset!K340)</f>
        <v>10</v>
      </c>
      <c r="L340" s="6" t="s">
        <v>4284</v>
      </c>
      <c r="M340" s="6" t="str">
        <f>TRIM(Dataset!M340)</f>
        <v>Referral</v>
      </c>
      <c r="N340" s="10">
        <f>VALUE(TRIM(Dataset!N340))</f>
        <v>1527.45</v>
      </c>
    </row>
    <row r="341" spans="1:14" x14ac:dyDescent="0.35">
      <c r="A341" s="6" t="str">
        <f>TRIM(Dataset!A341)</f>
        <v>ORD200339</v>
      </c>
      <c r="B341" s="4">
        <f>Dataset!B341</f>
        <v>45392</v>
      </c>
      <c r="C341" s="6" t="str">
        <f>TRIM(Dataset!C341)</f>
        <v>C84563</v>
      </c>
      <c r="D341" s="6" t="str">
        <f>TRIM(Dataset!D341)</f>
        <v>Printer</v>
      </c>
      <c r="E341" s="13">
        <f>VALUE(TRIM(Dataset!E341))</f>
        <v>2</v>
      </c>
      <c r="F341" s="10">
        <f>VALUE(TRIM(Dataset!F341))</f>
        <v>236.33</v>
      </c>
      <c r="G341" s="6" t="str">
        <f>TRIM(Dataset!G341)</f>
        <v>398 Main St</v>
      </c>
      <c r="H341" s="6" t="str">
        <f>TRIM(Dataset!H341)</f>
        <v>Online</v>
      </c>
      <c r="I341" s="6" t="str">
        <f>TRIM(Dataset!I341)</f>
        <v>Pending</v>
      </c>
      <c r="J341" s="6" t="str">
        <f>TRIM(Dataset!J341)</f>
        <v>TRK62422797</v>
      </c>
      <c r="K341" s="8" t="str">
        <f>TRIM(Dataset!K341)</f>
        <v>3</v>
      </c>
      <c r="L341" s="6" t="str">
        <f>Dataset!L341</f>
        <v>SAVE10</v>
      </c>
      <c r="M341" s="6" t="str">
        <f>TRIM(Dataset!M341)</f>
        <v>Instagram</v>
      </c>
      <c r="N341" s="10">
        <f>VALUE(TRIM(Dataset!N341))</f>
        <v>472.66</v>
      </c>
    </row>
    <row r="342" spans="1:14" x14ac:dyDescent="0.35">
      <c r="A342" s="6" t="str">
        <f>TRIM(Dataset!A342)</f>
        <v>ORD200340</v>
      </c>
      <c r="B342" s="4">
        <f>Dataset!B342</f>
        <v>45039</v>
      </c>
      <c r="C342" s="6" t="str">
        <f>TRIM(Dataset!C342)</f>
        <v>C76207</v>
      </c>
      <c r="D342" s="6" t="str">
        <f>TRIM(Dataset!D342)</f>
        <v>Laptop</v>
      </c>
      <c r="E342" s="13">
        <f>VALUE(TRIM(Dataset!E342))</f>
        <v>5</v>
      </c>
      <c r="F342" s="10">
        <f>VALUE(TRIM(Dataset!F342))</f>
        <v>521.25</v>
      </c>
      <c r="G342" s="6" t="str">
        <f>TRIM(Dataset!G342)</f>
        <v>826 Main St</v>
      </c>
      <c r="H342" s="6" t="str">
        <f>TRIM(Dataset!H342)</f>
        <v>Cash</v>
      </c>
      <c r="I342" s="6" t="str">
        <f>TRIM(Dataset!I342)</f>
        <v>Cancelled</v>
      </c>
      <c r="J342" s="6" t="str">
        <f>TRIM(Dataset!J342)</f>
        <v>TRK25569378</v>
      </c>
      <c r="K342" s="8" t="str">
        <f>TRIM(Dataset!K342)</f>
        <v>8</v>
      </c>
      <c r="L342" s="6" t="s">
        <v>4284</v>
      </c>
      <c r="M342" s="6" t="str">
        <f>TRIM(Dataset!M342)</f>
        <v>Email</v>
      </c>
      <c r="N342" s="10">
        <f>VALUE(TRIM(Dataset!N342))</f>
        <v>2606.25</v>
      </c>
    </row>
    <row r="343" spans="1:14" x14ac:dyDescent="0.35">
      <c r="A343" s="6" t="str">
        <f>TRIM(Dataset!A343)</f>
        <v>ORD200341</v>
      </c>
      <c r="B343" s="4">
        <f>Dataset!B343</f>
        <v>45558</v>
      </c>
      <c r="C343" s="6" t="str">
        <f>TRIM(Dataset!C343)</f>
        <v>C94671</v>
      </c>
      <c r="D343" s="6" t="str">
        <f>TRIM(Dataset!D343)</f>
        <v>Tablet</v>
      </c>
      <c r="E343" s="13">
        <f>VALUE(TRIM(Dataset!E343))</f>
        <v>1</v>
      </c>
      <c r="F343" s="10">
        <f>VALUE(TRIM(Dataset!F343))</f>
        <v>167.15</v>
      </c>
      <c r="G343" s="6" t="str">
        <f>TRIM(Dataset!G343)</f>
        <v>293 Main St</v>
      </c>
      <c r="H343" s="6" t="str">
        <f>TRIM(Dataset!H343)</f>
        <v>Gift Card</v>
      </c>
      <c r="I343" s="6" t="str">
        <f>TRIM(Dataset!I343)</f>
        <v>Shipped</v>
      </c>
      <c r="J343" s="6" t="str">
        <f>TRIM(Dataset!J343)</f>
        <v>TRK61357272</v>
      </c>
      <c r="K343" s="8" t="str">
        <f>TRIM(Dataset!K343)</f>
        <v>5</v>
      </c>
      <c r="L343" s="6" t="str">
        <f>Dataset!L343</f>
        <v>WINTER15</v>
      </c>
      <c r="M343" s="6" t="str">
        <f>TRIM(Dataset!M343)</f>
        <v>Email</v>
      </c>
      <c r="N343" s="10">
        <f>VALUE(TRIM(Dataset!N343))</f>
        <v>167.15</v>
      </c>
    </row>
    <row r="344" spans="1:14" x14ac:dyDescent="0.35">
      <c r="A344" s="6" t="str">
        <f>TRIM(Dataset!A344)</f>
        <v>ORD200342</v>
      </c>
      <c r="B344" s="4">
        <f>Dataset!B344</f>
        <v>45832</v>
      </c>
      <c r="C344" s="6" t="str">
        <f>TRIM(Dataset!C344)</f>
        <v>C69994</v>
      </c>
      <c r="D344" s="6" t="str">
        <f>TRIM(Dataset!D344)</f>
        <v>Monitor</v>
      </c>
      <c r="E344" s="13">
        <f>VALUE(TRIM(Dataset!E344))</f>
        <v>5</v>
      </c>
      <c r="F344" s="10">
        <f>VALUE(TRIM(Dataset!F344))</f>
        <v>466.42</v>
      </c>
      <c r="G344" s="6" t="str">
        <f>TRIM(Dataset!G344)</f>
        <v>619 Main St</v>
      </c>
      <c r="H344" s="6" t="str">
        <f>TRIM(Dataset!H344)</f>
        <v>Gift Card</v>
      </c>
      <c r="I344" s="6" t="str">
        <f>TRIM(Dataset!I344)</f>
        <v>Returned</v>
      </c>
      <c r="J344" s="6" t="str">
        <f>TRIM(Dataset!J344)</f>
        <v>TRK95935805</v>
      </c>
      <c r="K344" s="8" t="str">
        <f>TRIM(Dataset!K344)</f>
        <v>5</v>
      </c>
      <c r="L344" s="6" t="s">
        <v>4284</v>
      </c>
      <c r="M344" s="6" t="str">
        <f>TRIM(Dataset!M344)</f>
        <v>Referral</v>
      </c>
      <c r="N344" s="10">
        <f>VALUE(TRIM(Dataset!N344))</f>
        <v>2332.1</v>
      </c>
    </row>
    <row r="345" spans="1:14" x14ac:dyDescent="0.35">
      <c r="A345" s="6" t="str">
        <f>TRIM(Dataset!A345)</f>
        <v>ORD200343</v>
      </c>
      <c r="B345" s="4">
        <f>Dataset!B345</f>
        <v>44983</v>
      </c>
      <c r="C345" s="6" t="str">
        <f>TRIM(Dataset!C345)</f>
        <v>C64638</v>
      </c>
      <c r="D345" s="6" t="str">
        <f>TRIM(Dataset!D345)</f>
        <v>Printer</v>
      </c>
      <c r="E345" s="13">
        <f>VALUE(TRIM(Dataset!E345))</f>
        <v>1</v>
      </c>
      <c r="F345" s="10">
        <f>VALUE(TRIM(Dataset!F345))</f>
        <v>527.57000000000005</v>
      </c>
      <c r="G345" s="6" t="str">
        <f>TRIM(Dataset!G345)</f>
        <v>919 Main St</v>
      </c>
      <c r="H345" s="6" t="str">
        <f>TRIM(Dataset!H345)</f>
        <v>Debit Card</v>
      </c>
      <c r="I345" s="6" t="str">
        <f>TRIM(Dataset!I345)</f>
        <v>Pending</v>
      </c>
      <c r="J345" s="6" t="str">
        <f>TRIM(Dataset!J345)</f>
        <v>TRK64087938</v>
      </c>
      <c r="K345" s="8" t="str">
        <f>TRIM(Dataset!K345)</f>
        <v>3</v>
      </c>
      <c r="L345" s="6" t="str">
        <f>Dataset!L345</f>
        <v>FREESHIP</v>
      </c>
      <c r="M345" s="6" t="str">
        <f>TRIM(Dataset!M345)</f>
        <v>Facebook</v>
      </c>
      <c r="N345" s="10">
        <f>VALUE(TRIM(Dataset!N345))</f>
        <v>527.57000000000005</v>
      </c>
    </row>
    <row r="346" spans="1:14" x14ac:dyDescent="0.35">
      <c r="A346" s="6" t="str">
        <f>TRIM(Dataset!A346)</f>
        <v>ORD200344</v>
      </c>
      <c r="B346" s="4">
        <f>Dataset!B346</f>
        <v>45722</v>
      </c>
      <c r="C346" s="6" t="str">
        <f>TRIM(Dataset!C346)</f>
        <v>C95623</v>
      </c>
      <c r="D346" s="6" t="str">
        <f>TRIM(Dataset!D346)</f>
        <v>Tablet</v>
      </c>
      <c r="E346" s="13">
        <f>VALUE(TRIM(Dataset!E346))</f>
        <v>3</v>
      </c>
      <c r="F346" s="10">
        <f>VALUE(TRIM(Dataset!F346))</f>
        <v>623.34</v>
      </c>
      <c r="G346" s="6" t="str">
        <f>TRIM(Dataset!G346)</f>
        <v>248 Main St</v>
      </c>
      <c r="H346" s="6" t="str">
        <f>TRIM(Dataset!H346)</f>
        <v>Online</v>
      </c>
      <c r="I346" s="6" t="str">
        <f>TRIM(Dataset!I346)</f>
        <v>Cancelled</v>
      </c>
      <c r="J346" s="6" t="str">
        <f>TRIM(Dataset!J346)</f>
        <v>TRK67558189</v>
      </c>
      <c r="K346" s="8" t="str">
        <f>TRIM(Dataset!K346)</f>
        <v>3</v>
      </c>
      <c r="L346" s="6" t="str">
        <f>Dataset!L346</f>
        <v>SAVE10</v>
      </c>
      <c r="M346" s="6" t="str">
        <f>TRIM(Dataset!M346)</f>
        <v>Instagram</v>
      </c>
      <c r="N346" s="10">
        <f>VALUE(TRIM(Dataset!N346))</f>
        <v>1870.02</v>
      </c>
    </row>
    <row r="347" spans="1:14" x14ac:dyDescent="0.35">
      <c r="A347" s="6" t="str">
        <f>TRIM(Dataset!A347)</f>
        <v>ORD200345</v>
      </c>
      <c r="B347" s="4">
        <f>Dataset!B347</f>
        <v>45267</v>
      </c>
      <c r="C347" s="6" t="str">
        <f>TRIM(Dataset!C347)</f>
        <v>C24751</v>
      </c>
      <c r="D347" s="6" t="str">
        <f>TRIM(Dataset!D347)</f>
        <v>Tablet</v>
      </c>
      <c r="E347" s="13">
        <f>VALUE(TRIM(Dataset!E347))</f>
        <v>5</v>
      </c>
      <c r="F347" s="10">
        <f>VALUE(TRIM(Dataset!F347))</f>
        <v>501.26</v>
      </c>
      <c r="G347" s="6" t="str">
        <f>TRIM(Dataset!G347)</f>
        <v>259 Main St</v>
      </c>
      <c r="H347" s="6" t="str">
        <f>TRIM(Dataset!H347)</f>
        <v>Gift Card</v>
      </c>
      <c r="I347" s="6" t="str">
        <f>TRIM(Dataset!I347)</f>
        <v>Shipped</v>
      </c>
      <c r="J347" s="6" t="str">
        <f>TRIM(Dataset!J347)</f>
        <v>TRK37285406</v>
      </c>
      <c r="K347" s="8" t="str">
        <f>TRIM(Dataset!K347)</f>
        <v>10</v>
      </c>
      <c r="L347" s="6" t="str">
        <f>Dataset!L347</f>
        <v>FREESHIP</v>
      </c>
      <c r="M347" s="6" t="str">
        <f>TRIM(Dataset!M347)</f>
        <v>Referral</v>
      </c>
      <c r="N347" s="10">
        <f>VALUE(TRIM(Dataset!N347))</f>
        <v>2506.3000000000002</v>
      </c>
    </row>
    <row r="348" spans="1:14" x14ac:dyDescent="0.35">
      <c r="A348" s="6" t="str">
        <f>TRIM(Dataset!A348)</f>
        <v>ORD200346</v>
      </c>
      <c r="B348" s="4">
        <f>Dataset!B348</f>
        <v>45632</v>
      </c>
      <c r="C348" s="6" t="str">
        <f>TRIM(Dataset!C348)</f>
        <v>C31764</v>
      </c>
      <c r="D348" s="6" t="str">
        <f>TRIM(Dataset!D348)</f>
        <v>Tablet</v>
      </c>
      <c r="E348" s="13">
        <f>VALUE(TRIM(Dataset!E348))</f>
        <v>1</v>
      </c>
      <c r="F348" s="10">
        <f>VALUE(TRIM(Dataset!F348))</f>
        <v>655.09</v>
      </c>
      <c r="G348" s="6" t="str">
        <f>TRIM(Dataset!G348)</f>
        <v>876 Main St</v>
      </c>
      <c r="H348" s="6" t="str">
        <f>TRIM(Dataset!H348)</f>
        <v>Cash</v>
      </c>
      <c r="I348" s="6" t="str">
        <f>TRIM(Dataset!I348)</f>
        <v>Pending</v>
      </c>
      <c r="J348" s="6" t="str">
        <f>TRIM(Dataset!J348)</f>
        <v>TRK44680433</v>
      </c>
      <c r="K348" s="8" t="str">
        <f>TRIM(Dataset!K348)</f>
        <v>6</v>
      </c>
      <c r="L348" s="6" t="s">
        <v>4284</v>
      </c>
      <c r="M348" s="6" t="str">
        <f>TRIM(Dataset!M348)</f>
        <v>Referral</v>
      </c>
      <c r="N348" s="10">
        <f>VALUE(TRIM(Dataset!N348))</f>
        <v>655.09</v>
      </c>
    </row>
    <row r="349" spans="1:14" x14ac:dyDescent="0.35">
      <c r="A349" s="6" t="str">
        <f>TRIM(Dataset!A349)</f>
        <v>ORD200347</v>
      </c>
      <c r="B349" s="4">
        <f>Dataset!B349</f>
        <v>45325</v>
      </c>
      <c r="C349" s="6" t="str">
        <f>TRIM(Dataset!C349)</f>
        <v>C83556</v>
      </c>
      <c r="D349" s="6" t="str">
        <f>TRIM(Dataset!D349)</f>
        <v>Printer</v>
      </c>
      <c r="E349" s="13">
        <f>VALUE(TRIM(Dataset!E349))</f>
        <v>4</v>
      </c>
      <c r="F349" s="10">
        <f>VALUE(TRIM(Dataset!F349))</f>
        <v>264.79000000000002</v>
      </c>
      <c r="G349" s="6" t="str">
        <f>TRIM(Dataset!G349)</f>
        <v>380 Main St</v>
      </c>
      <c r="H349" s="6" t="str">
        <f>TRIM(Dataset!H349)</f>
        <v>Credit Card</v>
      </c>
      <c r="I349" s="6" t="str">
        <f>TRIM(Dataset!I349)</f>
        <v>Pending</v>
      </c>
      <c r="J349" s="6" t="str">
        <f>TRIM(Dataset!J349)</f>
        <v>TRK21109187</v>
      </c>
      <c r="K349" s="8" t="str">
        <f>TRIM(Dataset!K349)</f>
        <v>5</v>
      </c>
      <c r="L349" s="6" t="str">
        <f>Dataset!L349</f>
        <v>SAVE10</v>
      </c>
      <c r="M349" s="6" t="str">
        <f>TRIM(Dataset!M349)</f>
        <v>Google</v>
      </c>
      <c r="N349" s="10">
        <f>VALUE(TRIM(Dataset!N349))</f>
        <v>1059.1600000000001</v>
      </c>
    </row>
    <row r="350" spans="1:14" x14ac:dyDescent="0.35">
      <c r="A350" s="6" t="str">
        <f>TRIM(Dataset!A350)</f>
        <v>ORD200348</v>
      </c>
      <c r="B350" s="4">
        <f>Dataset!B350</f>
        <v>45364</v>
      </c>
      <c r="C350" s="6" t="str">
        <f>TRIM(Dataset!C350)</f>
        <v>C24369</v>
      </c>
      <c r="D350" s="6" t="str">
        <f>TRIM(Dataset!D350)</f>
        <v>Laptop</v>
      </c>
      <c r="E350" s="13">
        <f>VALUE(TRIM(Dataset!E350))</f>
        <v>3</v>
      </c>
      <c r="F350" s="10">
        <f>VALUE(TRIM(Dataset!F350))</f>
        <v>359.73</v>
      </c>
      <c r="G350" s="6" t="str">
        <f>TRIM(Dataset!G350)</f>
        <v>885 Main St</v>
      </c>
      <c r="H350" s="6" t="str">
        <f>TRIM(Dataset!H350)</f>
        <v>Debit Card</v>
      </c>
      <c r="I350" s="6" t="str">
        <f>TRIM(Dataset!I350)</f>
        <v>Returned</v>
      </c>
      <c r="J350" s="6" t="str">
        <f>TRIM(Dataset!J350)</f>
        <v>TRK72633998</v>
      </c>
      <c r="K350" s="8" t="str">
        <f>TRIM(Dataset!K350)</f>
        <v>7</v>
      </c>
      <c r="L350" s="6" t="str">
        <f>Dataset!L350</f>
        <v>FREESHIP</v>
      </c>
      <c r="M350" s="6" t="str">
        <f>TRIM(Dataset!M350)</f>
        <v>Email</v>
      </c>
      <c r="N350" s="10">
        <f>VALUE(TRIM(Dataset!N350))</f>
        <v>1079.19</v>
      </c>
    </row>
    <row r="351" spans="1:14" x14ac:dyDescent="0.35">
      <c r="A351" s="6" t="str">
        <f>TRIM(Dataset!A351)</f>
        <v>ORD200349</v>
      </c>
      <c r="B351" s="4">
        <f>Dataset!B351</f>
        <v>45260</v>
      </c>
      <c r="C351" s="6" t="str">
        <f>TRIM(Dataset!C351)</f>
        <v>C39648</v>
      </c>
      <c r="D351" s="6" t="str">
        <f>TRIM(Dataset!D351)</f>
        <v>Chair</v>
      </c>
      <c r="E351" s="13">
        <f>VALUE(TRIM(Dataset!E351))</f>
        <v>1</v>
      </c>
      <c r="F351" s="10">
        <f>VALUE(TRIM(Dataset!F351))</f>
        <v>465.33</v>
      </c>
      <c r="G351" s="6" t="str">
        <f>TRIM(Dataset!G351)</f>
        <v>824 Main St</v>
      </c>
      <c r="H351" s="6" t="str">
        <f>TRIM(Dataset!H351)</f>
        <v>Gift Card</v>
      </c>
      <c r="I351" s="6" t="str">
        <f>TRIM(Dataset!I351)</f>
        <v>Delivered</v>
      </c>
      <c r="J351" s="6" t="str">
        <f>TRIM(Dataset!J351)</f>
        <v>TRK56016905</v>
      </c>
      <c r="K351" s="8" t="str">
        <f>TRIM(Dataset!K351)</f>
        <v>2</v>
      </c>
      <c r="L351" s="6" t="str">
        <f>Dataset!L351</f>
        <v>FREESHIP</v>
      </c>
      <c r="M351" s="6" t="str">
        <f>TRIM(Dataset!M351)</f>
        <v>Google</v>
      </c>
      <c r="N351" s="10">
        <f>VALUE(TRIM(Dataset!N351))</f>
        <v>465.33</v>
      </c>
    </row>
    <row r="352" spans="1:14" x14ac:dyDescent="0.35">
      <c r="A352" s="6" t="str">
        <f>TRIM(Dataset!A352)</f>
        <v>ORD200350</v>
      </c>
      <c r="B352" s="4">
        <f>Dataset!B352</f>
        <v>45080</v>
      </c>
      <c r="C352" s="6" t="str">
        <f>TRIM(Dataset!C352)</f>
        <v>C13296</v>
      </c>
      <c r="D352" s="6" t="str">
        <f>TRIM(Dataset!D352)</f>
        <v>Chair</v>
      </c>
      <c r="E352" s="13">
        <f>VALUE(TRIM(Dataset!E352))</f>
        <v>2</v>
      </c>
      <c r="F352" s="10">
        <f>VALUE(TRIM(Dataset!F352))</f>
        <v>54.41</v>
      </c>
      <c r="G352" s="6" t="str">
        <f>TRIM(Dataset!G352)</f>
        <v>495 Main St</v>
      </c>
      <c r="H352" s="6" t="str">
        <f>TRIM(Dataset!H352)</f>
        <v>Online</v>
      </c>
      <c r="I352" s="6" t="str">
        <f>TRIM(Dataset!I352)</f>
        <v>Shipped</v>
      </c>
      <c r="J352" s="6" t="str">
        <f>TRIM(Dataset!J352)</f>
        <v>TRK60127216</v>
      </c>
      <c r="K352" s="8" t="str">
        <f>TRIM(Dataset!K352)</f>
        <v>6</v>
      </c>
      <c r="L352" s="6" t="s">
        <v>4284</v>
      </c>
      <c r="M352" s="6" t="str">
        <f>TRIM(Dataset!M352)</f>
        <v>Instagram</v>
      </c>
      <c r="N352" s="10">
        <f>VALUE(TRIM(Dataset!N352))</f>
        <v>108.82</v>
      </c>
    </row>
    <row r="353" spans="1:14" x14ac:dyDescent="0.35">
      <c r="A353" s="6" t="str">
        <f>TRIM(Dataset!A353)</f>
        <v>ORD200351</v>
      </c>
      <c r="B353" s="4">
        <f>Dataset!B353</f>
        <v>45703</v>
      </c>
      <c r="C353" s="6" t="str">
        <f>TRIM(Dataset!C353)</f>
        <v>C94248</v>
      </c>
      <c r="D353" s="6" t="str">
        <f>TRIM(Dataset!D353)</f>
        <v>Laptop</v>
      </c>
      <c r="E353" s="13">
        <f>VALUE(TRIM(Dataset!E353))</f>
        <v>1</v>
      </c>
      <c r="F353" s="10">
        <f>VALUE(TRIM(Dataset!F353))</f>
        <v>64.66</v>
      </c>
      <c r="G353" s="6" t="str">
        <f>TRIM(Dataset!G353)</f>
        <v>494 Main St</v>
      </c>
      <c r="H353" s="6" t="str">
        <f>TRIM(Dataset!H353)</f>
        <v>Debit Card</v>
      </c>
      <c r="I353" s="6" t="str">
        <f>TRIM(Dataset!I353)</f>
        <v>Delivered</v>
      </c>
      <c r="J353" s="6" t="str">
        <f>TRIM(Dataset!J353)</f>
        <v>TRK89406816</v>
      </c>
      <c r="K353" s="8" t="str">
        <f>TRIM(Dataset!K353)</f>
        <v>4</v>
      </c>
      <c r="L353" s="6" t="s">
        <v>4284</v>
      </c>
      <c r="M353" s="6" t="str">
        <f>TRIM(Dataset!M353)</f>
        <v>Instagram</v>
      </c>
      <c r="N353" s="10">
        <f>VALUE(TRIM(Dataset!N353))</f>
        <v>64.66</v>
      </c>
    </row>
    <row r="354" spans="1:14" x14ac:dyDescent="0.35">
      <c r="A354" s="6" t="str">
        <f>TRIM(Dataset!A354)</f>
        <v>ORD200352</v>
      </c>
      <c r="B354" s="4">
        <f>Dataset!B354</f>
        <v>45169</v>
      </c>
      <c r="C354" s="6" t="str">
        <f>TRIM(Dataset!C354)</f>
        <v>C26637</v>
      </c>
      <c r="D354" s="6" t="str">
        <f>TRIM(Dataset!D354)</f>
        <v>Chair</v>
      </c>
      <c r="E354" s="13">
        <f>VALUE(TRIM(Dataset!E354))</f>
        <v>5</v>
      </c>
      <c r="F354" s="10">
        <f>VALUE(TRIM(Dataset!F354))</f>
        <v>173.96</v>
      </c>
      <c r="G354" s="6" t="str">
        <f>TRIM(Dataset!G354)</f>
        <v>995 Main St</v>
      </c>
      <c r="H354" s="6" t="str">
        <f>TRIM(Dataset!H354)</f>
        <v>Debit Card</v>
      </c>
      <c r="I354" s="6" t="str">
        <f>TRIM(Dataset!I354)</f>
        <v>Pending</v>
      </c>
      <c r="J354" s="6" t="str">
        <f>TRIM(Dataset!J354)</f>
        <v>TRK59546992</v>
      </c>
      <c r="K354" s="8" t="str">
        <f>TRIM(Dataset!K354)</f>
        <v>8</v>
      </c>
      <c r="L354" s="6" t="str">
        <f>Dataset!L354</f>
        <v>WINTER15</v>
      </c>
      <c r="M354" s="6" t="str">
        <f>TRIM(Dataset!M354)</f>
        <v>Instagram</v>
      </c>
      <c r="N354" s="10">
        <f>VALUE(TRIM(Dataset!N354))</f>
        <v>869.8</v>
      </c>
    </row>
    <row r="355" spans="1:14" x14ac:dyDescent="0.35">
      <c r="A355" s="6" t="str">
        <f>TRIM(Dataset!A355)</f>
        <v>ORD200353</v>
      </c>
      <c r="B355" s="4">
        <f>Dataset!B355</f>
        <v>45744</v>
      </c>
      <c r="C355" s="6" t="str">
        <f>TRIM(Dataset!C355)</f>
        <v>C16012</v>
      </c>
      <c r="D355" s="6" t="str">
        <f>TRIM(Dataset!D355)</f>
        <v>Tablet</v>
      </c>
      <c r="E355" s="13">
        <f>VALUE(TRIM(Dataset!E355))</f>
        <v>1</v>
      </c>
      <c r="F355" s="10">
        <f>VALUE(TRIM(Dataset!F355))</f>
        <v>630.82000000000005</v>
      </c>
      <c r="G355" s="6" t="str">
        <f>TRIM(Dataset!G355)</f>
        <v>171 Main St</v>
      </c>
      <c r="H355" s="6" t="str">
        <f>TRIM(Dataset!H355)</f>
        <v>Online</v>
      </c>
      <c r="I355" s="6" t="str">
        <f>TRIM(Dataset!I355)</f>
        <v>Delivered</v>
      </c>
      <c r="J355" s="6" t="str">
        <f>TRIM(Dataset!J355)</f>
        <v>TRK15195225</v>
      </c>
      <c r="K355" s="8" t="str">
        <f>TRIM(Dataset!K355)</f>
        <v>5</v>
      </c>
      <c r="L355" s="6" t="str">
        <f>Dataset!L355</f>
        <v>FREESHIP</v>
      </c>
      <c r="M355" s="6" t="str">
        <f>TRIM(Dataset!M355)</f>
        <v>Google</v>
      </c>
      <c r="N355" s="10">
        <f>VALUE(TRIM(Dataset!N355))</f>
        <v>630.82000000000005</v>
      </c>
    </row>
    <row r="356" spans="1:14" x14ac:dyDescent="0.35">
      <c r="A356" s="6" t="str">
        <f>TRIM(Dataset!A356)</f>
        <v>ORD200354</v>
      </c>
      <c r="B356" s="4">
        <f>Dataset!B356</f>
        <v>45118</v>
      </c>
      <c r="C356" s="6" t="str">
        <f>TRIM(Dataset!C356)</f>
        <v>C31772</v>
      </c>
      <c r="D356" s="6" t="str">
        <f>TRIM(Dataset!D356)</f>
        <v>Phone</v>
      </c>
      <c r="E356" s="13">
        <f>VALUE(TRIM(Dataset!E356))</f>
        <v>1</v>
      </c>
      <c r="F356" s="10">
        <f>VALUE(TRIM(Dataset!F356))</f>
        <v>693.41</v>
      </c>
      <c r="G356" s="6" t="str">
        <f>TRIM(Dataset!G356)</f>
        <v>992 Main St</v>
      </c>
      <c r="H356" s="6" t="str">
        <f>TRIM(Dataset!H356)</f>
        <v>Debit Card</v>
      </c>
      <c r="I356" s="6" t="str">
        <f>TRIM(Dataset!I356)</f>
        <v>Shipped</v>
      </c>
      <c r="J356" s="6" t="str">
        <f>TRIM(Dataset!J356)</f>
        <v>TRK11970357</v>
      </c>
      <c r="K356" s="8" t="str">
        <f>TRIM(Dataset!K356)</f>
        <v>4</v>
      </c>
      <c r="L356" s="6" t="s">
        <v>4284</v>
      </c>
      <c r="M356" s="6" t="str">
        <f>TRIM(Dataset!M356)</f>
        <v>Instagram</v>
      </c>
      <c r="N356" s="10">
        <f>VALUE(TRIM(Dataset!N356))</f>
        <v>693.41</v>
      </c>
    </row>
    <row r="357" spans="1:14" x14ac:dyDescent="0.35">
      <c r="A357" s="6" t="str">
        <f>TRIM(Dataset!A357)</f>
        <v>ORD200355</v>
      </c>
      <c r="B357" s="4">
        <f>Dataset!B357</f>
        <v>45811</v>
      </c>
      <c r="C357" s="6" t="str">
        <f>TRIM(Dataset!C357)</f>
        <v>C18353</v>
      </c>
      <c r="D357" s="6" t="str">
        <f>TRIM(Dataset!D357)</f>
        <v>Tablet</v>
      </c>
      <c r="E357" s="13">
        <f>VALUE(TRIM(Dataset!E357))</f>
        <v>3</v>
      </c>
      <c r="F357" s="10">
        <f>VALUE(TRIM(Dataset!F357))</f>
        <v>433.33</v>
      </c>
      <c r="G357" s="6" t="str">
        <f>TRIM(Dataset!G357)</f>
        <v>677 Main St</v>
      </c>
      <c r="H357" s="6" t="str">
        <f>TRIM(Dataset!H357)</f>
        <v>Credit Card</v>
      </c>
      <c r="I357" s="6" t="str">
        <f>TRIM(Dataset!I357)</f>
        <v>Cancelled</v>
      </c>
      <c r="J357" s="6" t="str">
        <f>TRIM(Dataset!J357)</f>
        <v>TRK78766533</v>
      </c>
      <c r="K357" s="8" t="str">
        <f>TRIM(Dataset!K357)</f>
        <v>4</v>
      </c>
      <c r="L357" s="6" t="str">
        <f>Dataset!L357</f>
        <v>FREESHIP</v>
      </c>
      <c r="M357" s="6" t="str">
        <f>TRIM(Dataset!M357)</f>
        <v>Referral</v>
      </c>
      <c r="N357" s="10">
        <f>VALUE(TRIM(Dataset!N357))</f>
        <v>1299.99</v>
      </c>
    </row>
    <row r="358" spans="1:14" x14ac:dyDescent="0.35">
      <c r="A358" s="6" t="str">
        <f>TRIM(Dataset!A358)</f>
        <v>ORD200356</v>
      </c>
      <c r="B358" s="4">
        <f>Dataset!B358</f>
        <v>45052</v>
      </c>
      <c r="C358" s="6" t="str">
        <f>TRIM(Dataset!C358)</f>
        <v>C26966</v>
      </c>
      <c r="D358" s="6" t="str">
        <f>TRIM(Dataset!D358)</f>
        <v>Printer</v>
      </c>
      <c r="E358" s="13">
        <f>VALUE(TRIM(Dataset!E358))</f>
        <v>5</v>
      </c>
      <c r="F358" s="10">
        <f>VALUE(TRIM(Dataset!F358))</f>
        <v>374.58</v>
      </c>
      <c r="G358" s="6" t="str">
        <f>TRIM(Dataset!G358)</f>
        <v>907 Main St</v>
      </c>
      <c r="H358" s="6" t="str">
        <f>TRIM(Dataset!H358)</f>
        <v>Gift Card</v>
      </c>
      <c r="I358" s="6" t="str">
        <f>TRIM(Dataset!I358)</f>
        <v>Cancelled</v>
      </c>
      <c r="J358" s="6" t="str">
        <f>TRIM(Dataset!J358)</f>
        <v>TRK83889574</v>
      </c>
      <c r="K358" s="8" t="str">
        <f>TRIM(Dataset!K358)</f>
        <v>10</v>
      </c>
      <c r="L358" s="6" t="str">
        <f>Dataset!L358</f>
        <v>FREESHIP</v>
      </c>
      <c r="M358" s="6" t="str">
        <f>TRIM(Dataset!M358)</f>
        <v>Instagram</v>
      </c>
      <c r="N358" s="10">
        <f>VALUE(TRIM(Dataset!N358))</f>
        <v>1872.9</v>
      </c>
    </row>
    <row r="359" spans="1:14" x14ac:dyDescent="0.35">
      <c r="A359" s="6" t="str">
        <f>TRIM(Dataset!A359)</f>
        <v>ORD200357</v>
      </c>
      <c r="B359" s="4">
        <f>Dataset!B359</f>
        <v>45115</v>
      </c>
      <c r="C359" s="6" t="str">
        <f>TRIM(Dataset!C359)</f>
        <v>C74982</v>
      </c>
      <c r="D359" s="6" t="str">
        <f>TRIM(Dataset!D359)</f>
        <v>Laptop</v>
      </c>
      <c r="E359" s="13">
        <f>VALUE(TRIM(Dataset!E359))</f>
        <v>5</v>
      </c>
      <c r="F359" s="10">
        <f>VALUE(TRIM(Dataset!F359))</f>
        <v>408.56</v>
      </c>
      <c r="G359" s="6" t="str">
        <f>TRIM(Dataset!G359)</f>
        <v>398 Main St</v>
      </c>
      <c r="H359" s="6" t="str">
        <f>TRIM(Dataset!H359)</f>
        <v>Debit Card</v>
      </c>
      <c r="I359" s="6" t="str">
        <f>TRIM(Dataset!I359)</f>
        <v>Delivered</v>
      </c>
      <c r="J359" s="6" t="str">
        <f>TRIM(Dataset!J359)</f>
        <v>TRK98700702</v>
      </c>
      <c r="K359" s="8" t="str">
        <f>TRIM(Dataset!K359)</f>
        <v>8</v>
      </c>
      <c r="L359" s="6" t="str">
        <f>Dataset!L359</f>
        <v>FREESHIP</v>
      </c>
      <c r="M359" s="6" t="str">
        <f>TRIM(Dataset!M359)</f>
        <v>Instagram</v>
      </c>
      <c r="N359" s="10">
        <f>VALUE(TRIM(Dataset!N359))</f>
        <v>2042.8</v>
      </c>
    </row>
    <row r="360" spans="1:14" x14ac:dyDescent="0.35">
      <c r="A360" s="6" t="str">
        <f>TRIM(Dataset!A360)</f>
        <v>ORD200358</v>
      </c>
      <c r="B360" s="4">
        <f>Dataset!B360</f>
        <v>45389</v>
      </c>
      <c r="C360" s="6" t="str">
        <f>TRIM(Dataset!C360)</f>
        <v>C70633</v>
      </c>
      <c r="D360" s="6" t="str">
        <f>TRIM(Dataset!D360)</f>
        <v>Tablet</v>
      </c>
      <c r="E360" s="13">
        <f>VALUE(TRIM(Dataset!E360))</f>
        <v>2</v>
      </c>
      <c r="F360" s="10">
        <f>VALUE(TRIM(Dataset!F360))</f>
        <v>183.67</v>
      </c>
      <c r="G360" s="6" t="str">
        <f>TRIM(Dataset!G360)</f>
        <v>747 Main St</v>
      </c>
      <c r="H360" s="6" t="str">
        <f>TRIM(Dataset!H360)</f>
        <v>Online</v>
      </c>
      <c r="I360" s="6" t="str">
        <f>TRIM(Dataset!I360)</f>
        <v>Cancelled</v>
      </c>
      <c r="J360" s="6" t="str">
        <f>TRIM(Dataset!J360)</f>
        <v>TRK82540521</v>
      </c>
      <c r="K360" s="8" t="str">
        <f>TRIM(Dataset!K360)</f>
        <v>3</v>
      </c>
      <c r="L360" s="6" t="str">
        <f>Dataset!L360</f>
        <v>SAVE10</v>
      </c>
      <c r="M360" s="6" t="str">
        <f>TRIM(Dataset!M360)</f>
        <v>Google</v>
      </c>
      <c r="N360" s="10">
        <f>VALUE(TRIM(Dataset!N360))</f>
        <v>367.34</v>
      </c>
    </row>
    <row r="361" spans="1:14" x14ac:dyDescent="0.35">
      <c r="A361" s="6" t="str">
        <f>TRIM(Dataset!A361)</f>
        <v>ORD200359</v>
      </c>
      <c r="B361" s="4">
        <f>Dataset!B361</f>
        <v>45086</v>
      </c>
      <c r="C361" s="6" t="str">
        <f>TRIM(Dataset!C361)</f>
        <v>C95643</v>
      </c>
      <c r="D361" s="6" t="str">
        <f>TRIM(Dataset!D361)</f>
        <v>Desk</v>
      </c>
      <c r="E361" s="13">
        <f>VALUE(TRIM(Dataset!E361))</f>
        <v>4</v>
      </c>
      <c r="F361" s="10">
        <f>VALUE(TRIM(Dataset!F361))</f>
        <v>606.57000000000005</v>
      </c>
      <c r="G361" s="6" t="str">
        <f>TRIM(Dataset!G361)</f>
        <v>303 Main St</v>
      </c>
      <c r="H361" s="6" t="str">
        <f>TRIM(Dataset!H361)</f>
        <v>Debit Card</v>
      </c>
      <c r="I361" s="6" t="str">
        <f>TRIM(Dataset!I361)</f>
        <v>Delivered</v>
      </c>
      <c r="J361" s="6" t="str">
        <f>TRIM(Dataset!J361)</f>
        <v>TRK23286689</v>
      </c>
      <c r="K361" s="8" t="str">
        <f>TRIM(Dataset!K361)</f>
        <v>5</v>
      </c>
      <c r="L361" s="6" t="str">
        <f>Dataset!L361</f>
        <v>WINTER15</v>
      </c>
      <c r="M361" s="6" t="str">
        <f>TRIM(Dataset!M361)</f>
        <v>Referral</v>
      </c>
      <c r="N361" s="10">
        <f>VALUE(TRIM(Dataset!N361))</f>
        <v>2426.2800000000002</v>
      </c>
    </row>
    <row r="362" spans="1:14" x14ac:dyDescent="0.35">
      <c r="A362" s="6" t="str">
        <f>TRIM(Dataset!A362)</f>
        <v>ORD200360</v>
      </c>
      <c r="B362" s="4">
        <f>Dataset!B362</f>
        <v>45449</v>
      </c>
      <c r="C362" s="6" t="str">
        <f>TRIM(Dataset!C362)</f>
        <v>C53810</v>
      </c>
      <c r="D362" s="6" t="str">
        <f>TRIM(Dataset!D362)</f>
        <v>Phone</v>
      </c>
      <c r="E362" s="13">
        <f>VALUE(TRIM(Dataset!E362))</f>
        <v>4</v>
      </c>
      <c r="F362" s="10">
        <f>VALUE(TRIM(Dataset!F362))</f>
        <v>589.57000000000005</v>
      </c>
      <c r="G362" s="6" t="str">
        <f>TRIM(Dataset!G362)</f>
        <v>779 Main St</v>
      </c>
      <c r="H362" s="6" t="str">
        <f>TRIM(Dataset!H362)</f>
        <v>Cash</v>
      </c>
      <c r="I362" s="6" t="str">
        <f>TRIM(Dataset!I362)</f>
        <v>Pending</v>
      </c>
      <c r="J362" s="6" t="str">
        <f>TRIM(Dataset!J362)</f>
        <v>TRK34630612</v>
      </c>
      <c r="K362" s="8" t="str">
        <f>TRIM(Dataset!K362)</f>
        <v>8</v>
      </c>
      <c r="L362" s="6" t="s">
        <v>4284</v>
      </c>
      <c r="M362" s="6" t="str">
        <f>TRIM(Dataset!M362)</f>
        <v>Instagram</v>
      </c>
      <c r="N362" s="10">
        <f>VALUE(TRIM(Dataset!N362))</f>
        <v>2358.2800000000002</v>
      </c>
    </row>
    <row r="363" spans="1:14" x14ac:dyDescent="0.35">
      <c r="A363" s="6" t="str">
        <f>TRIM(Dataset!A363)</f>
        <v>ORD200361</v>
      </c>
      <c r="B363" s="4">
        <f>Dataset!B363</f>
        <v>45472</v>
      </c>
      <c r="C363" s="6" t="str">
        <f>TRIM(Dataset!C363)</f>
        <v>C53464</v>
      </c>
      <c r="D363" s="6" t="str">
        <f>TRIM(Dataset!D363)</f>
        <v>Printer</v>
      </c>
      <c r="E363" s="13">
        <f>VALUE(TRIM(Dataset!E363))</f>
        <v>5</v>
      </c>
      <c r="F363" s="10">
        <f>VALUE(TRIM(Dataset!F363))</f>
        <v>659.85</v>
      </c>
      <c r="G363" s="6" t="str">
        <f>TRIM(Dataset!G363)</f>
        <v>197 Main St</v>
      </c>
      <c r="H363" s="6" t="str">
        <f>TRIM(Dataset!H363)</f>
        <v>Credit Card</v>
      </c>
      <c r="I363" s="6" t="str">
        <f>TRIM(Dataset!I363)</f>
        <v>Delivered</v>
      </c>
      <c r="J363" s="6" t="str">
        <f>TRIM(Dataset!J363)</f>
        <v>TRK32743531</v>
      </c>
      <c r="K363" s="8" t="str">
        <f>TRIM(Dataset!K363)</f>
        <v>9</v>
      </c>
      <c r="L363" s="6" t="str">
        <f>Dataset!L363</f>
        <v>SAVE10</v>
      </c>
      <c r="M363" s="6" t="str">
        <f>TRIM(Dataset!M363)</f>
        <v>Facebook</v>
      </c>
      <c r="N363" s="10">
        <f>VALUE(TRIM(Dataset!N363))</f>
        <v>3299.25</v>
      </c>
    </row>
    <row r="364" spans="1:14" x14ac:dyDescent="0.35">
      <c r="A364" s="6" t="str">
        <f>TRIM(Dataset!A364)</f>
        <v>ORD200362</v>
      </c>
      <c r="B364" s="4">
        <f>Dataset!B364</f>
        <v>45104</v>
      </c>
      <c r="C364" s="6" t="str">
        <f>TRIM(Dataset!C364)</f>
        <v>C53697</v>
      </c>
      <c r="D364" s="6" t="str">
        <f>TRIM(Dataset!D364)</f>
        <v>Monitor</v>
      </c>
      <c r="E364" s="13">
        <f>VALUE(TRIM(Dataset!E364))</f>
        <v>4</v>
      </c>
      <c r="F364" s="10">
        <f>VALUE(TRIM(Dataset!F364))</f>
        <v>206.84</v>
      </c>
      <c r="G364" s="6" t="str">
        <f>TRIM(Dataset!G364)</f>
        <v>312 Main St</v>
      </c>
      <c r="H364" s="6" t="str">
        <f>TRIM(Dataset!H364)</f>
        <v>Cash</v>
      </c>
      <c r="I364" s="6" t="str">
        <f>TRIM(Dataset!I364)</f>
        <v>Cancelled</v>
      </c>
      <c r="J364" s="6" t="str">
        <f>TRIM(Dataset!J364)</f>
        <v>TRK60476656</v>
      </c>
      <c r="K364" s="8" t="str">
        <f>TRIM(Dataset!K364)</f>
        <v>5</v>
      </c>
      <c r="L364" s="6" t="str">
        <f>Dataset!L364</f>
        <v>WINTER15</v>
      </c>
      <c r="M364" s="6" t="str">
        <f>TRIM(Dataset!M364)</f>
        <v>Instagram</v>
      </c>
      <c r="N364" s="10">
        <f>VALUE(TRIM(Dataset!N364))</f>
        <v>827.36</v>
      </c>
    </row>
    <row r="365" spans="1:14" x14ac:dyDescent="0.35">
      <c r="A365" s="6" t="str">
        <f>TRIM(Dataset!A365)</f>
        <v>ORD200363</v>
      </c>
      <c r="B365" s="4">
        <f>Dataset!B365</f>
        <v>45436</v>
      </c>
      <c r="C365" s="6" t="str">
        <f>TRIM(Dataset!C365)</f>
        <v>C31668</v>
      </c>
      <c r="D365" s="6" t="str">
        <f>TRIM(Dataset!D365)</f>
        <v>Laptop</v>
      </c>
      <c r="E365" s="13">
        <f>VALUE(TRIM(Dataset!E365))</f>
        <v>5</v>
      </c>
      <c r="F365" s="10">
        <f>VALUE(TRIM(Dataset!F365))</f>
        <v>113.87</v>
      </c>
      <c r="G365" s="6" t="str">
        <f>TRIM(Dataset!G365)</f>
        <v>871 Main St</v>
      </c>
      <c r="H365" s="6" t="str">
        <f>TRIM(Dataset!H365)</f>
        <v>Credit Card</v>
      </c>
      <c r="I365" s="6" t="str">
        <f>TRIM(Dataset!I365)</f>
        <v>Pending</v>
      </c>
      <c r="J365" s="6" t="str">
        <f>TRIM(Dataset!J365)</f>
        <v>TRK42584392</v>
      </c>
      <c r="K365" s="8" t="str">
        <f>TRIM(Dataset!K365)</f>
        <v>6</v>
      </c>
      <c r="L365" s="6" t="str">
        <f>Dataset!L365</f>
        <v>SAVE10</v>
      </c>
      <c r="M365" s="6" t="str">
        <f>TRIM(Dataset!M365)</f>
        <v>Email</v>
      </c>
      <c r="N365" s="10">
        <f>VALUE(TRIM(Dataset!N365))</f>
        <v>569.35</v>
      </c>
    </row>
    <row r="366" spans="1:14" x14ac:dyDescent="0.35">
      <c r="A366" s="6" t="str">
        <f>TRIM(Dataset!A366)</f>
        <v>ORD200364</v>
      </c>
      <c r="B366" s="4">
        <f>Dataset!B366</f>
        <v>45254</v>
      </c>
      <c r="C366" s="6" t="str">
        <f>TRIM(Dataset!C366)</f>
        <v>C85282</v>
      </c>
      <c r="D366" s="6" t="str">
        <f>TRIM(Dataset!D366)</f>
        <v>Phone</v>
      </c>
      <c r="E366" s="13">
        <f>VALUE(TRIM(Dataset!E366))</f>
        <v>5</v>
      </c>
      <c r="F366" s="10">
        <f>VALUE(TRIM(Dataset!F366))</f>
        <v>628.74</v>
      </c>
      <c r="G366" s="6" t="str">
        <f>TRIM(Dataset!G366)</f>
        <v>740 Main St</v>
      </c>
      <c r="H366" s="6" t="str">
        <f>TRIM(Dataset!H366)</f>
        <v>Cash</v>
      </c>
      <c r="I366" s="6" t="str">
        <f>TRIM(Dataset!I366)</f>
        <v>Cancelled</v>
      </c>
      <c r="J366" s="6" t="str">
        <f>TRIM(Dataset!J366)</f>
        <v>TRK86767206</v>
      </c>
      <c r="K366" s="8" t="str">
        <f>TRIM(Dataset!K366)</f>
        <v>9</v>
      </c>
      <c r="L366" s="6" t="str">
        <f>Dataset!L366</f>
        <v>FREESHIP</v>
      </c>
      <c r="M366" s="6" t="str">
        <f>TRIM(Dataset!M366)</f>
        <v>Facebook</v>
      </c>
      <c r="N366" s="10">
        <f>VALUE(TRIM(Dataset!N366))</f>
        <v>3143.7</v>
      </c>
    </row>
    <row r="367" spans="1:14" x14ac:dyDescent="0.35">
      <c r="A367" s="6" t="str">
        <f>TRIM(Dataset!A367)</f>
        <v>ORD200365</v>
      </c>
      <c r="B367" s="4">
        <f>Dataset!B367</f>
        <v>45702</v>
      </c>
      <c r="C367" s="6" t="str">
        <f>TRIM(Dataset!C367)</f>
        <v>C56796</v>
      </c>
      <c r="D367" s="6" t="str">
        <f>TRIM(Dataset!D367)</f>
        <v>Phone</v>
      </c>
      <c r="E367" s="13">
        <f>VALUE(TRIM(Dataset!E367))</f>
        <v>1</v>
      </c>
      <c r="F367" s="10">
        <f>VALUE(TRIM(Dataset!F367))</f>
        <v>678.38</v>
      </c>
      <c r="G367" s="6" t="str">
        <f>TRIM(Dataset!G367)</f>
        <v>607 Main St</v>
      </c>
      <c r="H367" s="6" t="str">
        <f>TRIM(Dataset!H367)</f>
        <v>Credit Card</v>
      </c>
      <c r="I367" s="6" t="str">
        <f>TRIM(Dataset!I367)</f>
        <v>Cancelled</v>
      </c>
      <c r="J367" s="6" t="str">
        <f>TRIM(Dataset!J367)</f>
        <v>TRK74263180</v>
      </c>
      <c r="K367" s="8" t="str">
        <f>TRIM(Dataset!K367)</f>
        <v>4</v>
      </c>
      <c r="L367" s="6" t="str">
        <f>Dataset!L367</f>
        <v>SAVE10</v>
      </c>
      <c r="M367" s="6" t="str">
        <f>TRIM(Dataset!M367)</f>
        <v>Referral</v>
      </c>
      <c r="N367" s="10">
        <f>VALUE(TRIM(Dataset!N367))</f>
        <v>678.38</v>
      </c>
    </row>
    <row r="368" spans="1:14" x14ac:dyDescent="0.35">
      <c r="A368" s="6" t="str">
        <f>TRIM(Dataset!A368)</f>
        <v>ORD200366</v>
      </c>
      <c r="B368" s="4">
        <f>Dataset!B368</f>
        <v>44967</v>
      </c>
      <c r="C368" s="6" t="str">
        <f>TRIM(Dataset!C368)</f>
        <v>C95213</v>
      </c>
      <c r="D368" s="6" t="str">
        <f>TRIM(Dataset!D368)</f>
        <v>Printer</v>
      </c>
      <c r="E368" s="13">
        <f>VALUE(TRIM(Dataset!E368))</f>
        <v>3</v>
      </c>
      <c r="F368" s="10">
        <f>VALUE(TRIM(Dataset!F368))</f>
        <v>602.24</v>
      </c>
      <c r="G368" s="6" t="str">
        <f>TRIM(Dataset!G368)</f>
        <v>603 Main St</v>
      </c>
      <c r="H368" s="6" t="str">
        <f>TRIM(Dataset!H368)</f>
        <v>Debit Card</v>
      </c>
      <c r="I368" s="6" t="str">
        <f>TRIM(Dataset!I368)</f>
        <v>Pending</v>
      </c>
      <c r="J368" s="6" t="str">
        <f>TRIM(Dataset!J368)</f>
        <v>TRK40630538</v>
      </c>
      <c r="K368" s="8" t="str">
        <f>TRIM(Dataset!K368)</f>
        <v>8</v>
      </c>
      <c r="L368" s="6" t="s">
        <v>4284</v>
      </c>
      <c r="M368" s="6" t="str">
        <f>TRIM(Dataset!M368)</f>
        <v>Referral</v>
      </c>
      <c r="N368" s="10">
        <f>VALUE(TRIM(Dataset!N368))</f>
        <v>1806.72</v>
      </c>
    </row>
    <row r="369" spans="1:14" x14ac:dyDescent="0.35">
      <c r="A369" s="6" t="str">
        <f>TRIM(Dataset!A369)</f>
        <v>ORD200367</v>
      </c>
      <c r="B369" s="4">
        <f>Dataset!B369</f>
        <v>45407</v>
      </c>
      <c r="C369" s="6" t="str">
        <f>TRIM(Dataset!C369)</f>
        <v>C13108</v>
      </c>
      <c r="D369" s="6" t="str">
        <f>TRIM(Dataset!D369)</f>
        <v>Laptop</v>
      </c>
      <c r="E369" s="13">
        <f>VALUE(TRIM(Dataset!E369))</f>
        <v>5</v>
      </c>
      <c r="F369" s="10">
        <f>VALUE(TRIM(Dataset!F369))</f>
        <v>658.77</v>
      </c>
      <c r="G369" s="6" t="str">
        <f>TRIM(Dataset!G369)</f>
        <v>712 Main St</v>
      </c>
      <c r="H369" s="6" t="str">
        <f>TRIM(Dataset!H369)</f>
        <v>Gift Card</v>
      </c>
      <c r="I369" s="6" t="str">
        <f>TRIM(Dataset!I369)</f>
        <v>Pending</v>
      </c>
      <c r="J369" s="6" t="str">
        <f>TRIM(Dataset!J369)</f>
        <v>TRK82284400</v>
      </c>
      <c r="K369" s="8" t="str">
        <f>TRIM(Dataset!K369)</f>
        <v>10</v>
      </c>
      <c r="L369" s="6" t="str">
        <f>Dataset!L369</f>
        <v>FREESHIP</v>
      </c>
      <c r="M369" s="6" t="str">
        <f>TRIM(Dataset!M369)</f>
        <v>Instagram</v>
      </c>
      <c r="N369" s="10">
        <f>VALUE(TRIM(Dataset!N369))</f>
        <v>3293.85</v>
      </c>
    </row>
    <row r="370" spans="1:14" x14ac:dyDescent="0.35">
      <c r="A370" s="6" t="str">
        <f>TRIM(Dataset!A370)</f>
        <v>ORD200368</v>
      </c>
      <c r="B370" s="4">
        <f>Dataset!B370</f>
        <v>45047</v>
      </c>
      <c r="C370" s="6" t="str">
        <f>TRIM(Dataset!C370)</f>
        <v>C85322</v>
      </c>
      <c r="D370" s="6" t="str">
        <f>TRIM(Dataset!D370)</f>
        <v>Monitor</v>
      </c>
      <c r="E370" s="13">
        <f>VALUE(TRIM(Dataset!E370))</f>
        <v>3</v>
      </c>
      <c r="F370" s="10">
        <f>VALUE(TRIM(Dataset!F370))</f>
        <v>271.02</v>
      </c>
      <c r="G370" s="6" t="str">
        <f>TRIM(Dataset!G370)</f>
        <v>403 Main St</v>
      </c>
      <c r="H370" s="6" t="str">
        <f>TRIM(Dataset!H370)</f>
        <v>Credit Card</v>
      </c>
      <c r="I370" s="6" t="str">
        <f>TRIM(Dataset!I370)</f>
        <v>Cancelled</v>
      </c>
      <c r="J370" s="6" t="str">
        <f>TRIM(Dataset!J370)</f>
        <v>TRK89728869</v>
      </c>
      <c r="K370" s="8" t="str">
        <f>TRIM(Dataset!K370)</f>
        <v>6</v>
      </c>
      <c r="L370" s="6" t="s">
        <v>4284</v>
      </c>
      <c r="M370" s="6" t="str">
        <f>TRIM(Dataset!M370)</f>
        <v>Google</v>
      </c>
      <c r="N370" s="10">
        <f>VALUE(TRIM(Dataset!N370))</f>
        <v>813.06</v>
      </c>
    </row>
    <row r="371" spans="1:14" x14ac:dyDescent="0.35">
      <c r="A371" s="6" t="str">
        <f>TRIM(Dataset!A371)</f>
        <v>ORD200369</v>
      </c>
      <c r="B371" s="4">
        <f>Dataset!B371</f>
        <v>45648</v>
      </c>
      <c r="C371" s="6" t="str">
        <f>TRIM(Dataset!C371)</f>
        <v>C43545</v>
      </c>
      <c r="D371" s="6" t="str">
        <f>TRIM(Dataset!D371)</f>
        <v>Monitor</v>
      </c>
      <c r="E371" s="13">
        <f>VALUE(TRIM(Dataset!E371))</f>
        <v>5</v>
      </c>
      <c r="F371" s="10">
        <f>VALUE(TRIM(Dataset!F371))</f>
        <v>375.25</v>
      </c>
      <c r="G371" s="6" t="str">
        <f>TRIM(Dataset!G371)</f>
        <v>216 Main St</v>
      </c>
      <c r="H371" s="6" t="str">
        <f>TRIM(Dataset!H371)</f>
        <v>Gift Card</v>
      </c>
      <c r="I371" s="6" t="str">
        <f>TRIM(Dataset!I371)</f>
        <v>Pending</v>
      </c>
      <c r="J371" s="6" t="str">
        <f>TRIM(Dataset!J371)</f>
        <v>TRK73937402</v>
      </c>
      <c r="K371" s="8" t="str">
        <f>TRIM(Dataset!K371)</f>
        <v>9</v>
      </c>
      <c r="L371" s="6" t="str">
        <f>Dataset!L371</f>
        <v>SAVE10</v>
      </c>
      <c r="M371" s="6" t="str">
        <f>TRIM(Dataset!M371)</f>
        <v>Email</v>
      </c>
      <c r="N371" s="10">
        <f>VALUE(TRIM(Dataset!N371))</f>
        <v>1876.25</v>
      </c>
    </row>
    <row r="372" spans="1:14" x14ac:dyDescent="0.35">
      <c r="A372" s="6" t="str">
        <f>TRIM(Dataset!A372)</f>
        <v>ORD200370</v>
      </c>
      <c r="B372" s="4">
        <f>Dataset!B372</f>
        <v>45780</v>
      </c>
      <c r="C372" s="6" t="str">
        <f>TRIM(Dataset!C372)</f>
        <v>C80649</v>
      </c>
      <c r="D372" s="6" t="str">
        <f>TRIM(Dataset!D372)</f>
        <v>Phone</v>
      </c>
      <c r="E372" s="13">
        <f>VALUE(TRIM(Dataset!E372))</f>
        <v>1</v>
      </c>
      <c r="F372" s="10">
        <f>VALUE(TRIM(Dataset!F372))</f>
        <v>312.11</v>
      </c>
      <c r="G372" s="6" t="str">
        <f>TRIM(Dataset!G372)</f>
        <v>870 Main St</v>
      </c>
      <c r="H372" s="6" t="str">
        <f>TRIM(Dataset!H372)</f>
        <v>Online</v>
      </c>
      <c r="I372" s="6" t="str">
        <f>TRIM(Dataset!I372)</f>
        <v>Cancelled</v>
      </c>
      <c r="J372" s="6" t="str">
        <f>TRIM(Dataset!J372)</f>
        <v>TRK41143313</v>
      </c>
      <c r="K372" s="8" t="str">
        <f>TRIM(Dataset!K372)</f>
        <v>4</v>
      </c>
      <c r="L372" s="6" t="str">
        <f>Dataset!L372</f>
        <v>WINTER15</v>
      </c>
      <c r="M372" s="6" t="str">
        <f>TRIM(Dataset!M372)</f>
        <v>Facebook</v>
      </c>
      <c r="N372" s="10">
        <f>VALUE(TRIM(Dataset!N372))</f>
        <v>312.11</v>
      </c>
    </row>
    <row r="373" spans="1:14" x14ac:dyDescent="0.35">
      <c r="A373" s="6" t="str">
        <f>TRIM(Dataset!A373)</f>
        <v>ORD200371</v>
      </c>
      <c r="B373" s="4">
        <f>Dataset!B373</f>
        <v>44931</v>
      </c>
      <c r="C373" s="6" t="str">
        <f>TRIM(Dataset!C373)</f>
        <v>C59752</v>
      </c>
      <c r="D373" s="6" t="str">
        <f>TRIM(Dataset!D373)</f>
        <v>Phone</v>
      </c>
      <c r="E373" s="13">
        <f>VALUE(TRIM(Dataset!E373))</f>
        <v>5</v>
      </c>
      <c r="F373" s="10">
        <f>VALUE(TRIM(Dataset!F373))</f>
        <v>307.76</v>
      </c>
      <c r="G373" s="6" t="str">
        <f>TRIM(Dataset!G373)</f>
        <v>179 Main St</v>
      </c>
      <c r="H373" s="6" t="str">
        <f>TRIM(Dataset!H373)</f>
        <v>Gift Card</v>
      </c>
      <c r="I373" s="6" t="str">
        <f>TRIM(Dataset!I373)</f>
        <v>Pending</v>
      </c>
      <c r="J373" s="6" t="str">
        <f>TRIM(Dataset!J373)</f>
        <v>TRK82229639</v>
      </c>
      <c r="K373" s="8" t="str">
        <f>TRIM(Dataset!K373)</f>
        <v>9</v>
      </c>
      <c r="L373" s="6" t="str">
        <f>Dataset!L373</f>
        <v>FREESHIP</v>
      </c>
      <c r="M373" s="6" t="str">
        <f>TRIM(Dataset!M373)</f>
        <v>Google</v>
      </c>
      <c r="N373" s="10">
        <f>VALUE(TRIM(Dataset!N373))</f>
        <v>1538.8</v>
      </c>
    </row>
    <row r="374" spans="1:14" x14ac:dyDescent="0.35">
      <c r="A374" s="6" t="str">
        <f>TRIM(Dataset!A374)</f>
        <v>ORD200372</v>
      </c>
      <c r="B374" s="4">
        <f>Dataset!B374</f>
        <v>45702</v>
      </c>
      <c r="C374" s="6" t="str">
        <f>TRIM(Dataset!C374)</f>
        <v>C53645</v>
      </c>
      <c r="D374" s="6" t="str">
        <f>TRIM(Dataset!D374)</f>
        <v>Chair</v>
      </c>
      <c r="E374" s="13">
        <f>VALUE(TRIM(Dataset!E374))</f>
        <v>3</v>
      </c>
      <c r="F374" s="10">
        <f>VALUE(TRIM(Dataset!F374))</f>
        <v>483.53</v>
      </c>
      <c r="G374" s="6" t="str">
        <f>TRIM(Dataset!G374)</f>
        <v>166 Main St</v>
      </c>
      <c r="H374" s="6" t="str">
        <f>TRIM(Dataset!H374)</f>
        <v>Cash</v>
      </c>
      <c r="I374" s="6" t="str">
        <f>TRIM(Dataset!I374)</f>
        <v>Returned</v>
      </c>
      <c r="J374" s="6" t="str">
        <f>TRIM(Dataset!J374)</f>
        <v>TRK12123939</v>
      </c>
      <c r="K374" s="8" t="str">
        <f>TRIM(Dataset!K374)</f>
        <v>4</v>
      </c>
      <c r="L374" s="6" t="s">
        <v>4284</v>
      </c>
      <c r="M374" s="6" t="str">
        <f>TRIM(Dataset!M374)</f>
        <v>Referral</v>
      </c>
      <c r="N374" s="10">
        <f>VALUE(TRIM(Dataset!N374))</f>
        <v>1450.59</v>
      </c>
    </row>
    <row r="375" spans="1:14" x14ac:dyDescent="0.35">
      <c r="A375" s="6" t="str">
        <f>TRIM(Dataset!A375)</f>
        <v>ORD200373</v>
      </c>
      <c r="B375" s="4">
        <f>Dataset!B375</f>
        <v>44928</v>
      </c>
      <c r="C375" s="6" t="str">
        <f>TRIM(Dataset!C375)</f>
        <v>C60178</v>
      </c>
      <c r="D375" s="6" t="str">
        <f>TRIM(Dataset!D375)</f>
        <v>Laptop</v>
      </c>
      <c r="E375" s="13">
        <f>VALUE(TRIM(Dataset!E375))</f>
        <v>3</v>
      </c>
      <c r="F375" s="10">
        <f>VALUE(TRIM(Dataset!F375))</f>
        <v>341.15</v>
      </c>
      <c r="G375" s="6" t="str">
        <f>TRIM(Dataset!G375)</f>
        <v>969 Main St</v>
      </c>
      <c r="H375" s="6" t="str">
        <f>TRIM(Dataset!H375)</f>
        <v>Cash</v>
      </c>
      <c r="I375" s="6" t="str">
        <f>TRIM(Dataset!I375)</f>
        <v>Pending</v>
      </c>
      <c r="J375" s="6" t="str">
        <f>TRIM(Dataset!J375)</f>
        <v>TRK84505143</v>
      </c>
      <c r="K375" s="8" t="str">
        <f>TRIM(Dataset!K375)</f>
        <v>4</v>
      </c>
      <c r="L375" s="6" t="str">
        <f>Dataset!L375</f>
        <v>FREESHIP</v>
      </c>
      <c r="M375" s="6" t="str">
        <f>TRIM(Dataset!M375)</f>
        <v>Instagram</v>
      </c>
      <c r="N375" s="10">
        <f>VALUE(TRIM(Dataset!N375))</f>
        <v>1023.45</v>
      </c>
    </row>
    <row r="376" spans="1:14" x14ac:dyDescent="0.35">
      <c r="A376" s="6" t="str">
        <f>TRIM(Dataset!A376)</f>
        <v>ORD200374</v>
      </c>
      <c r="B376" s="4">
        <f>Dataset!B376</f>
        <v>45551</v>
      </c>
      <c r="C376" s="6" t="str">
        <f>TRIM(Dataset!C376)</f>
        <v>C20286</v>
      </c>
      <c r="D376" s="6" t="str">
        <f>TRIM(Dataset!D376)</f>
        <v>Monitor</v>
      </c>
      <c r="E376" s="13">
        <f>VALUE(TRIM(Dataset!E376))</f>
        <v>1</v>
      </c>
      <c r="F376" s="10">
        <f>VALUE(TRIM(Dataset!F376))</f>
        <v>571.9</v>
      </c>
      <c r="G376" s="6" t="str">
        <f>TRIM(Dataset!G376)</f>
        <v>129 Main St</v>
      </c>
      <c r="H376" s="6" t="str">
        <f>TRIM(Dataset!H376)</f>
        <v>Gift Card</v>
      </c>
      <c r="I376" s="6" t="str">
        <f>TRIM(Dataset!I376)</f>
        <v>Pending</v>
      </c>
      <c r="J376" s="6" t="str">
        <f>TRIM(Dataset!J376)</f>
        <v>TRK67648338</v>
      </c>
      <c r="K376" s="8" t="str">
        <f>TRIM(Dataset!K376)</f>
        <v>1</v>
      </c>
      <c r="L376" s="6" t="str">
        <f>Dataset!L376</f>
        <v>WINTER15</v>
      </c>
      <c r="M376" s="6" t="str">
        <f>TRIM(Dataset!M376)</f>
        <v>Instagram</v>
      </c>
      <c r="N376" s="10">
        <f>VALUE(TRIM(Dataset!N376))</f>
        <v>571.9</v>
      </c>
    </row>
    <row r="377" spans="1:14" x14ac:dyDescent="0.35">
      <c r="A377" s="6" t="str">
        <f>TRIM(Dataset!A377)</f>
        <v>ORD200375</v>
      </c>
      <c r="B377" s="4">
        <f>Dataset!B377</f>
        <v>45673</v>
      </c>
      <c r="C377" s="6" t="str">
        <f>TRIM(Dataset!C377)</f>
        <v>C87547</v>
      </c>
      <c r="D377" s="6" t="str">
        <f>TRIM(Dataset!D377)</f>
        <v>Monitor</v>
      </c>
      <c r="E377" s="13">
        <f>VALUE(TRIM(Dataset!E377))</f>
        <v>4</v>
      </c>
      <c r="F377" s="10">
        <f>VALUE(TRIM(Dataset!F377))</f>
        <v>95.03</v>
      </c>
      <c r="G377" s="6" t="str">
        <f>TRIM(Dataset!G377)</f>
        <v>400 Main St</v>
      </c>
      <c r="H377" s="6" t="str">
        <f>TRIM(Dataset!H377)</f>
        <v>Online</v>
      </c>
      <c r="I377" s="6" t="str">
        <f>TRIM(Dataset!I377)</f>
        <v>Shipped</v>
      </c>
      <c r="J377" s="6" t="str">
        <f>TRIM(Dataset!J377)</f>
        <v>TRK71027262</v>
      </c>
      <c r="K377" s="8" t="str">
        <f>TRIM(Dataset!K377)</f>
        <v>8</v>
      </c>
      <c r="L377" s="6" t="str">
        <f>Dataset!L377</f>
        <v>FREESHIP</v>
      </c>
      <c r="M377" s="6" t="str">
        <f>TRIM(Dataset!M377)</f>
        <v>Facebook</v>
      </c>
      <c r="N377" s="10">
        <f>VALUE(TRIM(Dataset!N377))</f>
        <v>380.12</v>
      </c>
    </row>
    <row r="378" spans="1:14" x14ac:dyDescent="0.35">
      <c r="A378" s="6" t="str">
        <f>TRIM(Dataset!A378)</f>
        <v>ORD200376</v>
      </c>
      <c r="B378" s="4">
        <f>Dataset!B378</f>
        <v>45162</v>
      </c>
      <c r="C378" s="6" t="str">
        <f>TRIM(Dataset!C378)</f>
        <v>C64549</v>
      </c>
      <c r="D378" s="6" t="str">
        <f>TRIM(Dataset!D378)</f>
        <v>Monitor</v>
      </c>
      <c r="E378" s="13">
        <f>VALUE(TRIM(Dataset!E378))</f>
        <v>5</v>
      </c>
      <c r="F378" s="10">
        <f>VALUE(TRIM(Dataset!F378))</f>
        <v>201.22</v>
      </c>
      <c r="G378" s="6" t="str">
        <f>TRIM(Dataset!G378)</f>
        <v>341 Main St</v>
      </c>
      <c r="H378" s="6" t="str">
        <f>TRIM(Dataset!H378)</f>
        <v>Debit Card</v>
      </c>
      <c r="I378" s="6" t="str">
        <f>TRIM(Dataset!I378)</f>
        <v>Pending</v>
      </c>
      <c r="J378" s="6" t="str">
        <f>TRIM(Dataset!J378)</f>
        <v>TRK20788231</v>
      </c>
      <c r="K378" s="8" t="str">
        <f>TRIM(Dataset!K378)</f>
        <v>6</v>
      </c>
      <c r="L378" s="6" t="str">
        <f>Dataset!L378</f>
        <v>FREESHIP</v>
      </c>
      <c r="M378" s="6" t="str">
        <f>TRIM(Dataset!M378)</f>
        <v>Facebook</v>
      </c>
      <c r="N378" s="10">
        <f>VALUE(TRIM(Dataset!N378))</f>
        <v>1006.1</v>
      </c>
    </row>
    <row r="379" spans="1:14" x14ac:dyDescent="0.35">
      <c r="A379" s="6" t="str">
        <f>TRIM(Dataset!A379)</f>
        <v>ORD200377</v>
      </c>
      <c r="B379" s="4">
        <f>Dataset!B379</f>
        <v>45495</v>
      </c>
      <c r="C379" s="6" t="str">
        <f>TRIM(Dataset!C379)</f>
        <v>C24884</v>
      </c>
      <c r="D379" s="6" t="str">
        <f>TRIM(Dataset!D379)</f>
        <v>Monitor</v>
      </c>
      <c r="E379" s="13">
        <f>VALUE(TRIM(Dataset!E379))</f>
        <v>1</v>
      </c>
      <c r="F379" s="10">
        <f>VALUE(TRIM(Dataset!F379))</f>
        <v>260.26</v>
      </c>
      <c r="G379" s="6" t="str">
        <f>TRIM(Dataset!G379)</f>
        <v>625 Main St</v>
      </c>
      <c r="H379" s="6" t="str">
        <f>TRIM(Dataset!H379)</f>
        <v>Online</v>
      </c>
      <c r="I379" s="6" t="str">
        <f>TRIM(Dataset!I379)</f>
        <v>Pending</v>
      </c>
      <c r="J379" s="6" t="str">
        <f>TRIM(Dataset!J379)</f>
        <v>TRK44538419</v>
      </c>
      <c r="K379" s="8" t="str">
        <f>TRIM(Dataset!K379)</f>
        <v>5</v>
      </c>
      <c r="L379" s="6" t="str">
        <f>Dataset!L379</f>
        <v>WINTER15</v>
      </c>
      <c r="M379" s="6" t="str">
        <f>TRIM(Dataset!M379)</f>
        <v>Instagram</v>
      </c>
      <c r="N379" s="10">
        <f>VALUE(TRIM(Dataset!N379))</f>
        <v>260.26</v>
      </c>
    </row>
    <row r="380" spans="1:14" x14ac:dyDescent="0.35">
      <c r="A380" s="6" t="str">
        <f>TRIM(Dataset!A380)</f>
        <v>ORD200378</v>
      </c>
      <c r="B380" s="4">
        <f>Dataset!B380</f>
        <v>45323</v>
      </c>
      <c r="C380" s="6" t="str">
        <f>TRIM(Dataset!C380)</f>
        <v>C62666</v>
      </c>
      <c r="D380" s="6" t="str">
        <f>TRIM(Dataset!D380)</f>
        <v>Chair</v>
      </c>
      <c r="E380" s="13">
        <f>VALUE(TRIM(Dataset!E380))</f>
        <v>5</v>
      </c>
      <c r="F380" s="10">
        <f>VALUE(TRIM(Dataset!F380))</f>
        <v>64.5</v>
      </c>
      <c r="G380" s="6" t="str">
        <f>TRIM(Dataset!G380)</f>
        <v>148 Main St</v>
      </c>
      <c r="H380" s="6" t="str">
        <f>TRIM(Dataset!H380)</f>
        <v>Credit Card</v>
      </c>
      <c r="I380" s="6" t="str">
        <f>TRIM(Dataset!I380)</f>
        <v>Pending</v>
      </c>
      <c r="J380" s="6" t="str">
        <f>TRIM(Dataset!J380)</f>
        <v>TRK91029390</v>
      </c>
      <c r="K380" s="8" t="str">
        <f>TRIM(Dataset!K380)</f>
        <v>8</v>
      </c>
      <c r="L380" s="6" t="str">
        <f>Dataset!L380</f>
        <v>WINTER15</v>
      </c>
      <c r="M380" s="6" t="str">
        <f>TRIM(Dataset!M380)</f>
        <v>Instagram</v>
      </c>
      <c r="N380" s="10">
        <f>VALUE(TRIM(Dataset!N380))</f>
        <v>322.5</v>
      </c>
    </row>
    <row r="381" spans="1:14" x14ac:dyDescent="0.35">
      <c r="A381" s="6" t="str">
        <f>TRIM(Dataset!A381)</f>
        <v>ORD200379</v>
      </c>
      <c r="B381" s="4">
        <f>Dataset!B381</f>
        <v>45556</v>
      </c>
      <c r="C381" s="6" t="str">
        <f>TRIM(Dataset!C381)</f>
        <v>C47284</v>
      </c>
      <c r="D381" s="6" t="str">
        <f>TRIM(Dataset!D381)</f>
        <v>Phone</v>
      </c>
      <c r="E381" s="13">
        <f>VALUE(TRIM(Dataset!E381))</f>
        <v>3</v>
      </c>
      <c r="F381" s="10">
        <f>VALUE(TRIM(Dataset!F381))</f>
        <v>297.67</v>
      </c>
      <c r="G381" s="6" t="str">
        <f>TRIM(Dataset!G381)</f>
        <v>500 Main St</v>
      </c>
      <c r="H381" s="6" t="str">
        <f>TRIM(Dataset!H381)</f>
        <v>Online</v>
      </c>
      <c r="I381" s="6" t="str">
        <f>TRIM(Dataset!I381)</f>
        <v>Shipped</v>
      </c>
      <c r="J381" s="6" t="str">
        <f>TRIM(Dataset!J381)</f>
        <v>TRK85756094</v>
      </c>
      <c r="K381" s="8" t="str">
        <f>TRIM(Dataset!K381)</f>
        <v>6</v>
      </c>
      <c r="L381" s="6" t="s">
        <v>4284</v>
      </c>
      <c r="M381" s="6" t="str">
        <f>TRIM(Dataset!M381)</f>
        <v>Google</v>
      </c>
      <c r="N381" s="10">
        <f>VALUE(TRIM(Dataset!N381))</f>
        <v>893.01</v>
      </c>
    </row>
    <row r="382" spans="1:14" x14ac:dyDescent="0.35">
      <c r="A382" s="6" t="str">
        <f>TRIM(Dataset!A382)</f>
        <v>ORD200380</v>
      </c>
      <c r="B382" s="4">
        <f>Dataset!B382</f>
        <v>45402</v>
      </c>
      <c r="C382" s="6" t="str">
        <f>TRIM(Dataset!C382)</f>
        <v>C35355</v>
      </c>
      <c r="D382" s="6" t="str">
        <f>TRIM(Dataset!D382)</f>
        <v>Printer</v>
      </c>
      <c r="E382" s="13">
        <f>VALUE(TRIM(Dataset!E382))</f>
        <v>4</v>
      </c>
      <c r="F382" s="10">
        <f>VALUE(TRIM(Dataset!F382))</f>
        <v>331.9</v>
      </c>
      <c r="G382" s="6" t="str">
        <f>TRIM(Dataset!G382)</f>
        <v>127 Main St</v>
      </c>
      <c r="H382" s="6" t="str">
        <f>TRIM(Dataset!H382)</f>
        <v>Cash</v>
      </c>
      <c r="I382" s="6" t="str">
        <f>TRIM(Dataset!I382)</f>
        <v>Pending</v>
      </c>
      <c r="J382" s="6" t="str">
        <f>TRIM(Dataset!J382)</f>
        <v>TRK52935059</v>
      </c>
      <c r="K382" s="8" t="str">
        <f>TRIM(Dataset!K382)</f>
        <v>5</v>
      </c>
      <c r="L382" s="6" t="str">
        <f>Dataset!L382</f>
        <v>SAVE10</v>
      </c>
      <c r="M382" s="6" t="str">
        <f>TRIM(Dataset!M382)</f>
        <v>Instagram</v>
      </c>
      <c r="N382" s="10">
        <f>VALUE(TRIM(Dataset!N382))</f>
        <v>1327.6</v>
      </c>
    </row>
    <row r="383" spans="1:14" x14ac:dyDescent="0.35">
      <c r="A383" s="6" t="str">
        <f>TRIM(Dataset!A383)</f>
        <v>ORD200381</v>
      </c>
      <c r="B383" s="4">
        <f>Dataset!B383</f>
        <v>45084</v>
      </c>
      <c r="C383" s="6" t="str">
        <f>TRIM(Dataset!C383)</f>
        <v>C29467</v>
      </c>
      <c r="D383" s="6" t="str">
        <f>TRIM(Dataset!D383)</f>
        <v>Chair</v>
      </c>
      <c r="E383" s="13">
        <f>VALUE(TRIM(Dataset!E383))</f>
        <v>1</v>
      </c>
      <c r="F383" s="10">
        <f>VALUE(TRIM(Dataset!F383))</f>
        <v>191.76</v>
      </c>
      <c r="G383" s="6" t="str">
        <f>TRIM(Dataset!G383)</f>
        <v>223 Main St</v>
      </c>
      <c r="H383" s="6" t="str">
        <f>TRIM(Dataset!H383)</f>
        <v>Credit Card</v>
      </c>
      <c r="I383" s="6" t="str">
        <f>TRIM(Dataset!I383)</f>
        <v>Returned</v>
      </c>
      <c r="J383" s="6" t="str">
        <f>TRIM(Dataset!J383)</f>
        <v>TRK98103385</v>
      </c>
      <c r="K383" s="8" t="str">
        <f>TRIM(Dataset!K383)</f>
        <v>1</v>
      </c>
      <c r="L383" s="6" t="str">
        <f>Dataset!L383</f>
        <v>FREESHIP</v>
      </c>
      <c r="M383" s="6" t="str">
        <f>TRIM(Dataset!M383)</f>
        <v>Instagram</v>
      </c>
      <c r="N383" s="10">
        <f>VALUE(TRIM(Dataset!N383))</f>
        <v>191.76</v>
      </c>
    </row>
    <row r="384" spans="1:14" x14ac:dyDescent="0.35">
      <c r="A384" s="6" t="str">
        <f>TRIM(Dataset!A384)</f>
        <v>ORD200382</v>
      </c>
      <c r="B384" s="4">
        <f>Dataset!B384</f>
        <v>45687</v>
      </c>
      <c r="C384" s="6" t="str">
        <f>TRIM(Dataset!C384)</f>
        <v>C26718</v>
      </c>
      <c r="D384" s="6" t="str">
        <f>TRIM(Dataset!D384)</f>
        <v>Printer</v>
      </c>
      <c r="E384" s="13">
        <f>VALUE(TRIM(Dataset!E384))</f>
        <v>4</v>
      </c>
      <c r="F384" s="10">
        <f>VALUE(TRIM(Dataset!F384))</f>
        <v>263.08999999999997</v>
      </c>
      <c r="G384" s="6" t="str">
        <f>TRIM(Dataset!G384)</f>
        <v>272 Main St</v>
      </c>
      <c r="H384" s="6" t="str">
        <f>TRIM(Dataset!H384)</f>
        <v>Debit Card</v>
      </c>
      <c r="I384" s="6" t="str">
        <f>TRIM(Dataset!I384)</f>
        <v>Shipped</v>
      </c>
      <c r="J384" s="6" t="str">
        <f>TRIM(Dataset!J384)</f>
        <v>TRK91702525</v>
      </c>
      <c r="K384" s="8" t="str">
        <f>TRIM(Dataset!K384)</f>
        <v>8</v>
      </c>
      <c r="L384" s="6" t="str">
        <f>Dataset!L384</f>
        <v>SAVE10</v>
      </c>
      <c r="M384" s="6" t="str">
        <f>TRIM(Dataset!M384)</f>
        <v>Google</v>
      </c>
      <c r="N384" s="10">
        <f>VALUE(TRIM(Dataset!N384))</f>
        <v>1052.3599999999999</v>
      </c>
    </row>
    <row r="385" spans="1:14" x14ac:dyDescent="0.35">
      <c r="A385" s="6" t="str">
        <f>TRIM(Dataset!A385)</f>
        <v>ORD200383</v>
      </c>
      <c r="B385" s="4">
        <f>Dataset!B385</f>
        <v>44946</v>
      </c>
      <c r="C385" s="6" t="str">
        <f>TRIM(Dataset!C385)</f>
        <v>C18944</v>
      </c>
      <c r="D385" s="6" t="str">
        <f>TRIM(Dataset!D385)</f>
        <v>Chair</v>
      </c>
      <c r="E385" s="13">
        <f>VALUE(TRIM(Dataset!E385))</f>
        <v>4</v>
      </c>
      <c r="F385" s="10">
        <f>VALUE(TRIM(Dataset!F385))</f>
        <v>393.8</v>
      </c>
      <c r="G385" s="6" t="str">
        <f>TRIM(Dataset!G385)</f>
        <v>837 Main St</v>
      </c>
      <c r="H385" s="6" t="str">
        <f>TRIM(Dataset!H385)</f>
        <v>Credit Card</v>
      </c>
      <c r="I385" s="6" t="str">
        <f>TRIM(Dataset!I385)</f>
        <v>Pending</v>
      </c>
      <c r="J385" s="6" t="str">
        <f>TRIM(Dataset!J385)</f>
        <v>TRK45275439</v>
      </c>
      <c r="K385" s="8" t="str">
        <f>TRIM(Dataset!K385)</f>
        <v>7</v>
      </c>
      <c r="L385" s="6" t="str">
        <f>Dataset!L385</f>
        <v>SAVE10</v>
      </c>
      <c r="M385" s="6" t="str">
        <f>TRIM(Dataset!M385)</f>
        <v>Email</v>
      </c>
      <c r="N385" s="10">
        <f>VALUE(TRIM(Dataset!N385))</f>
        <v>1575.2</v>
      </c>
    </row>
    <row r="386" spans="1:14" x14ac:dyDescent="0.35">
      <c r="A386" s="6" t="str">
        <f>TRIM(Dataset!A386)</f>
        <v>ORD200384</v>
      </c>
      <c r="B386" s="4">
        <f>Dataset!B386</f>
        <v>45620</v>
      </c>
      <c r="C386" s="6" t="str">
        <f>TRIM(Dataset!C386)</f>
        <v>C35628</v>
      </c>
      <c r="D386" s="6" t="str">
        <f>TRIM(Dataset!D386)</f>
        <v>Chair</v>
      </c>
      <c r="E386" s="13">
        <f>VALUE(TRIM(Dataset!E386))</f>
        <v>3</v>
      </c>
      <c r="F386" s="10">
        <f>VALUE(TRIM(Dataset!F386))</f>
        <v>553.57000000000005</v>
      </c>
      <c r="G386" s="6" t="str">
        <f>TRIM(Dataset!G386)</f>
        <v>147 Main St</v>
      </c>
      <c r="H386" s="6" t="str">
        <f>TRIM(Dataset!H386)</f>
        <v>Credit Card</v>
      </c>
      <c r="I386" s="6" t="str">
        <f>TRIM(Dataset!I386)</f>
        <v>Returned</v>
      </c>
      <c r="J386" s="6" t="str">
        <f>TRIM(Dataset!J386)</f>
        <v>TRK45688220</v>
      </c>
      <c r="K386" s="8" t="str">
        <f>TRIM(Dataset!K386)</f>
        <v>4</v>
      </c>
      <c r="L386" s="6" t="str">
        <f>Dataset!L386</f>
        <v>FREESHIP</v>
      </c>
      <c r="M386" s="6" t="str">
        <f>TRIM(Dataset!M386)</f>
        <v>Facebook</v>
      </c>
      <c r="N386" s="10">
        <f>VALUE(TRIM(Dataset!N386))</f>
        <v>1660.71</v>
      </c>
    </row>
    <row r="387" spans="1:14" x14ac:dyDescent="0.35">
      <c r="A387" s="6" t="str">
        <f>TRIM(Dataset!A387)</f>
        <v>ORD200385</v>
      </c>
      <c r="B387" s="4">
        <f>Dataset!B387</f>
        <v>45230</v>
      </c>
      <c r="C387" s="6" t="str">
        <f>TRIM(Dataset!C387)</f>
        <v>C56851</v>
      </c>
      <c r="D387" s="6" t="str">
        <f>TRIM(Dataset!D387)</f>
        <v>Chair</v>
      </c>
      <c r="E387" s="13">
        <f>VALUE(TRIM(Dataset!E387))</f>
        <v>5</v>
      </c>
      <c r="F387" s="10">
        <f>VALUE(TRIM(Dataset!F387))</f>
        <v>191.63</v>
      </c>
      <c r="G387" s="6" t="str">
        <f>TRIM(Dataset!G387)</f>
        <v>752 Main St</v>
      </c>
      <c r="H387" s="6" t="str">
        <f>TRIM(Dataset!H387)</f>
        <v>Gift Card</v>
      </c>
      <c r="I387" s="6" t="str">
        <f>TRIM(Dataset!I387)</f>
        <v>Delivered</v>
      </c>
      <c r="J387" s="6" t="str">
        <f>TRIM(Dataset!J387)</f>
        <v>TRK65290904</v>
      </c>
      <c r="K387" s="8" t="str">
        <f>TRIM(Dataset!K387)</f>
        <v>6</v>
      </c>
      <c r="L387" s="6" t="str">
        <f>Dataset!L387</f>
        <v>FREESHIP</v>
      </c>
      <c r="M387" s="6" t="str">
        <f>TRIM(Dataset!M387)</f>
        <v>Facebook</v>
      </c>
      <c r="N387" s="10">
        <f>VALUE(TRIM(Dataset!N387))</f>
        <v>958.15</v>
      </c>
    </row>
    <row r="388" spans="1:14" x14ac:dyDescent="0.35">
      <c r="A388" s="6" t="str">
        <f>TRIM(Dataset!A388)</f>
        <v>ORD200386</v>
      </c>
      <c r="B388" s="4">
        <f>Dataset!B388</f>
        <v>45044</v>
      </c>
      <c r="C388" s="6" t="str">
        <f>TRIM(Dataset!C388)</f>
        <v>C12421</v>
      </c>
      <c r="D388" s="6" t="str">
        <f>TRIM(Dataset!D388)</f>
        <v>Tablet</v>
      </c>
      <c r="E388" s="13">
        <f>VALUE(TRIM(Dataset!E388))</f>
        <v>1</v>
      </c>
      <c r="F388" s="10">
        <f>VALUE(TRIM(Dataset!F388))</f>
        <v>93.02</v>
      </c>
      <c r="G388" s="6" t="str">
        <f>TRIM(Dataset!G388)</f>
        <v>373 Main St</v>
      </c>
      <c r="H388" s="6" t="str">
        <f>TRIM(Dataset!H388)</f>
        <v>Online</v>
      </c>
      <c r="I388" s="6" t="str">
        <f>TRIM(Dataset!I388)</f>
        <v>Returned</v>
      </c>
      <c r="J388" s="6" t="str">
        <f>TRIM(Dataset!J388)</f>
        <v>TRK32588504</v>
      </c>
      <c r="K388" s="8" t="str">
        <f>TRIM(Dataset!K388)</f>
        <v>4</v>
      </c>
      <c r="L388" s="6" t="s">
        <v>4284</v>
      </c>
      <c r="M388" s="6" t="str">
        <f>TRIM(Dataset!M388)</f>
        <v>Email</v>
      </c>
      <c r="N388" s="10">
        <f>VALUE(TRIM(Dataset!N388))</f>
        <v>93.02</v>
      </c>
    </row>
    <row r="389" spans="1:14" x14ac:dyDescent="0.35">
      <c r="A389" s="6" t="str">
        <f>TRIM(Dataset!A389)</f>
        <v>ORD200387</v>
      </c>
      <c r="B389" s="4">
        <f>Dataset!B389</f>
        <v>45470</v>
      </c>
      <c r="C389" s="6" t="str">
        <f>TRIM(Dataset!C389)</f>
        <v>C25316</v>
      </c>
      <c r="D389" s="6" t="str">
        <f>TRIM(Dataset!D389)</f>
        <v>Printer</v>
      </c>
      <c r="E389" s="13">
        <f>VALUE(TRIM(Dataset!E389))</f>
        <v>2</v>
      </c>
      <c r="F389" s="10">
        <f>VALUE(TRIM(Dataset!F389))</f>
        <v>39.53</v>
      </c>
      <c r="G389" s="6" t="str">
        <f>TRIM(Dataset!G389)</f>
        <v>904 Main St</v>
      </c>
      <c r="H389" s="6" t="str">
        <f>TRIM(Dataset!H389)</f>
        <v>Credit Card</v>
      </c>
      <c r="I389" s="6" t="str">
        <f>TRIM(Dataset!I389)</f>
        <v>Shipped</v>
      </c>
      <c r="J389" s="6" t="str">
        <f>TRIM(Dataset!J389)</f>
        <v>TRK55423551</v>
      </c>
      <c r="K389" s="8" t="str">
        <f>TRIM(Dataset!K389)</f>
        <v>3</v>
      </c>
      <c r="L389" s="6" t="str">
        <f>Dataset!L389</f>
        <v>WINTER15</v>
      </c>
      <c r="M389" s="6" t="str">
        <f>TRIM(Dataset!M389)</f>
        <v>Google</v>
      </c>
      <c r="N389" s="10">
        <f>VALUE(TRIM(Dataset!N389))</f>
        <v>79.06</v>
      </c>
    </row>
    <row r="390" spans="1:14" x14ac:dyDescent="0.35">
      <c r="A390" s="6" t="str">
        <f>TRIM(Dataset!A390)</f>
        <v>ORD200388</v>
      </c>
      <c r="B390" s="4">
        <f>Dataset!B390</f>
        <v>45288</v>
      </c>
      <c r="C390" s="6" t="str">
        <f>TRIM(Dataset!C390)</f>
        <v>C22657</v>
      </c>
      <c r="D390" s="6" t="str">
        <f>TRIM(Dataset!D390)</f>
        <v>Printer</v>
      </c>
      <c r="E390" s="13">
        <f>VALUE(TRIM(Dataset!E390))</f>
        <v>3</v>
      </c>
      <c r="F390" s="10">
        <f>VALUE(TRIM(Dataset!F390))</f>
        <v>633.97</v>
      </c>
      <c r="G390" s="6" t="str">
        <f>TRIM(Dataset!G390)</f>
        <v>152 Main St</v>
      </c>
      <c r="H390" s="6" t="str">
        <f>TRIM(Dataset!H390)</f>
        <v>Cash</v>
      </c>
      <c r="I390" s="6" t="str">
        <f>TRIM(Dataset!I390)</f>
        <v>Pending</v>
      </c>
      <c r="J390" s="6" t="str">
        <f>TRIM(Dataset!J390)</f>
        <v>TRK49157047</v>
      </c>
      <c r="K390" s="8" t="str">
        <f>TRIM(Dataset!K390)</f>
        <v>7</v>
      </c>
      <c r="L390" s="6" t="str">
        <f>Dataset!L390</f>
        <v>WINTER15</v>
      </c>
      <c r="M390" s="6" t="str">
        <f>TRIM(Dataset!M390)</f>
        <v>Facebook</v>
      </c>
      <c r="N390" s="10">
        <f>VALUE(TRIM(Dataset!N390))</f>
        <v>1901.91</v>
      </c>
    </row>
    <row r="391" spans="1:14" x14ac:dyDescent="0.35">
      <c r="A391" s="6" t="str">
        <f>TRIM(Dataset!A391)</f>
        <v>ORD200389</v>
      </c>
      <c r="B391" s="4">
        <f>Dataset!B391</f>
        <v>45277</v>
      </c>
      <c r="C391" s="6" t="str">
        <f>TRIM(Dataset!C391)</f>
        <v>C29703</v>
      </c>
      <c r="D391" s="6" t="str">
        <f>TRIM(Dataset!D391)</f>
        <v>Desk</v>
      </c>
      <c r="E391" s="13">
        <f>VALUE(TRIM(Dataset!E391))</f>
        <v>4</v>
      </c>
      <c r="F391" s="10">
        <f>VALUE(TRIM(Dataset!F391))</f>
        <v>697.5</v>
      </c>
      <c r="G391" s="6" t="str">
        <f>TRIM(Dataset!G391)</f>
        <v>558 Main St</v>
      </c>
      <c r="H391" s="6" t="str">
        <f>TRIM(Dataset!H391)</f>
        <v>Cash</v>
      </c>
      <c r="I391" s="6" t="str">
        <f>TRIM(Dataset!I391)</f>
        <v>Shipped</v>
      </c>
      <c r="J391" s="6" t="str">
        <f>TRIM(Dataset!J391)</f>
        <v>TRK40543461</v>
      </c>
      <c r="K391" s="8" t="str">
        <f>TRIM(Dataset!K391)</f>
        <v>7</v>
      </c>
      <c r="L391" s="6" t="str">
        <f>Dataset!L391</f>
        <v>FREESHIP</v>
      </c>
      <c r="M391" s="6" t="str">
        <f>TRIM(Dataset!M391)</f>
        <v>Referral</v>
      </c>
      <c r="N391" s="10">
        <f>VALUE(TRIM(Dataset!N391))</f>
        <v>2790</v>
      </c>
    </row>
    <row r="392" spans="1:14" x14ac:dyDescent="0.35">
      <c r="A392" s="6" t="str">
        <f>TRIM(Dataset!A392)</f>
        <v>ORD200390</v>
      </c>
      <c r="B392" s="4">
        <f>Dataset!B392</f>
        <v>45121</v>
      </c>
      <c r="C392" s="6" t="str">
        <f>TRIM(Dataset!C392)</f>
        <v>C55996</v>
      </c>
      <c r="D392" s="6" t="str">
        <f>TRIM(Dataset!D392)</f>
        <v>Printer</v>
      </c>
      <c r="E392" s="13">
        <f>VALUE(TRIM(Dataset!E392))</f>
        <v>5</v>
      </c>
      <c r="F392" s="10">
        <f>VALUE(TRIM(Dataset!F392))</f>
        <v>508.69</v>
      </c>
      <c r="G392" s="6" t="str">
        <f>TRIM(Dataset!G392)</f>
        <v>885 Main St</v>
      </c>
      <c r="H392" s="6" t="str">
        <f>TRIM(Dataset!H392)</f>
        <v>Cash</v>
      </c>
      <c r="I392" s="6" t="str">
        <f>TRIM(Dataset!I392)</f>
        <v>Delivered</v>
      </c>
      <c r="J392" s="6" t="str">
        <f>TRIM(Dataset!J392)</f>
        <v>TRK30547638</v>
      </c>
      <c r="K392" s="8" t="str">
        <f>TRIM(Dataset!K392)</f>
        <v>10</v>
      </c>
      <c r="L392" s="6" t="str">
        <f>Dataset!L392</f>
        <v>FREESHIP</v>
      </c>
      <c r="M392" s="6" t="str">
        <f>TRIM(Dataset!M392)</f>
        <v>Google</v>
      </c>
      <c r="N392" s="10">
        <f>VALUE(TRIM(Dataset!N392))</f>
        <v>2543.4499999999998</v>
      </c>
    </row>
    <row r="393" spans="1:14" x14ac:dyDescent="0.35">
      <c r="A393" s="6" t="str">
        <f>TRIM(Dataset!A393)</f>
        <v>ORD200391</v>
      </c>
      <c r="B393" s="4">
        <f>Dataset!B393</f>
        <v>45673</v>
      </c>
      <c r="C393" s="6" t="str">
        <f>TRIM(Dataset!C393)</f>
        <v>C60037</v>
      </c>
      <c r="D393" s="6" t="str">
        <f>TRIM(Dataset!D393)</f>
        <v>Laptop</v>
      </c>
      <c r="E393" s="13">
        <f>VALUE(TRIM(Dataset!E393))</f>
        <v>2</v>
      </c>
      <c r="F393" s="10">
        <f>VALUE(TRIM(Dataset!F393))</f>
        <v>527.46</v>
      </c>
      <c r="G393" s="6" t="str">
        <f>TRIM(Dataset!G393)</f>
        <v>516 Main St</v>
      </c>
      <c r="H393" s="6" t="str">
        <f>TRIM(Dataset!H393)</f>
        <v>Debit Card</v>
      </c>
      <c r="I393" s="6" t="str">
        <f>TRIM(Dataset!I393)</f>
        <v>Cancelled</v>
      </c>
      <c r="J393" s="6" t="str">
        <f>TRIM(Dataset!J393)</f>
        <v>TRK82009557</v>
      </c>
      <c r="K393" s="8" t="str">
        <f>TRIM(Dataset!K393)</f>
        <v>3</v>
      </c>
      <c r="L393" s="6" t="str">
        <f>Dataset!L393</f>
        <v>FREESHIP</v>
      </c>
      <c r="M393" s="6" t="str">
        <f>TRIM(Dataset!M393)</f>
        <v>Referral</v>
      </c>
      <c r="N393" s="10">
        <f>VALUE(TRIM(Dataset!N393))</f>
        <v>1054.92</v>
      </c>
    </row>
    <row r="394" spans="1:14" x14ac:dyDescent="0.35">
      <c r="A394" s="6" t="str">
        <f>TRIM(Dataset!A394)</f>
        <v>ORD200392</v>
      </c>
      <c r="B394" s="4">
        <f>Dataset!B394</f>
        <v>45350</v>
      </c>
      <c r="C394" s="6" t="str">
        <f>TRIM(Dataset!C394)</f>
        <v>C95100</v>
      </c>
      <c r="D394" s="6" t="str">
        <f>TRIM(Dataset!D394)</f>
        <v>Phone</v>
      </c>
      <c r="E394" s="13">
        <f>VALUE(TRIM(Dataset!E394))</f>
        <v>1</v>
      </c>
      <c r="F394" s="10">
        <f>VALUE(TRIM(Dataset!F394))</f>
        <v>627.20000000000005</v>
      </c>
      <c r="G394" s="6" t="str">
        <f>TRIM(Dataset!G394)</f>
        <v>197 Main St</v>
      </c>
      <c r="H394" s="6" t="str">
        <f>TRIM(Dataset!H394)</f>
        <v>Online</v>
      </c>
      <c r="I394" s="6" t="str">
        <f>TRIM(Dataset!I394)</f>
        <v>Delivered</v>
      </c>
      <c r="J394" s="6" t="str">
        <f>TRIM(Dataset!J394)</f>
        <v>TRK47366265</v>
      </c>
      <c r="K394" s="8" t="str">
        <f>TRIM(Dataset!K394)</f>
        <v>1</v>
      </c>
      <c r="L394" s="6" t="str">
        <f>Dataset!L394</f>
        <v>WINTER15</v>
      </c>
      <c r="M394" s="6" t="str">
        <f>TRIM(Dataset!M394)</f>
        <v>Email</v>
      </c>
      <c r="N394" s="10">
        <f>VALUE(TRIM(Dataset!N394))</f>
        <v>627.20000000000005</v>
      </c>
    </row>
    <row r="395" spans="1:14" x14ac:dyDescent="0.35">
      <c r="A395" s="6" t="str">
        <f>TRIM(Dataset!A395)</f>
        <v>ORD200393</v>
      </c>
      <c r="B395" s="4">
        <f>Dataset!B395</f>
        <v>45487</v>
      </c>
      <c r="C395" s="6" t="str">
        <f>TRIM(Dataset!C395)</f>
        <v>C39906</v>
      </c>
      <c r="D395" s="6" t="str">
        <f>TRIM(Dataset!D395)</f>
        <v>Printer</v>
      </c>
      <c r="E395" s="13">
        <f>VALUE(TRIM(Dataset!E395))</f>
        <v>1</v>
      </c>
      <c r="F395" s="10">
        <f>VALUE(TRIM(Dataset!F395))</f>
        <v>75.010000000000005</v>
      </c>
      <c r="G395" s="6" t="str">
        <f>TRIM(Dataset!G395)</f>
        <v>921 Main St</v>
      </c>
      <c r="H395" s="6" t="str">
        <f>TRIM(Dataset!H395)</f>
        <v>Credit Card</v>
      </c>
      <c r="I395" s="6" t="str">
        <f>TRIM(Dataset!I395)</f>
        <v>Returned</v>
      </c>
      <c r="J395" s="6" t="str">
        <f>TRIM(Dataset!J395)</f>
        <v>TRK24632134</v>
      </c>
      <c r="K395" s="8" t="str">
        <f>TRIM(Dataset!K395)</f>
        <v>3</v>
      </c>
      <c r="L395" s="6" t="s">
        <v>4284</v>
      </c>
      <c r="M395" s="6" t="str">
        <f>TRIM(Dataset!M395)</f>
        <v>Google</v>
      </c>
      <c r="N395" s="10">
        <f>VALUE(TRIM(Dataset!N395))</f>
        <v>75.010000000000005</v>
      </c>
    </row>
    <row r="396" spans="1:14" x14ac:dyDescent="0.35">
      <c r="A396" s="6" t="str">
        <f>TRIM(Dataset!A396)</f>
        <v>ORD200394</v>
      </c>
      <c r="B396" s="4">
        <f>Dataset!B396</f>
        <v>45112</v>
      </c>
      <c r="C396" s="6" t="str">
        <f>TRIM(Dataset!C396)</f>
        <v>C70148</v>
      </c>
      <c r="D396" s="6" t="str">
        <f>TRIM(Dataset!D396)</f>
        <v>Desk</v>
      </c>
      <c r="E396" s="13">
        <f>VALUE(TRIM(Dataset!E396))</f>
        <v>5</v>
      </c>
      <c r="F396" s="10">
        <f>VALUE(TRIM(Dataset!F396))</f>
        <v>529.54999999999995</v>
      </c>
      <c r="G396" s="6" t="str">
        <f>TRIM(Dataset!G396)</f>
        <v>359 Main St</v>
      </c>
      <c r="H396" s="6" t="str">
        <f>TRIM(Dataset!H396)</f>
        <v>Gift Card</v>
      </c>
      <c r="I396" s="6" t="str">
        <f>TRIM(Dataset!I396)</f>
        <v>Shipped</v>
      </c>
      <c r="J396" s="6" t="str">
        <f>TRIM(Dataset!J396)</f>
        <v>TRK34848650</v>
      </c>
      <c r="K396" s="8" t="str">
        <f>TRIM(Dataset!K396)</f>
        <v>10</v>
      </c>
      <c r="L396" s="6" t="s">
        <v>4284</v>
      </c>
      <c r="M396" s="6" t="str">
        <f>TRIM(Dataset!M396)</f>
        <v>Facebook</v>
      </c>
      <c r="N396" s="10">
        <f>VALUE(TRIM(Dataset!N396))</f>
        <v>2647.75</v>
      </c>
    </row>
    <row r="397" spans="1:14" x14ac:dyDescent="0.35">
      <c r="A397" s="6" t="str">
        <f>TRIM(Dataset!A397)</f>
        <v>ORD200395</v>
      </c>
      <c r="B397" s="4">
        <f>Dataset!B397</f>
        <v>45772</v>
      </c>
      <c r="C397" s="6" t="str">
        <f>TRIM(Dataset!C397)</f>
        <v>C30010</v>
      </c>
      <c r="D397" s="6" t="str">
        <f>TRIM(Dataset!D397)</f>
        <v>Phone</v>
      </c>
      <c r="E397" s="13">
        <f>VALUE(TRIM(Dataset!E397))</f>
        <v>3</v>
      </c>
      <c r="F397" s="10">
        <f>VALUE(TRIM(Dataset!F397))</f>
        <v>127.41</v>
      </c>
      <c r="G397" s="6" t="str">
        <f>TRIM(Dataset!G397)</f>
        <v>830 Main St</v>
      </c>
      <c r="H397" s="6" t="str">
        <f>TRIM(Dataset!H397)</f>
        <v>Gift Card</v>
      </c>
      <c r="I397" s="6" t="str">
        <f>TRIM(Dataset!I397)</f>
        <v>Delivered</v>
      </c>
      <c r="J397" s="6" t="str">
        <f>TRIM(Dataset!J397)</f>
        <v>TRK35386084</v>
      </c>
      <c r="K397" s="8" t="str">
        <f>TRIM(Dataset!K397)</f>
        <v>7</v>
      </c>
      <c r="L397" s="6" t="str">
        <f>Dataset!L397</f>
        <v>SAVE10</v>
      </c>
      <c r="M397" s="6" t="str">
        <f>TRIM(Dataset!M397)</f>
        <v>Referral</v>
      </c>
      <c r="N397" s="10">
        <f>VALUE(TRIM(Dataset!N397))</f>
        <v>382.23</v>
      </c>
    </row>
    <row r="398" spans="1:14" x14ac:dyDescent="0.35">
      <c r="A398" s="6" t="str">
        <f>TRIM(Dataset!A398)</f>
        <v>ORD200396</v>
      </c>
      <c r="B398" s="4">
        <f>Dataset!B398</f>
        <v>45261</v>
      </c>
      <c r="C398" s="6" t="str">
        <f>TRIM(Dataset!C398)</f>
        <v>C99217</v>
      </c>
      <c r="D398" s="6" t="str">
        <f>TRIM(Dataset!D398)</f>
        <v>Tablet</v>
      </c>
      <c r="E398" s="13">
        <f>VALUE(TRIM(Dataset!E398))</f>
        <v>5</v>
      </c>
      <c r="F398" s="10">
        <f>VALUE(TRIM(Dataset!F398))</f>
        <v>287.13</v>
      </c>
      <c r="G398" s="6" t="str">
        <f>TRIM(Dataset!G398)</f>
        <v>778 Main St</v>
      </c>
      <c r="H398" s="6" t="str">
        <f>TRIM(Dataset!H398)</f>
        <v>Online</v>
      </c>
      <c r="I398" s="6" t="str">
        <f>TRIM(Dataset!I398)</f>
        <v>Shipped</v>
      </c>
      <c r="J398" s="6" t="str">
        <f>TRIM(Dataset!J398)</f>
        <v>TRK82004594</v>
      </c>
      <c r="K398" s="8" t="str">
        <f>TRIM(Dataset!K398)</f>
        <v>10</v>
      </c>
      <c r="L398" s="6" t="str">
        <f>Dataset!L398</f>
        <v>SAVE10</v>
      </c>
      <c r="M398" s="6" t="str">
        <f>TRIM(Dataset!M398)</f>
        <v>Email</v>
      </c>
      <c r="N398" s="10">
        <f>VALUE(TRIM(Dataset!N398))</f>
        <v>1435.65</v>
      </c>
    </row>
    <row r="399" spans="1:14" x14ac:dyDescent="0.35">
      <c r="A399" s="6" t="str">
        <f>TRIM(Dataset!A399)</f>
        <v>ORD200397</v>
      </c>
      <c r="B399" s="4">
        <f>Dataset!B399</f>
        <v>45197</v>
      </c>
      <c r="C399" s="6" t="str">
        <f>TRIM(Dataset!C399)</f>
        <v>C30184</v>
      </c>
      <c r="D399" s="6" t="str">
        <f>TRIM(Dataset!D399)</f>
        <v>Monitor</v>
      </c>
      <c r="E399" s="13">
        <f>VALUE(TRIM(Dataset!E399))</f>
        <v>1</v>
      </c>
      <c r="F399" s="10">
        <f>VALUE(TRIM(Dataset!F399))</f>
        <v>427.06</v>
      </c>
      <c r="G399" s="6" t="str">
        <f>TRIM(Dataset!G399)</f>
        <v>987 Main St</v>
      </c>
      <c r="H399" s="6" t="str">
        <f>TRIM(Dataset!H399)</f>
        <v>Online</v>
      </c>
      <c r="I399" s="6" t="str">
        <f>TRIM(Dataset!I399)</f>
        <v>Cancelled</v>
      </c>
      <c r="J399" s="6" t="str">
        <f>TRIM(Dataset!J399)</f>
        <v>TRK86674704</v>
      </c>
      <c r="K399" s="8" t="str">
        <f>TRIM(Dataset!K399)</f>
        <v>1</v>
      </c>
      <c r="L399" s="6" t="str">
        <f>Dataset!L399</f>
        <v>WINTER15</v>
      </c>
      <c r="M399" s="6" t="str">
        <f>TRIM(Dataset!M399)</f>
        <v>Referral</v>
      </c>
      <c r="N399" s="10">
        <f>VALUE(TRIM(Dataset!N399))</f>
        <v>427.06</v>
      </c>
    </row>
    <row r="400" spans="1:14" x14ac:dyDescent="0.35">
      <c r="A400" s="6" t="str">
        <f>TRIM(Dataset!A400)</f>
        <v>ORD200398</v>
      </c>
      <c r="B400" s="4">
        <f>Dataset!B400</f>
        <v>45539</v>
      </c>
      <c r="C400" s="6" t="str">
        <f>TRIM(Dataset!C400)</f>
        <v>C50275</v>
      </c>
      <c r="D400" s="6" t="str">
        <f>TRIM(Dataset!D400)</f>
        <v>Phone</v>
      </c>
      <c r="E400" s="13">
        <f>VALUE(TRIM(Dataset!E400))</f>
        <v>5</v>
      </c>
      <c r="F400" s="10">
        <f>VALUE(TRIM(Dataset!F400))</f>
        <v>53.93</v>
      </c>
      <c r="G400" s="6" t="str">
        <f>TRIM(Dataset!G400)</f>
        <v>729 Main St</v>
      </c>
      <c r="H400" s="6" t="str">
        <f>TRIM(Dataset!H400)</f>
        <v>Gift Card</v>
      </c>
      <c r="I400" s="6" t="str">
        <f>TRIM(Dataset!I400)</f>
        <v>Shipped</v>
      </c>
      <c r="J400" s="6" t="str">
        <f>TRIM(Dataset!J400)</f>
        <v>TRK98925264</v>
      </c>
      <c r="K400" s="8" t="str">
        <f>TRIM(Dataset!K400)</f>
        <v>7</v>
      </c>
      <c r="L400" s="6" t="str">
        <f>Dataset!L400</f>
        <v>SAVE10</v>
      </c>
      <c r="M400" s="6" t="str">
        <f>TRIM(Dataset!M400)</f>
        <v>Instagram</v>
      </c>
      <c r="N400" s="10">
        <f>VALUE(TRIM(Dataset!N400))</f>
        <v>269.64999999999998</v>
      </c>
    </row>
    <row r="401" spans="1:14" x14ac:dyDescent="0.35">
      <c r="A401" s="6" t="str">
        <f>TRIM(Dataset!A401)</f>
        <v>ORD200399</v>
      </c>
      <c r="B401" s="4">
        <f>Dataset!B401</f>
        <v>45298</v>
      </c>
      <c r="C401" s="6" t="str">
        <f>TRIM(Dataset!C401)</f>
        <v>C64641</v>
      </c>
      <c r="D401" s="6" t="str">
        <f>TRIM(Dataset!D401)</f>
        <v>Tablet</v>
      </c>
      <c r="E401" s="13">
        <f>VALUE(TRIM(Dataset!E401))</f>
        <v>5</v>
      </c>
      <c r="F401" s="10">
        <f>VALUE(TRIM(Dataset!F401))</f>
        <v>423.93</v>
      </c>
      <c r="G401" s="6" t="str">
        <f>TRIM(Dataset!G401)</f>
        <v>319 Main St</v>
      </c>
      <c r="H401" s="6" t="str">
        <f>TRIM(Dataset!H401)</f>
        <v>Debit Card</v>
      </c>
      <c r="I401" s="6" t="str">
        <f>TRIM(Dataset!I401)</f>
        <v>Returned</v>
      </c>
      <c r="J401" s="6" t="str">
        <f>TRIM(Dataset!J401)</f>
        <v>TRK32012588</v>
      </c>
      <c r="K401" s="8" t="str">
        <f>TRIM(Dataset!K401)</f>
        <v>5</v>
      </c>
      <c r="L401" s="6" t="str">
        <f>Dataset!L401</f>
        <v>FREESHIP</v>
      </c>
      <c r="M401" s="6" t="str">
        <f>TRIM(Dataset!M401)</f>
        <v>Facebook</v>
      </c>
      <c r="N401" s="10">
        <f>VALUE(TRIM(Dataset!N401))</f>
        <v>2119.65</v>
      </c>
    </row>
    <row r="402" spans="1:14" x14ac:dyDescent="0.35">
      <c r="A402" s="6" t="str">
        <f>TRIM(Dataset!A402)</f>
        <v>ORD200400</v>
      </c>
      <c r="B402" s="4">
        <f>Dataset!B402</f>
        <v>45563</v>
      </c>
      <c r="C402" s="6" t="str">
        <f>TRIM(Dataset!C402)</f>
        <v>C56266</v>
      </c>
      <c r="D402" s="6" t="str">
        <f>TRIM(Dataset!D402)</f>
        <v>Desk</v>
      </c>
      <c r="E402" s="13">
        <f>VALUE(TRIM(Dataset!E402))</f>
        <v>4</v>
      </c>
      <c r="F402" s="10">
        <f>VALUE(TRIM(Dataset!F402))</f>
        <v>160.22</v>
      </c>
      <c r="G402" s="6" t="str">
        <f>TRIM(Dataset!G402)</f>
        <v>304 Main St</v>
      </c>
      <c r="H402" s="6" t="str">
        <f>TRIM(Dataset!H402)</f>
        <v>Debit Card</v>
      </c>
      <c r="I402" s="6" t="str">
        <f>TRIM(Dataset!I402)</f>
        <v>Returned</v>
      </c>
      <c r="J402" s="6" t="str">
        <f>TRIM(Dataset!J402)</f>
        <v>TRK60088901</v>
      </c>
      <c r="K402" s="8" t="str">
        <f>TRIM(Dataset!K402)</f>
        <v>9</v>
      </c>
      <c r="L402" s="6" t="str">
        <f>Dataset!L402</f>
        <v>WINTER15</v>
      </c>
      <c r="M402" s="6" t="str">
        <f>TRIM(Dataset!M402)</f>
        <v>Instagram</v>
      </c>
      <c r="N402" s="10">
        <f>VALUE(TRIM(Dataset!N402))</f>
        <v>640.88</v>
      </c>
    </row>
    <row r="403" spans="1:14" x14ac:dyDescent="0.35">
      <c r="A403" s="6" t="str">
        <f>TRIM(Dataset!A403)</f>
        <v>ORD200401</v>
      </c>
      <c r="B403" s="4">
        <f>Dataset!B403</f>
        <v>45756</v>
      </c>
      <c r="C403" s="6" t="str">
        <f>TRIM(Dataset!C403)</f>
        <v>C98635</v>
      </c>
      <c r="D403" s="6" t="str">
        <f>TRIM(Dataset!D403)</f>
        <v>Printer</v>
      </c>
      <c r="E403" s="13">
        <f>VALUE(TRIM(Dataset!E403))</f>
        <v>1</v>
      </c>
      <c r="F403" s="10">
        <f>VALUE(TRIM(Dataset!F403))</f>
        <v>538.67999999999995</v>
      </c>
      <c r="G403" s="6" t="str">
        <f>TRIM(Dataset!G403)</f>
        <v>197 Main St</v>
      </c>
      <c r="H403" s="6" t="str">
        <f>TRIM(Dataset!H403)</f>
        <v>Debit Card</v>
      </c>
      <c r="I403" s="6" t="str">
        <f>TRIM(Dataset!I403)</f>
        <v>Returned</v>
      </c>
      <c r="J403" s="6" t="str">
        <f>TRIM(Dataset!J403)</f>
        <v>TRK14225465</v>
      </c>
      <c r="K403" s="8" t="str">
        <f>TRIM(Dataset!K403)</f>
        <v>6</v>
      </c>
      <c r="L403" s="6" t="s">
        <v>4284</v>
      </c>
      <c r="M403" s="6" t="str">
        <f>TRIM(Dataset!M403)</f>
        <v>Referral</v>
      </c>
      <c r="N403" s="10">
        <f>VALUE(TRIM(Dataset!N403))</f>
        <v>538.67999999999995</v>
      </c>
    </row>
    <row r="404" spans="1:14" x14ac:dyDescent="0.35">
      <c r="A404" s="6" t="str">
        <f>TRIM(Dataset!A404)</f>
        <v>ORD200402</v>
      </c>
      <c r="B404" s="4">
        <f>Dataset!B404</f>
        <v>45025</v>
      </c>
      <c r="C404" s="6" t="str">
        <f>TRIM(Dataset!C404)</f>
        <v>C83026</v>
      </c>
      <c r="D404" s="6" t="str">
        <f>TRIM(Dataset!D404)</f>
        <v>Printer</v>
      </c>
      <c r="E404" s="13">
        <f>VALUE(TRIM(Dataset!E404))</f>
        <v>5</v>
      </c>
      <c r="F404" s="10">
        <f>VALUE(TRIM(Dataset!F404))</f>
        <v>337.38</v>
      </c>
      <c r="G404" s="6" t="str">
        <f>TRIM(Dataset!G404)</f>
        <v>858 Main St</v>
      </c>
      <c r="H404" s="6" t="str">
        <f>TRIM(Dataset!H404)</f>
        <v>Gift Card</v>
      </c>
      <c r="I404" s="6" t="str">
        <f>TRIM(Dataset!I404)</f>
        <v>Shipped</v>
      </c>
      <c r="J404" s="6" t="str">
        <f>TRIM(Dataset!J404)</f>
        <v>TRK79746259</v>
      </c>
      <c r="K404" s="8" t="str">
        <f>TRIM(Dataset!K404)</f>
        <v>5</v>
      </c>
      <c r="L404" s="6" t="s">
        <v>4284</v>
      </c>
      <c r="M404" s="6" t="str">
        <f>TRIM(Dataset!M404)</f>
        <v>Referral</v>
      </c>
      <c r="N404" s="10">
        <f>VALUE(TRIM(Dataset!N404))</f>
        <v>1686.9</v>
      </c>
    </row>
    <row r="405" spans="1:14" x14ac:dyDescent="0.35">
      <c r="A405" s="6" t="str">
        <f>TRIM(Dataset!A405)</f>
        <v>ORD200403</v>
      </c>
      <c r="B405" s="4">
        <f>Dataset!B405</f>
        <v>45606</v>
      </c>
      <c r="C405" s="6" t="str">
        <f>TRIM(Dataset!C405)</f>
        <v>C28893</v>
      </c>
      <c r="D405" s="6" t="str">
        <f>TRIM(Dataset!D405)</f>
        <v>Tablet</v>
      </c>
      <c r="E405" s="13">
        <f>VALUE(TRIM(Dataset!E405))</f>
        <v>1</v>
      </c>
      <c r="F405" s="10">
        <f>VALUE(TRIM(Dataset!F405))</f>
        <v>620.21</v>
      </c>
      <c r="G405" s="6" t="str">
        <f>TRIM(Dataset!G405)</f>
        <v>740 Main St</v>
      </c>
      <c r="H405" s="6" t="str">
        <f>TRIM(Dataset!H405)</f>
        <v>Online</v>
      </c>
      <c r="I405" s="6" t="str">
        <f>TRIM(Dataset!I405)</f>
        <v>Returned</v>
      </c>
      <c r="J405" s="6" t="str">
        <f>TRIM(Dataset!J405)</f>
        <v>TRK98333066</v>
      </c>
      <c r="K405" s="8" t="str">
        <f>TRIM(Dataset!K405)</f>
        <v>1</v>
      </c>
      <c r="L405" s="6" t="str">
        <f>Dataset!L405</f>
        <v>FREESHIP</v>
      </c>
      <c r="M405" s="6" t="str">
        <f>TRIM(Dataset!M405)</f>
        <v>Referral</v>
      </c>
      <c r="N405" s="10">
        <f>VALUE(TRIM(Dataset!N405))</f>
        <v>620.21</v>
      </c>
    </row>
    <row r="406" spans="1:14" x14ac:dyDescent="0.35">
      <c r="A406" s="6" t="str">
        <f>TRIM(Dataset!A406)</f>
        <v>ORD200404</v>
      </c>
      <c r="B406" s="4">
        <f>Dataset!B406</f>
        <v>44994</v>
      </c>
      <c r="C406" s="6" t="str">
        <f>TRIM(Dataset!C406)</f>
        <v>C45482</v>
      </c>
      <c r="D406" s="6" t="str">
        <f>TRIM(Dataset!D406)</f>
        <v>Monitor</v>
      </c>
      <c r="E406" s="13">
        <f>VALUE(TRIM(Dataset!E406))</f>
        <v>2</v>
      </c>
      <c r="F406" s="10">
        <f>VALUE(TRIM(Dataset!F406))</f>
        <v>99.1</v>
      </c>
      <c r="G406" s="6" t="str">
        <f>TRIM(Dataset!G406)</f>
        <v>440 Main St</v>
      </c>
      <c r="H406" s="6" t="str">
        <f>TRIM(Dataset!H406)</f>
        <v>Cash</v>
      </c>
      <c r="I406" s="6" t="str">
        <f>TRIM(Dataset!I406)</f>
        <v>Delivered</v>
      </c>
      <c r="J406" s="6" t="str">
        <f>TRIM(Dataset!J406)</f>
        <v>TRK54571699</v>
      </c>
      <c r="K406" s="8" t="str">
        <f>TRIM(Dataset!K406)</f>
        <v>6</v>
      </c>
      <c r="L406" s="6" t="s">
        <v>4284</v>
      </c>
      <c r="M406" s="6" t="str">
        <f>TRIM(Dataset!M406)</f>
        <v>Instagram</v>
      </c>
      <c r="N406" s="10">
        <f>VALUE(TRIM(Dataset!N406))</f>
        <v>198.2</v>
      </c>
    </row>
    <row r="407" spans="1:14" x14ac:dyDescent="0.35">
      <c r="A407" s="6" t="str">
        <f>TRIM(Dataset!A407)</f>
        <v>ORD200405</v>
      </c>
      <c r="B407" s="4">
        <f>Dataset!B407</f>
        <v>45683</v>
      </c>
      <c r="C407" s="6" t="str">
        <f>TRIM(Dataset!C407)</f>
        <v>C97774</v>
      </c>
      <c r="D407" s="6" t="str">
        <f>TRIM(Dataset!D407)</f>
        <v>Monitor</v>
      </c>
      <c r="E407" s="13">
        <f>VALUE(TRIM(Dataset!E407))</f>
        <v>4</v>
      </c>
      <c r="F407" s="10">
        <f>VALUE(TRIM(Dataset!F407))</f>
        <v>451.97</v>
      </c>
      <c r="G407" s="6" t="str">
        <f>TRIM(Dataset!G407)</f>
        <v>603 Main St</v>
      </c>
      <c r="H407" s="6" t="str">
        <f>TRIM(Dataset!H407)</f>
        <v>Online</v>
      </c>
      <c r="I407" s="6" t="str">
        <f>TRIM(Dataset!I407)</f>
        <v>Cancelled</v>
      </c>
      <c r="J407" s="6" t="str">
        <f>TRIM(Dataset!J407)</f>
        <v>TRK64664424</v>
      </c>
      <c r="K407" s="8" t="str">
        <f>TRIM(Dataset!K407)</f>
        <v>7</v>
      </c>
      <c r="L407" s="6" t="str">
        <f>Dataset!L407</f>
        <v>WINTER15</v>
      </c>
      <c r="M407" s="6" t="str">
        <f>TRIM(Dataset!M407)</f>
        <v>Email</v>
      </c>
      <c r="N407" s="10">
        <f>VALUE(TRIM(Dataset!N407))</f>
        <v>1807.88</v>
      </c>
    </row>
    <row r="408" spans="1:14" x14ac:dyDescent="0.35">
      <c r="A408" s="6" t="str">
        <f>TRIM(Dataset!A408)</f>
        <v>ORD200406</v>
      </c>
      <c r="B408" s="4">
        <f>Dataset!B408</f>
        <v>45270</v>
      </c>
      <c r="C408" s="6" t="str">
        <f>TRIM(Dataset!C408)</f>
        <v>C11657</v>
      </c>
      <c r="D408" s="6" t="str">
        <f>TRIM(Dataset!D408)</f>
        <v>Tablet</v>
      </c>
      <c r="E408" s="13">
        <f>VALUE(TRIM(Dataset!E408))</f>
        <v>4</v>
      </c>
      <c r="F408" s="10">
        <f>VALUE(TRIM(Dataset!F408))</f>
        <v>66.099999999999994</v>
      </c>
      <c r="G408" s="6" t="str">
        <f>TRIM(Dataset!G408)</f>
        <v>572 Main St</v>
      </c>
      <c r="H408" s="6" t="str">
        <f>TRIM(Dataset!H408)</f>
        <v>Cash</v>
      </c>
      <c r="I408" s="6" t="str">
        <f>TRIM(Dataset!I408)</f>
        <v>Returned</v>
      </c>
      <c r="J408" s="6" t="str">
        <f>TRIM(Dataset!J408)</f>
        <v>TRK50284486</v>
      </c>
      <c r="K408" s="8" t="str">
        <f>TRIM(Dataset!K408)</f>
        <v>9</v>
      </c>
      <c r="L408" s="6" t="str">
        <f>Dataset!L408</f>
        <v>WINTER15</v>
      </c>
      <c r="M408" s="6" t="str">
        <f>TRIM(Dataset!M408)</f>
        <v>Google</v>
      </c>
      <c r="N408" s="10">
        <f>VALUE(TRIM(Dataset!N408))</f>
        <v>264.39999999999998</v>
      </c>
    </row>
    <row r="409" spans="1:14" x14ac:dyDescent="0.35">
      <c r="A409" s="6" t="str">
        <f>TRIM(Dataset!A409)</f>
        <v>ORD200407</v>
      </c>
      <c r="B409" s="4">
        <f>Dataset!B409</f>
        <v>45151</v>
      </c>
      <c r="C409" s="6" t="str">
        <f>TRIM(Dataset!C409)</f>
        <v>C85993</v>
      </c>
      <c r="D409" s="6" t="str">
        <f>TRIM(Dataset!D409)</f>
        <v>Tablet</v>
      </c>
      <c r="E409" s="13">
        <f>VALUE(TRIM(Dataset!E409))</f>
        <v>4</v>
      </c>
      <c r="F409" s="10">
        <f>VALUE(TRIM(Dataset!F409))</f>
        <v>547.32000000000005</v>
      </c>
      <c r="G409" s="6" t="str">
        <f>TRIM(Dataset!G409)</f>
        <v>250 Main St</v>
      </c>
      <c r="H409" s="6" t="str">
        <f>TRIM(Dataset!H409)</f>
        <v>Cash</v>
      </c>
      <c r="I409" s="6" t="str">
        <f>TRIM(Dataset!I409)</f>
        <v>Returned</v>
      </c>
      <c r="J409" s="6" t="str">
        <f>TRIM(Dataset!J409)</f>
        <v>TRK72547640</v>
      </c>
      <c r="K409" s="8" t="str">
        <f>TRIM(Dataset!K409)</f>
        <v>8</v>
      </c>
      <c r="L409" s="6" t="str">
        <f>Dataset!L409</f>
        <v>FREESHIP</v>
      </c>
      <c r="M409" s="6" t="str">
        <f>TRIM(Dataset!M409)</f>
        <v>Instagram</v>
      </c>
      <c r="N409" s="10">
        <f>VALUE(TRIM(Dataset!N409))</f>
        <v>2189.2800000000002</v>
      </c>
    </row>
    <row r="410" spans="1:14" x14ac:dyDescent="0.35">
      <c r="A410" s="6" t="str">
        <f>TRIM(Dataset!A410)</f>
        <v>ORD200408</v>
      </c>
      <c r="B410" s="4">
        <f>Dataset!B410</f>
        <v>45658</v>
      </c>
      <c r="C410" s="6" t="str">
        <f>TRIM(Dataset!C410)</f>
        <v>C11906</v>
      </c>
      <c r="D410" s="6" t="str">
        <f>TRIM(Dataset!D410)</f>
        <v>Printer</v>
      </c>
      <c r="E410" s="13">
        <f>VALUE(TRIM(Dataset!E410))</f>
        <v>3</v>
      </c>
      <c r="F410" s="10">
        <f>VALUE(TRIM(Dataset!F410))</f>
        <v>412.53</v>
      </c>
      <c r="G410" s="6" t="str">
        <f>TRIM(Dataset!G410)</f>
        <v>536 Main St</v>
      </c>
      <c r="H410" s="6" t="str">
        <f>TRIM(Dataset!H410)</f>
        <v>Online</v>
      </c>
      <c r="I410" s="6" t="str">
        <f>TRIM(Dataset!I410)</f>
        <v>Pending</v>
      </c>
      <c r="J410" s="6" t="str">
        <f>TRIM(Dataset!J410)</f>
        <v>TRK31140158</v>
      </c>
      <c r="K410" s="8" t="str">
        <f>TRIM(Dataset!K410)</f>
        <v>6</v>
      </c>
      <c r="L410" s="6" t="str">
        <f>Dataset!L410</f>
        <v>WINTER15</v>
      </c>
      <c r="M410" s="6" t="str">
        <f>TRIM(Dataset!M410)</f>
        <v>Google</v>
      </c>
      <c r="N410" s="10">
        <f>VALUE(TRIM(Dataset!N410))</f>
        <v>1237.5899999999999</v>
      </c>
    </row>
    <row r="411" spans="1:14" x14ac:dyDescent="0.35">
      <c r="A411" s="6" t="str">
        <f>TRIM(Dataset!A411)</f>
        <v>ORD200409</v>
      </c>
      <c r="B411" s="4">
        <f>Dataset!B411</f>
        <v>45105</v>
      </c>
      <c r="C411" s="6" t="str">
        <f>TRIM(Dataset!C411)</f>
        <v>C45187</v>
      </c>
      <c r="D411" s="6" t="str">
        <f>TRIM(Dataset!D411)</f>
        <v>Desk</v>
      </c>
      <c r="E411" s="13">
        <f>VALUE(TRIM(Dataset!E411))</f>
        <v>5</v>
      </c>
      <c r="F411" s="10">
        <f>VALUE(TRIM(Dataset!F411))</f>
        <v>84.13</v>
      </c>
      <c r="G411" s="6" t="str">
        <f>TRIM(Dataset!G411)</f>
        <v>767 Main St</v>
      </c>
      <c r="H411" s="6" t="str">
        <f>TRIM(Dataset!H411)</f>
        <v>Online</v>
      </c>
      <c r="I411" s="6" t="str">
        <f>TRIM(Dataset!I411)</f>
        <v>Delivered</v>
      </c>
      <c r="J411" s="6" t="str">
        <f>TRIM(Dataset!J411)</f>
        <v>TRK12320793</v>
      </c>
      <c r="K411" s="8" t="str">
        <f>TRIM(Dataset!K411)</f>
        <v>9</v>
      </c>
      <c r="L411" s="6" t="str">
        <f>Dataset!L411</f>
        <v>SAVE10</v>
      </c>
      <c r="M411" s="6" t="str">
        <f>TRIM(Dataset!M411)</f>
        <v>Google</v>
      </c>
      <c r="N411" s="10">
        <f>VALUE(TRIM(Dataset!N411))</f>
        <v>420.65</v>
      </c>
    </row>
    <row r="412" spans="1:14" x14ac:dyDescent="0.35">
      <c r="A412" s="6" t="str">
        <f>TRIM(Dataset!A412)</f>
        <v>ORD200410</v>
      </c>
      <c r="B412" s="4">
        <f>Dataset!B412</f>
        <v>45309</v>
      </c>
      <c r="C412" s="6" t="str">
        <f>TRIM(Dataset!C412)</f>
        <v>C37375</v>
      </c>
      <c r="D412" s="6" t="str">
        <f>TRIM(Dataset!D412)</f>
        <v>Tablet</v>
      </c>
      <c r="E412" s="13">
        <f>VALUE(TRIM(Dataset!E412))</f>
        <v>2</v>
      </c>
      <c r="F412" s="10">
        <f>VALUE(TRIM(Dataset!F412))</f>
        <v>518.23</v>
      </c>
      <c r="G412" s="6" t="str">
        <f>TRIM(Dataset!G412)</f>
        <v>184 Main St</v>
      </c>
      <c r="H412" s="6" t="str">
        <f>TRIM(Dataset!H412)</f>
        <v>Debit Card</v>
      </c>
      <c r="I412" s="6" t="str">
        <f>TRIM(Dataset!I412)</f>
        <v>Shipped</v>
      </c>
      <c r="J412" s="6" t="str">
        <f>TRIM(Dataset!J412)</f>
        <v>TRK52470162</v>
      </c>
      <c r="K412" s="8" t="str">
        <f>TRIM(Dataset!K412)</f>
        <v>5</v>
      </c>
      <c r="L412" s="6" t="s">
        <v>4284</v>
      </c>
      <c r="M412" s="6" t="str">
        <f>TRIM(Dataset!M412)</f>
        <v>Email</v>
      </c>
      <c r="N412" s="10">
        <f>VALUE(TRIM(Dataset!N412))</f>
        <v>1036.46</v>
      </c>
    </row>
    <row r="413" spans="1:14" x14ac:dyDescent="0.35">
      <c r="A413" s="6" t="str">
        <f>TRIM(Dataset!A413)</f>
        <v>ORD200411</v>
      </c>
      <c r="B413" s="4">
        <f>Dataset!B413</f>
        <v>45462</v>
      </c>
      <c r="C413" s="6" t="str">
        <f>TRIM(Dataset!C413)</f>
        <v>C66567</v>
      </c>
      <c r="D413" s="6" t="str">
        <f>TRIM(Dataset!D413)</f>
        <v>Desk</v>
      </c>
      <c r="E413" s="13">
        <f>VALUE(TRIM(Dataset!E413))</f>
        <v>2</v>
      </c>
      <c r="F413" s="10">
        <f>VALUE(TRIM(Dataset!F413))</f>
        <v>39.51</v>
      </c>
      <c r="G413" s="6" t="str">
        <f>TRIM(Dataset!G413)</f>
        <v>981 Main St</v>
      </c>
      <c r="H413" s="6" t="str">
        <f>TRIM(Dataset!H413)</f>
        <v>Online</v>
      </c>
      <c r="I413" s="6" t="str">
        <f>TRIM(Dataset!I413)</f>
        <v>Shipped</v>
      </c>
      <c r="J413" s="6" t="str">
        <f>TRIM(Dataset!J413)</f>
        <v>TRK21174822</v>
      </c>
      <c r="K413" s="8" t="str">
        <f>TRIM(Dataset!K413)</f>
        <v>5</v>
      </c>
      <c r="L413" s="6" t="s">
        <v>4284</v>
      </c>
      <c r="M413" s="6" t="str">
        <f>TRIM(Dataset!M413)</f>
        <v>Facebook</v>
      </c>
      <c r="N413" s="10">
        <f>VALUE(TRIM(Dataset!N413))</f>
        <v>79.02</v>
      </c>
    </row>
    <row r="414" spans="1:14" x14ac:dyDescent="0.35">
      <c r="A414" s="6" t="str">
        <f>TRIM(Dataset!A414)</f>
        <v>ORD200412</v>
      </c>
      <c r="B414" s="4">
        <f>Dataset!B414</f>
        <v>45758</v>
      </c>
      <c r="C414" s="6" t="str">
        <f>TRIM(Dataset!C414)</f>
        <v>C42451</v>
      </c>
      <c r="D414" s="6" t="str">
        <f>TRIM(Dataset!D414)</f>
        <v>Tablet</v>
      </c>
      <c r="E414" s="13">
        <f>VALUE(TRIM(Dataset!E414))</f>
        <v>5</v>
      </c>
      <c r="F414" s="10">
        <f>VALUE(TRIM(Dataset!F414))</f>
        <v>133.01</v>
      </c>
      <c r="G414" s="6" t="str">
        <f>TRIM(Dataset!G414)</f>
        <v>246 Main St</v>
      </c>
      <c r="H414" s="6" t="str">
        <f>TRIM(Dataset!H414)</f>
        <v>Credit Card</v>
      </c>
      <c r="I414" s="6" t="str">
        <f>TRIM(Dataset!I414)</f>
        <v>Returned</v>
      </c>
      <c r="J414" s="6" t="str">
        <f>TRIM(Dataset!J414)</f>
        <v>TRK31313343</v>
      </c>
      <c r="K414" s="8" t="str">
        <f>TRIM(Dataset!K414)</f>
        <v>10</v>
      </c>
      <c r="L414" s="6" t="s">
        <v>4284</v>
      </c>
      <c r="M414" s="6" t="str">
        <f>TRIM(Dataset!M414)</f>
        <v>Facebook</v>
      </c>
      <c r="N414" s="10">
        <f>VALUE(TRIM(Dataset!N414))</f>
        <v>665.05</v>
      </c>
    </row>
    <row r="415" spans="1:14" x14ac:dyDescent="0.35">
      <c r="A415" s="6" t="str">
        <f>TRIM(Dataset!A415)</f>
        <v>ORD200413</v>
      </c>
      <c r="B415" s="4">
        <f>Dataset!B415</f>
        <v>45207</v>
      </c>
      <c r="C415" s="6" t="str">
        <f>TRIM(Dataset!C415)</f>
        <v>C13923</v>
      </c>
      <c r="D415" s="6" t="str">
        <f>TRIM(Dataset!D415)</f>
        <v>Tablet</v>
      </c>
      <c r="E415" s="13">
        <f>VALUE(TRIM(Dataset!E415))</f>
        <v>1</v>
      </c>
      <c r="F415" s="10">
        <f>VALUE(TRIM(Dataset!F415))</f>
        <v>118.8</v>
      </c>
      <c r="G415" s="6" t="str">
        <f>TRIM(Dataset!G415)</f>
        <v>123 Main St</v>
      </c>
      <c r="H415" s="6" t="str">
        <f>TRIM(Dataset!H415)</f>
        <v>Online</v>
      </c>
      <c r="I415" s="6" t="str">
        <f>TRIM(Dataset!I415)</f>
        <v>Delivered</v>
      </c>
      <c r="J415" s="6" t="str">
        <f>TRIM(Dataset!J415)</f>
        <v>TRK87598790</v>
      </c>
      <c r="K415" s="8" t="str">
        <f>TRIM(Dataset!K415)</f>
        <v>6</v>
      </c>
      <c r="L415" s="6" t="str">
        <f>Dataset!L415</f>
        <v>SAVE10</v>
      </c>
      <c r="M415" s="6" t="str">
        <f>TRIM(Dataset!M415)</f>
        <v>Email</v>
      </c>
      <c r="N415" s="10">
        <f>VALUE(TRIM(Dataset!N415))</f>
        <v>118.8</v>
      </c>
    </row>
    <row r="416" spans="1:14" x14ac:dyDescent="0.35">
      <c r="A416" s="6" t="str">
        <f>TRIM(Dataset!A416)</f>
        <v>ORD200414</v>
      </c>
      <c r="B416" s="4">
        <f>Dataset!B416</f>
        <v>45781</v>
      </c>
      <c r="C416" s="6" t="str">
        <f>TRIM(Dataset!C416)</f>
        <v>C11829</v>
      </c>
      <c r="D416" s="6" t="str">
        <f>TRIM(Dataset!D416)</f>
        <v>Desk</v>
      </c>
      <c r="E416" s="13">
        <f>VALUE(TRIM(Dataset!E416))</f>
        <v>2</v>
      </c>
      <c r="F416" s="10">
        <f>VALUE(TRIM(Dataset!F416))</f>
        <v>139.57</v>
      </c>
      <c r="G416" s="6" t="str">
        <f>TRIM(Dataset!G416)</f>
        <v>797 Main St</v>
      </c>
      <c r="H416" s="6" t="str">
        <f>TRIM(Dataset!H416)</f>
        <v>Cash</v>
      </c>
      <c r="I416" s="6" t="str">
        <f>TRIM(Dataset!I416)</f>
        <v>Delivered</v>
      </c>
      <c r="J416" s="6" t="str">
        <f>TRIM(Dataset!J416)</f>
        <v>TRK84229257</v>
      </c>
      <c r="K416" s="8" t="str">
        <f>TRIM(Dataset!K416)</f>
        <v>4</v>
      </c>
      <c r="L416" s="6" t="str">
        <f>Dataset!L416</f>
        <v>WINTER15</v>
      </c>
      <c r="M416" s="6" t="str">
        <f>TRIM(Dataset!M416)</f>
        <v>Facebook</v>
      </c>
      <c r="N416" s="10">
        <f>VALUE(TRIM(Dataset!N416))</f>
        <v>279.14</v>
      </c>
    </row>
    <row r="417" spans="1:14" x14ac:dyDescent="0.35">
      <c r="A417" s="6" t="str">
        <f>TRIM(Dataset!A417)</f>
        <v>ORD200415</v>
      </c>
      <c r="B417" s="4">
        <f>Dataset!B417</f>
        <v>45753</v>
      </c>
      <c r="C417" s="6" t="str">
        <f>TRIM(Dataset!C417)</f>
        <v>C62169</v>
      </c>
      <c r="D417" s="6" t="str">
        <f>TRIM(Dataset!D417)</f>
        <v>Chair</v>
      </c>
      <c r="E417" s="13">
        <f>VALUE(TRIM(Dataset!E417))</f>
        <v>1</v>
      </c>
      <c r="F417" s="10">
        <f>VALUE(TRIM(Dataset!F417))</f>
        <v>184.15</v>
      </c>
      <c r="G417" s="6" t="str">
        <f>TRIM(Dataset!G417)</f>
        <v>655 Main St</v>
      </c>
      <c r="H417" s="6" t="str">
        <f>TRIM(Dataset!H417)</f>
        <v>Gift Card</v>
      </c>
      <c r="I417" s="6" t="str">
        <f>TRIM(Dataset!I417)</f>
        <v>Shipped</v>
      </c>
      <c r="J417" s="6" t="str">
        <f>TRIM(Dataset!J417)</f>
        <v>TRK64558985</v>
      </c>
      <c r="K417" s="8" t="str">
        <f>TRIM(Dataset!K417)</f>
        <v>5</v>
      </c>
      <c r="L417" s="6" t="str">
        <f>Dataset!L417</f>
        <v>FREESHIP</v>
      </c>
      <c r="M417" s="6" t="str">
        <f>TRIM(Dataset!M417)</f>
        <v>Facebook</v>
      </c>
      <c r="N417" s="10">
        <f>VALUE(TRIM(Dataset!N417))</f>
        <v>184.15</v>
      </c>
    </row>
    <row r="418" spans="1:14" x14ac:dyDescent="0.35">
      <c r="A418" s="6" t="str">
        <f>TRIM(Dataset!A418)</f>
        <v>ORD200416</v>
      </c>
      <c r="B418" s="4">
        <f>Dataset!B418</f>
        <v>45125</v>
      </c>
      <c r="C418" s="6" t="str">
        <f>TRIM(Dataset!C418)</f>
        <v>C20881</v>
      </c>
      <c r="D418" s="6" t="str">
        <f>TRIM(Dataset!D418)</f>
        <v>Laptop</v>
      </c>
      <c r="E418" s="13">
        <f>VALUE(TRIM(Dataset!E418))</f>
        <v>2</v>
      </c>
      <c r="F418" s="10">
        <f>VALUE(TRIM(Dataset!F418))</f>
        <v>644.04999999999995</v>
      </c>
      <c r="G418" s="6" t="str">
        <f>TRIM(Dataset!G418)</f>
        <v>652 Main St</v>
      </c>
      <c r="H418" s="6" t="str">
        <f>TRIM(Dataset!H418)</f>
        <v>Gift Card</v>
      </c>
      <c r="I418" s="6" t="str">
        <f>TRIM(Dataset!I418)</f>
        <v>Cancelled</v>
      </c>
      <c r="J418" s="6" t="str">
        <f>TRIM(Dataset!J418)</f>
        <v>TRK26263902</v>
      </c>
      <c r="K418" s="8" t="str">
        <f>TRIM(Dataset!K418)</f>
        <v>5</v>
      </c>
      <c r="L418" s="6" t="str">
        <f>Dataset!L418</f>
        <v>WINTER15</v>
      </c>
      <c r="M418" s="6" t="str">
        <f>TRIM(Dataset!M418)</f>
        <v>Referral</v>
      </c>
      <c r="N418" s="10">
        <f>VALUE(TRIM(Dataset!N418))</f>
        <v>1288.0999999999999</v>
      </c>
    </row>
    <row r="419" spans="1:14" x14ac:dyDescent="0.35">
      <c r="A419" s="6" t="str">
        <f>TRIM(Dataset!A419)</f>
        <v>ORD200417</v>
      </c>
      <c r="B419" s="4">
        <f>Dataset!B419</f>
        <v>45223</v>
      </c>
      <c r="C419" s="6" t="str">
        <f>TRIM(Dataset!C419)</f>
        <v>C44492</v>
      </c>
      <c r="D419" s="6" t="str">
        <f>TRIM(Dataset!D419)</f>
        <v>Laptop</v>
      </c>
      <c r="E419" s="13">
        <f>VALUE(TRIM(Dataset!E419))</f>
        <v>5</v>
      </c>
      <c r="F419" s="10">
        <f>VALUE(TRIM(Dataset!F419))</f>
        <v>55.41</v>
      </c>
      <c r="G419" s="6" t="str">
        <f>TRIM(Dataset!G419)</f>
        <v>954 Main St</v>
      </c>
      <c r="H419" s="6" t="str">
        <f>TRIM(Dataset!H419)</f>
        <v>Online</v>
      </c>
      <c r="I419" s="6" t="str">
        <f>TRIM(Dataset!I419)</f>
        <v>Cancelled</v>
      </c>
      <c r="J419" s="6" t="str">
        <f>TRIM(Dataset!J419)</f>
        <v>TRK51429869</v>
      </c>
      <c r="K419" s="8" t="str">
        <f>TRIM(Dataset!K419)</f>
        <v>5</v>
      </c>
      <c r="L419" s="6" t="s">
        <v>4284</v>
      </c>
      <c r="M419" s="6" t="str">
        <f>TRIM(Dataset!M419)</f>
        <v>Google</v>
      </c>
      <c r="N419" s="10">
        <f>VALUE(TRIM(Dataset!N419))</f>
        <v>277.05</v>
      </c>
    </row>
    <row r="420" spans="1:14" x14ac:dyDescent="0.35">
      <c r="A420" s="6" t="str">
        <f>TRIM(Dataset!A420)</f>
        <v>ORD200418</v>
      </c>
      <c r="B420" s="4">
        <f>Dataset!B420</f>
        <v>44937</v>
      </c>
      <c r="C420" s="6" t="str">
        <f>TRIM(Dataset!C420)</f>
        <v>C74169</v>
      </c>
      <c r="D420" s="6" t="str">
        <f>TRIM(Dataset!D420)</f>
        <v>Printer</v>
      </c>
      <c r="E420" s="13">
        <f>VALUE(TRIM(Dataset!E420))</f>
        <v>1</v>
      </c>
      <c r="F420" s="10">
        <f>VALUE(TRIM(Dataset!F420))</f>
        <v>310.93</v>
      </c>
      <c r="G420" s="6" t="str">
        <f>TRIM(Dataset!G420)</f>
        <v>862 Main St</v>
      </c>
      <c r="H420" s="6" t="str">
        <f>TRIM(Dataset!H420)</f>
        <v>Online</v>
      </c>
      <c r="I420" s="6" t="str">
        <f>TRIM(Dataset!I420)</f>
        <v>Cancelled</v>
      </c>
      <c r="J420" s="6" t="str">
        <f>TRIM(Dataset!J420)</f>
        <v>TRK66144809</v>
      </c>
      <c r="K420" s="8" t="str">
        <f>TRIM(Dataset!K420)</f>
        <v>3</v>
      </c>
      <c r="L420" s="6" t="s">
        <v>4284</v>
      </c>
      <c r="M420" s="6" t="str">
        <f>TRIM(Dataset!M420)</f>
        <v>Facebook</v>
      </c>
      <c r="N420" s="10">
        <f>VALUE(TRIM(Dataset!N420))</f>
        <v>310.93</v>
      </c>
    </row>
    <row r="421" spans="1:14" x14ac:dyDescent="0.35">
      <c r="A421" s="6" t="str">
        <f>TRIM(Dataset!A421)</f>
        <v>ORD200419</v>
      </c>
      <c r="B421" s="4">
        <f>Dataset!B421</f>
        <v>45399</v>
      </c>
      <c r="C421" s="6" t="str">
        <f>TRIM(Dataset!C421)</f>
        <v>C70999</v>
      </c>
      <c r="D421" s="6" t="str">
        <f>TRIM(Dataset!D421)</f>
        <v>Tablet</v>
      </c>
      <c r="E421" s="13">
        <f>VALUE(TRIM(Dataset!E421))</f>
        <v>2</v>
      </c>
      <c r="F421" s="10">
        <f>VALUE(TRIM(Dataset!F421))</f>
        <v>216.66</v>
      </c>
      <c r="G421" s="6" t="str">
        <f>TRIM(Dataset!G421)</f>
        <v>885 Main St</v>
      </c>
      <c r="H421" s="6" t="str">
        <f>TRIM(Dataset!H421)</f>
        <v>Debit Card</v>
      </c>
      <c r="I421" s="6" t="str">
        <f>TRIM(Dataset!I421)</f>
        <v>Pending</v>
      </c>
      <c r="J421" s="6" t="str">
        <f>TRIM(Dataset!J421)</f>
        <v>TRK75644156</v>
      </c>
      <c r="K421" s="8" t="str">
        <f>TRIM(Dataset!K421)</f>
        <v>6</v>
      </c>
      <c r="L421" s="6" t="str">
        <f>Dataset!L421</f>
        <v>FREESHIP</v>
      </c>
      <c r="M421" s="6" t="str">
        <f>TRIM(Dataset!M421)</f>
        <v>Instagram</v>
      </c>
      <c r="N421" s="10">
        <f>VALUE(TRIM(Dataset!N421))</f>
        <v>433.32</v>
      </c>
    </row>
    <row r="422" spans="1:14" x14ac:dyDescent="0.35">
      <c r="A422" s="6" t="str">
        <f>TRIM(Dataset!A422)</f>
        <v>ORD200420</v>
      </c>
      <c r="B422" s="4">
        <f>Dataset!B422</f>
        <v>45625</v>
      </c>
      <c r="C422" s="6" t="str">
        <f>TRIM(Dataset!C422)</f>
        <v>C11921</v>
      </c>
      <c r="D422" s="6" t="str">
        <f>TRIM(Dataset!D422)</f>
        <v>Phone</v>
      </c>
      <c r="E422" s="13">
        <f>VALUE(TRIM(Dataset!E422))</f>
        <v>1</v>
      </c>
      <c r="F422" s="10">
        <f>VALUE(TRIM(Dataset!F422))</f>
        <v>452.7</v>
      </c>
      <c r="G422" s="6" t="str">
        <f>TRIM(Dataset!G422)</f>
        <v>439 Main St</v>
      </c>
      <c r="H422" s="6" t="str">
        <f>TRIM(Dataset!H422)</f>
        <v>Debit Card</v>
      </c>
      <c r="I422" s="6" t="str">
        <f>TRIM(Dataset!I422)</f>
        <v>Shipped</v>
      </c>
      <c r="J422" s="6" t="str">
        <f>TRIM(Dataset!J422)</f>
        <v>TRK91362635</v>
      </c>
      <c r="K422" s="8" t="str">
        <f>TRIM(Dataset!K422)</f>
        <v>5</v>
      </c>
      <c r="L422" s="6" t="str">
        <f>Dataset!L422</f>
        <v>FREESHIP</v>
      </c>
      <c r="M422" s="6" t="str">
        <f>TRIM(Dataset!M422)</f>
        <v>Instagram</v>
      </c>
      <c r="N422" s="10">
        <f>VALUE(TRIM(Dataset!N422))</f>
        <v>452.7</v>
      </c>
    </row>
    <row r="423" spans="1:14" x14ac:dyDescent="0.35">
      <c r="A423" s="6" t="str">
        <f>TRIM(Dataset!A423)</f>
        <v>ORD200421</v>
      </c>
      <c r="B423" s="4">
        <f>Dataset!B423</f>
        <v>45214</v>
      </c>
      <c r="C423" s="6" t="str">
        <f>TRIM(Dataset!C423)</f>
        <v>C50683</v>
      </c>
      <c r="D423" s="6" t="str">
        <f>TRIM(Dataset!D423)</f>
        <v>Chair</v>
      </c>
      <c r="E423" s="13">
        <f>VALUE(TRIM(Dataset!E423))</f>
        <v>2</v>
      </c>
      <c r="F423" s="10">
        <f>VALUE(TRIM(Dataset!F423))</f>
        <v>288.20999999999998</v>
      </c>
      <c r="G423" s="6" t="str">
        <f>TRIM(Dataset!G423)</f>
        <v>769 Main St</v>
      </c>
      <c r="H423" s="6" t="str">
        <f>TRIM(Dataset!H423)</f>
        <v>Debit Card</v>
      </c>
      <c r="I423" s="6" t="str">
        <f>TRIM(Dataset!I423)</f>
        <v>Cancelled</v>
      </c>
      <c r="J423" s="6" t="str">
        <f>TRIM(Dataset!J423)</f>
        <v>TRK53032122</v>
      </c>
      <c r="K423" s="8" t="str">
        <f>TRIM(Dataset!K423)</f>
        <v>5</v>
      </c>
      <c r="L423" s="6" t="s">
        <v>4284</v>
      </c>
      <c r="M423" s="6" t="str">
        <f>TRIM(Dataset!M423)</f>
        <v>Email</v>
      </c>
      <c r="N423" s="10">
        <f>VALUE(TRIM(Dataset!N423))</f>
        <v>576.41999999999996</v>
      </c>
    </row>
    <row r="424" spans="1:14" x14ac:dyDescent="0.35">
      <c r="A424" s="6" t="str">
        <f>TRIM(Dataset!A424)</f>
        <v>ORD200422</v>
      </c>
      <c r="B424" s="4">
        <f>Dataset!B424</f>
        <v>45082</v>
      </c>
      <c r="C424" s="6" t="str">
        <f>TRIM(Dataset!C424)</f>
        <v>C76140</v>
      </c>
      <c r="D424" s="6" t="str">
        <f>TRIM(Dataset!D424)</f>
        <v>Phone</v>
      </c>
      <c r="E424" s="13">
        <f>VALUE(TRIM(Dataset!E424))</f>
        <v>4</v>
      </c>
      <c r="F424" s="10">
        <f>VALUE(TRIM(Dataset!F424))</f>
        <v>206.6</v>
      </c>
      <c r="G424" s="6" t="str">
        <f>TRIM(Dataset!G424)</f>
        <v>914 Main St</v>
      </c>
      <c r="H424" s="6" t="str">
        <f>TRIM(Dataset!H424)</f>
        <v>Gift Card</v>
      </c>
      <c r="I424" s="6" t="str">
        <f>TRIM(Dataset!I424)</f>
        <v>Returned</v>
      </c>
      <c r="J424" s="6" t="str">
        <f>TRIM(Dataset!J424)</f>
        <v>TRK25861469</v>
      </c>
      <c r="K424" s="8" t="str">
        <f>TRIM(Dataset!K424)</f>
        <v>6</v>
      </c>
      <c r="L424" s="6" t="str">
        <f>Dataset!L424</f>
        <v>WINTER15</v>
      </c>
      <c r="M424" s="6" t="str">
        <f>TRIM(Dataset!M424)</f>
        <v>Referral</v>
      </c>
      <c r="N424" s="10">
        <f>VALUE(TRIM(Dataset!N424))</f>
        <v>826.4</v>
      </c>
    </row>
    <row r="425" spans="1:14" x14ac:dyDescent="0.35">
      <c r="A425" s="6" t="str">
        <f>TRIM(Dataset!A425)</f>
        <v>ORD200423</v>
      </c>
      <c r="B425" s="4">
        <f>Dataset!B425</f>
        <v>45493</v>
      </c>
      <c r="C425" s="6" t="str">
        <f>TRIM(Dataset!C425)</f>
        <v>C94311</v>
      </c>
      <c r="D425" s="6" t="str">
        <f>TRIM(Dataset!D425)</f>
        <v>Printer</v>
      </c>
      <c r="E425" s="13">
        <f>VALUE(TRIM(Dataset!E425))</f>
        <v>4</v>
      </c>
      <c r="F425" s="10">
        <f>VALUE(TRIM(Dataset!F425))</f>
        <v>685.2</v>
      </c>
      <c r="G425" s="6" t="str">
        <f>TRIM(Dataset!G425)</f>
        <v>195 Main St</v>
      </c>
      <c r="H425" s="6" t="str">
        <f>TRIM(Dataset!H425)</f>
        <v>Gift Card</v>
      </c>
      <c r="I425" s="6" t="str">
        <f>TRIM(Dataset!I425)</f>
        <v>Cancelled</v>
      </c>
      <c r="J425" s="6" t="str">
        <f>TRIM(Dataset!J425)</f>
        <v>TRK97308771</v>
      </c>
      <c r="K425" s="8" t="str">
        <f>TRIM(Dataset!K425)</f>
        <v>6</v>
      </c>
      <c r="L425" s="6" t="str">
        <f>Dataset!L425</f>
        <v>WINTER15</v>
      </c>
      <c r="M425" s="6" t="str">
        <f>TRIM(Dataset!M425)</f>
        <v>Google</v>
      </c>
      <c r="N425" s="10">
        <f>VALUE(TRIM(Dataset!N425))</f>
        <v>2740.8</v>
      </c>
    </row>
    <row r="426" spans="1:14" x14ac:dyDescent="0.35">
      <c r="A426" s="6" t="str">
        <f>TRIM(Dataset!A426)</f>
        <v>ORD200424</v>
      </c>
      <c r="B426" s="4">
        <f>Dataset!B426</f>
        <v>45028</v>
      </c>
      <c r="C426" s="6" t="str">
        <f>TRIM(Dataset!C426)</f>
        <v>C49491</v>
      </c>
      <c r="D426" s="6" t="str">
        <f>TRIM(Dataset!D426)</f>
        <v>Chair</v>
      </c>
      <c r="E426" s="13">
        <f>VALUE(TRIM(Dataset!E426))</f>
        <v>5</v>
      </c>
      <c r="F426" s="10">
        <f>VALUE(TRIM(Dataset!F426))</f>
        <v>22.94</v>
      </c>
      <c r="G426" s="6" t="str">
        <f>TRIM(Dataset!G426)</f>
        <v>339 Main St</v>
      </c>
      <c r="H426" s="6" t="str">
        <f>TRIM(Dataset!H426)</f>
        <v>Cash</v>
      </c>
      <c r="I426" s="6" t="str">
        <f>TRIM(Dataset!I426)</f>
        <v>Pending</v>
      </c>
      <c r="J426" s="6" t="str">
        <f>TRIM(Dataset!J426)</f>
        <v>TRK64012257</v>
      </c>
      <c r="K426" s="8" t="str">
        <f>TRIM(Dataset!K426)</f>
        <v>10</v>
      </c>
      <c r="L426" s="6" t="s">
        <v>4284</v>
      </c>
      <c r="M426" s="6" t="str">
        <f>TRIM(Dataset!M426)</f>
        <v>Email</v>
      </c>
      <c r="N426" s="10">
        <f>VALUE(TRIM(Dataset!N426))</f>
        <v>114.7</v>
      </c>
    </row>
    <row r="427" spans="1:14" x14ac:dyDescent="0.35">
      <c r="A427" s="6" t="str">
        <f>TRIM(Dataset!A427)</f>
        <v>ORD200425</v>
      </c>
      <c r="B427" s="4">
        <f>Dataset!B427</f>
        <v>44994</v>
      </c>
      <c r="C427" s="6" t="str">
        <f>TRIM(Dataset!C427)</f>
        <v>C40648</v>
      </c>
      <c r="D427" s="6" t="str">
        <f>TRIM(Dataset!D427)</f>
        <v>Laptop</v>
      </c>
      <c r="E427" s="13">
        <f>VALUE(TRIM(Dataset!E427))</f>
        <v>2</v>
      </c>
      <c r="F427" s="10">
        <f>VALUE(TRIM(Dataset!F427))</f>
        <v>301.88</v>
      </c>
      <c r="G427" s="6" t="str">
        <f>TRIM(Dataset!G427)</f>
        <v>488 Main St</v>
      </c>
      <c r="H427" s="6" t="str">
        <f>TRIM(Dataset!H427)</f>
        <v>Gift Card</v>
      </c>
      <c r="I427" s="6" t="str">
        <f>TRIM(Dataset!I427)</f>
        <v>Returned</v>
      </c>
      <c r="J427" s="6" t="str">
        <f>TRIM(Dataset!J427)</f>
        <v>TRK25325993</v>
      </c>
      <c r="K427" s="8" t="str">
        <f>TRIM(Dataset!K427)</f>
        <v>5</v>
      </c>
      <c r="L427" s="6" t="str">
        <f>Dataset!L427</f>
        <v>WINTER15</v>
      </c>
      <c r="M427" s="6" t="str">
        <f>TRIM(Dataset!M427)</f>
        <v>Email</v>
      </c>
      <c r="N427" s="10">
        <f>VALUE(TRIM(Dataset!N427))</f>
        <v>603.76</v>
      </c>
    </row>
    <row r="428" spans="1:14" x14ac:dyDescent="0.35">
      <c r="A428" s="6" t="str">
        <f>TRIM(Dataset!A428)</f>
        <v>ORD200426</v>
      </c>
      <c r="B428" s="4">
        <f>Dataset!B428</f>
        <v>45732</v>
      </c>
      <c r="C428" s="6" t="str">
        <f>TRIM(Dataset!C428)</f>
        <v>C40967</v>
      </c>
      <c r="D428" s="6" t="str">
        <f>TRIM(Dataset!D428)</f>
        <v>Monitor</v>
      </c>
      <c r="E428" s="13">
        <f>VALUE(TRIM(Dataset!E428))</f>
        <v>5</v>
      </c>
      <c r="F428" s="10">
        <f>VALUE(TRIM(Dataset!F428))</f>
        <v>57.45</v>
      </c>
      <c r="G428" s="6" t="str">
        <f>TRIM(Dataset!G428)</f>
        <v>315 Main St</v>
      </c>
      <c r="H428" s="6" t="str">
        <f>TRIM(Dataset!H428)</f>
        <v>Cash</v>
      </c>
      <c r="I428" s="6" t="str">
        <f>TRIM(Dataset!I428)</f>
        <v>Cancelled</v>
      </c>
      <c r="J428" s="6" t="str">
        <f>TRIM(Dataset!J428)</f>
        <v>TRK24839296</v>
      </c>
      <c r="K428" s="8" t="str">
        <f>TRIM(Dataset!K428)</f>
        <v>10</v>
      </c>
      <c r="L428" s="6" t="s">
        <v>4284</v>
      </c>
      <c r="M428" s="6" t="str">
        <f>TRIM(Dataset!M428)</f>
        <v>Facebook</v>
      </c>
      <c r="N428" s="10">
        <f>VALUE(TRIM(Dataset!N428))</f>
        <v>287.25</v>
      </c>
    </row>
    <row r="429" spans="1:14" x14ac:dyDescent="0.35">
      <c r="A429" s="6" t="str">
        <f>TRIM(Dataset!A429)</f>
        <v>ORD200427</v>
      </c>
      <c r="B429" s="4">
        <f>Dataset!B429</f>
        <v>45644</v>
      </c>
      <c r="C429" s="6" t="str">
        <f>TRIM(Dataset!C429)</f>
        <v>C25406</v>
      </c>
      <c r="D429" s="6" t="str">
        <f>TRIM(Dataset!D429)</f>
        <v>Desk</v>
      </c>
      <c r="E429" s="13">
        <f>VALUE(TRIM(Dataset!E429))</f>
        <v>1</v>
      </c>
      <c r="F429" s="10">
        <f>VALUE(TRIM(Dataset!F429))</f>
        <v>161.24</v>
      </c>
      <c r="G429" s="6" t="str">
        <f>TRIM(Dataset!G429)</f>
        <v>379 Main St</v>
      </c>
      <c r="H429" s="6" t="str">
        <f>TRIM(Dataset!H429)</f>
        <v>Credit Card</v>
      </c>
      <c r="I429" s="6" t="str">
        <f>TRIM(Dataset!I429)</f>
        <v>Pending</v>
      </c>
      <c r="J429" s="6" t="str">
        <f>TRIM(Dataset!J429)</f>
        <v>TRK70952564</v>
      </c>
      <c r="K429" s="8" t="str">
        <f>TRIM(Dataset!K429)</f>
        <v>3</v>
      </c>
      <c r="L429" s="6" t="str">
        <f>Dataset!L429</f>
        <v>WINTER15</v>
      </c>
      <c r="M429" s="6" t="str">
        <f>TRIM(Dataset!M429)</f>
        <v>Instagram</v>
      </c>
      <c r="N429" s="10">
        <f>VALUE(TRIM(Dataset!N429))</f>
        <v>161.24</v>
      </c>
    </row>
    <row r="430" spans="1:14" x14ac:dyDescent="0.35">
      <c r="A430" s="6" t="str">
        <f>TRIM(Dataset!A430)</f>
        <v>ORD200428</v>
      </c>
      <c r="B430" s="4">
        <f>Dataset!B430</f>
        <v>45622</v>
      </c>
      <c r="C430" s="6" t="str">
        <f>TRIM(Dataset!C430)</f>
        <v>C77085</v>
      </c>
      <c r="D430" s="6" t="str">
        <f>TRIM(Dataset!D430)</f>
        <v>Chair</v>
      </c>
      <c r="E430" s="13">
        <f>VALUE(TRIM(Dataset!E430))</f>
        <v>4</v>
      </c>
      <c r="F430" s="10">
        <f>VALUE(TRIM(Dataset!F430))</f>
        <v>262.58</v>
      </c>
      <c r="G430" s="6" t="str">
        <f>TRIM(Dataset!G430)</f>
        <v>895 Main St</v>
      </c>
      <c r="H430" s="6" t="str">
        <f>TRIM(Dataset!H430)</f>
        <v>Online</v>
      </c>
      <c r="I430" s="6" t="str">
        <f>TRIM(Dataset!I430)</f>
        <v>Cancelled</v>
      </c>
      <c r="J430" s="6" t="str">
        <f>TRIM(Dataset!J430)</f>
        <v>TRK57227640</v>
      </c>
      <c r="K430" s="8" t="str">
        <f>TRIM(Dataset!K430)</f>
        <v>8</v>
      </c>
      <c r="L430" s="6" t="str">
        <f>Dataset!L430</f>
        <v>WINTER15</v>
      </c>
      <c r="M430" s="6" t="str">
        <f>TRIM(Dataset!M430)</f>
        <v>Email</v>
      </c>
      <c r="N430" s="10">
        <f>VALUE(TRIM(Dataset!N430))</f>
        <v>1050.32</v>
      </c>
    </row>
    <row r="431" spans="1:14" x14ac:dyDescent="0.35">
      <c r="A431" s="6" t="str">
        <f>TRIM(Dataset!A431)</f>
        <v>ORD200429</v>
      </c>
      <c r="B431" s="4">
        <f>Dataset!B431</f>
        <v>45645</v>
      </c>
      <c r="C431" s="6" t="str">
        <f>TRIM(Dataset!C431)</f>
        <v>C38126</v>
      </c>
      <c r="D431" s="6" t="str">
        <f>TRIM(Dataset!D431)</f>
        <v>Printer</v>
      </c>
      <c r="E431" s="13">
        <f>VALUE(TRIM(Dataset!E431))</f>
        <v>4</v>
      </c>
      <c r="F431" s="10">
        <f>VALUE(TRIM(Dataset!F431))</f>
        <v>515.19000000000005</v>
      </c>
      <c r="G431" s="6" t="str">
        <f>TRIM(Dataset!G431)</f>
        <v>522 Main St</v>
      </c>
      <c r="H431" s="6" t="str">
        <f>TRIM(Dataset!H431)</f>
        <v>Credit Card</v>
      </c>
      <c r="I431" s="6" t="str">
        <f>TRIM(Dataset!I431)</f>
        <v>Pending</v>
      </c>
      <c r="J431" s="6" t="str">
        <f>TRIM(Dataset!J431)</f>
        <v>TRK90838498</v>
      </c>
      <c r="K431" s="8" t="str">
        <f>TRIM(Dataset!K431)</f>
        <v>9</v>
      </c>
      <c r="L431" s="6" t="str">
        <f>Dataset!L431</f>
        <v>SAVE10</v>
      </c>
      <c r="M431" s="6" t="str">
        <f>TRIM(Dataset!M431)</f>
        <v>Facebook</v>
      </c>
      <c r="N431" s="10">
        <f>VALUE(TRIM(Dataset!N431))</f>
        <v>2060.7600000000002</v>
      </c>
    </row>
    <row r="432" spans="1:14" x14ac:dyDescent="0.35">
      <c r="A432" s="6" t="str">
        <f>TRIM(Dataset!A432)</f>
        <v>ORD200430</v>
      </c>
      <c r="B432" s="4">
        <f>Dataset!B432</f>
        <v>45084</v>
      </c>
      <c r="C432" s="6" t="str">
        <f>TRIM(Dataset!C432)</f>
        <v>C87448</v>
      </c>
      <c r="D432" s="6" t="str">
        <f>TRIM(Dataset!D432)</f>
        <v>Phone</v>
      </c>
      <c r="E432" s="13">
        <f>VALUE(TRIM(Dataset!E432))</f>
        <v>1</v>
      </c>
      <c r="F432" s="10">
        <f>VALUE(TRIM(Dataset!F432))</f>
        <v>450.07</v>
      </c>
      <c r="G432" s="6" t="str">
        <f>TRIM(Dataset!G432)</f>
        <v>433 Main St</v>
      </c>
      <c r="H432" s="6" t="str">
        <f>TRIM(Dataset!H432)</f>
        <v>Gift Card</v>
      </c>
      <c r="I432" s="6" t="str">
        <f>TRIM(Dataset!I432)</f>
        <v>Shipped</v>
      </c>
      <c r="J432" s="6" t="str">
        <f>TRIM(Dataset!J432)</f>
        <v>TRK44134016</v>
      </c>
      <c r="K432" s="8" t="str">
        <f>TRIM(Dataset!K432)</f>
        <v>6</v>
      </c>
      <c r="L432" s="6" t="str">
        <f>Dataset!L432</f>
        <v>FREESHIP</v>
      </c>
      <c r="M432" s="6" t="str">
        <f>TRIM(Dataset!M432)</f>
        <v>Google</v>
      </c>
      <c r="N432" s="10">
        <f>VALUE(TRIM(Dataset!N432))</f>
        <v>450.07</v>
      </c>
    </row>
    <row r="433" spans="1:14" x14ac:dyDescent="0.35">
      <c r="A433" s="6" t="str">
        <f>TRIM(Dataset!A433)</f>
        <v>ORD200431</v>
      </c>
      <c r="B433" s="4">
        <f>Dataset!B433</f>
        <v>45571</v>
      </c>
      <c r="C433" s="6" t="str">
        <f>TRIM(Dataset!C433)</f>
        <v>C62312</v>
      </c>
      <c r="D433" s="6" t="str">
        <f>TRIM(Dataset!D433)</f>
        <v>Printer</v>
      </c>
      <c r="E433" s="13">
        <f>VALUE(TRIM(Dataset!E433))</f>
        <v>1</v>
      </c>
      <c r="F433" s="10">
        <f>VALUE(TRIM(Dataset!F433))</f>
        <v>52.54</v>
      </c>
      <c r="G433" s="6" t="str">
        <f>TRIM(Dataset!G433)</f>
        <v>651 Main St</v>
      </c>
      <c r="H433" s="6" t="str">
        <f>TRIM(Dataset!H433)</f>
        <v>Debit Card</v>
      </c>
      <c r="I433" s="6" t="str">
        <f>TRIM(Dataset!I433)</f>
        <v>Cancelled</v>
      </c>
      <c r="J433" s="6" t="str">
        <f>TRIM(Dataset!J433)</f>
        <v>TRK59623037</v>
      </c>
      <c r="K433" s="8" t="str">
        <f>TRIM(Dataset!K433)</f>
        <v>6</v>
      </c>
      <c r="L433" s="6" t="str">
        <f>Dataset!L433</f>
        <v>WINTER15</v>
      </c>
      <c r="M433" s="6" t="str">
        <f>TRIM(Dataset!M433)</f>
        <v>Facebook</v>
      </c>
      <c r="N433" s="10">
        <f>VALUE(TRIM(Dataset!N433))</f>
        <v>52.54</v>
      </c>
    </row>
    <row r="434" spans="1:14" x14ac:dyDescent="0.35">
      <c r="A434" s="6" t="str">
        <f>TRIM(Dataset!A434)</f>
        <v>ORD200432</v>
      </c>
      <c r="B434" s="4">
        <f>Dataset!B434</f>
        <v>45173</v>
      </c>
      <c r="C434" s="6" t="str">
        <f>TRIM(Dataset!C434)</f>
        <v>C58443</v>
      </c>
      <c r="D434" s="6" t="str">
        <f>TRIM(Dataset!D434)</f>
        <v>Tablet</v>
      </c>
      <c r="E434" s="13">
        <f>VALUE(TRIM(Dataset!E434))</f>
        <v>2</v>
      </c>
      <c r="F434" s="10">
        <f>VALUE(TRIM(Dataset!F434))</f>
        <v>424.32</v>
      </c>
      <c r="G434" s="6" t="str">
        <f>TRIM(Dataset!G434)</f>
        <v>662 Main St</v>
      </c>
      <c r="H434" s="6" t="str">
        <f>TRIM(Dataset!H434)</f>
        <v>Credit Card</v>
      </c>
      <c r="I434" s="6" t="str">
        <f>TRIM(Dataset!I434)</f>
        <v>Returned</v>
      </c>
      <c r="J434" s="6" t="str">
        <f>TRIM(Dataset!J434)</f>
        <v>TRK77163738</v>
      </c>
      <c r="K434" s="8" t="str">
        <f>TRIM(Dataset!K434)</f>
        <v>6</v>
      </c>
      <c r="L434" s="6" t="s">
        <v>4284</v>
      </c>
      <c r="M434" s="6" t="str">
        <f>TRIM(Dataset!M434)</f>
        <v>Referral</v>
      </c>
      <c r="N434" s="10">
        <f>VALUE(TRIM(Dataset!N434))</f>
        <v>848.64</v>
      </c>
    </row>
    <row r="435" spans="1:14" x14ac:dyDescent="0.35">
      <c r="A435" s="6" t="str">
        <f>TRIM(Dataset!A435)</f>
        <v>ORD200433</v>
      </c>
      <c r="B435" s="4">
        <f>Dataset!B435</f>
        <v>45164</v>
      </c>
      <c r="C435" s="6" t="str">
        <f>TRIM(Dataset!C435)</f>
        <v>C36613</v>
      </c>
      <c r="D435" s="6" t="str">
        <f>TRIM(Dataset!D435)</f>
        <v>Monitor</v>
      </c>
      <c r="E435" s="13">
        <f>VALUE(TRIM(Dataset!E435))</f>
        <v>3</v>
      </c>
      <c r="F435" s="10">
        <f>VALUE(TRIM(Dataset!F435))</f>
        <v>631.64</v>
      </c>
      <c r="G435" s="6" t="str">
        <f>TRIM(Dataset!G435)</f>
        <v>785 Main St</v>
      </c>
      <c r="H435" s="6" t="str">
        <f>TRIM(Dataset!H435)</f>
        <v>Credit Card</v>
      </c>
      <c r="I435" s="6" t="str">
        <f>TRIM(Dataset!I435)</f>
        <v>Returned</v>
      </c>
      <c r="J435" s="6" t="str">
        <f>TRIM(Dataset!J435)</f>
        <v>TRK13282106</v>
      </c>
      <c r="K435" s="8" t="str">
        <f>TRIM(Dataset!K435)</f>
        <v>3</v>
      </c>
      <c r="L435" s="6" t="str">
        <f>Dataset!L435</f>
        <v>FREESHIP</v>
      </c>
      <c r="M435" s="6" t="str">
        <f>TRIM(Dataset!M435)</f>
        <v>Facebook</v>
      </c>
      <c r="N435" s="10">
        <f>VALUE(TRIM(Dataset!N435))</f>
        <v>1894.92</v>
      </c>
    </row>
    <row r="436" spans="1:14" x14ac:dyDescent="0.35">
      <c r="A436" s="6" t="str">
        <f>TRIM(Dataset!A436)</f>
        <v>ORD200434</v>
      </c>
      <c r="B436" s="4">
        <f>Dataset!B436</f>
        <v>45221</v>
      </c>
      <c r="C436" s="6" t="str">
        <f>TRIM(Dataset!C436)</f>
        <v>C73893</v>
      </c>
      <c r="D436" s="6" t="str">
        <f>TRIM(Dataset!D436)</f>
        <v>Printer</v>
      </c>
      <c r="E436" s="13">
        <f>VALUE(TRIM(Dataset!E436))</f>
        <v>5</v>
      </c>
      <c r="F436" s="10">
        <f>VALUE(TRIM(Dataset!F436))</f>
        <v>327.68</v>
      </c>
      <c r="G436" s="6" t="str">
        <f>TRIM(Dataset!G436)</f>
        <v>384 Main St</v>
      </c>
      <c r="H436" s="6" t="str">
        <f>TRIM(Dataset!H436)</f>
        <v>Credit Card</v>
      </c>
      <c r="I436" s="6" t="str">
        <f>TRIM(Dataset!I436)</f>
        <v>Returned</v>
      </c>
      <c r="J436" s="6" t="str">
        <f>TRIM(Dataset!J436)</f>
        <v>TRK85939879</v>
      </c>
      <c r="K436" s="8" t="str">
        <f>TRIM(Dataset!K436)</f>
        <v>6</v>
      </c>
      <c r="L436" s="6" t="s">
        <v>4284</v>
      </c>
      <c r="M436" s="6" t="str">
        <f>TRIM(Dataset!M436)</f>
        <v>Facebook</v>
      </c>
      <c r="N436" s="10">
        <f>VALUE(TRIM(Dataset!N436))</f>
        <v>1638.4</v>
      </c>
    </row>
    <row r="437" spans="1:14" x14ac:dyDescent="0.35">
      <c r="A437" s="6" t="str">
        <f>TRIM(Dataset!A437)</f>
        <v>ORD200435</v>
      </c>
      <c r="B437" s="4">
        <f>Dataset!B437</f>
        <v>45073</v>
      </c>
      <c r="C437" s="6" t="str">
        <f>TRIM(Dataset!C437)</f>
        <v>C48601</v>
      </c>
      <c r="D437" s="6" t="str">
        <f>TRIM(Dataset!D437)</f>
        <v>Printer</v>
      </c>
      <c r="E437" s="13">
        <f>VALUE(TRIM(Dataset!E437))</f>
        <v>1</v>
      </c>
      <c r="F437" s="10">
        <f>VALUE(TRIM(Dataset!F437))</f>
        <v>414.47</v>
      </c>
      <c r="G437" s="6" t="str">
        <f>TRIM(Dataset!G437)</f>
        <v>101 Main St</v>
      </c>
      <c r="H437" s="6" t="str">
        <f>TRIM(Dataset!H437)</f>
        <v>Debit Card</v>
      </c>
      <c r="I437" s="6" t="str">
        <f>TRIM(Dataset!I437)</f>
        <v>Returned</v>
      </c>
      <c r="J437" s="6" t="str">
        <f>TRIM(Dataset!J437)</f>
        <v>TRK97868309</v>
      </c>
      <c r="K437" s="8" t="str">
        <f>TRIM(Dataset!K437)</f>
        <v>3</v>
      </c>
      <c r="L437" s="6" t="str">
        <f>Dataset!L437</f>
        <v>FREESHIP</v>
      </c>
      <c r="M437" s="6" t="str">
        <f>TRIM(Dataset!M437)</f>
        <v>Instagram</v>
      </c>
      <c r="N437" s="10">
        <f>VALUE(TRIM(Dataset!N437))</f>
        <v>414.47</v>
      </c>
    </row>
    <row r="438" spans="1:14" x14ac:dyDescent="0.35">
      <c r="A438" s="6" t="str">
        <f>TRIM(Dataset!A438)</f>
        <v>ORD200436</v>
      </c>
      <c r="B438" s="4">
        <f>Dataset!B438</f>
        <v>44968</v>
      </c>
      <c r="C438" s="6" t="str">
        <f>TRIM(Dataset!C438)</f>
        <v>C14568</v>
      </c>
      <c r="D438" s="6" t="str">
        <f>TRIM(Dataset!D438)</f>
        <v>Laptop</v>
      </c>
      <c r="E438" s="13">
        <f>VALUE(TRIM(Dataset!E438))</f>
        <v>4</v>
      </c>
      <c r="F438" s="10">
        <f>VALUE(TRIM(Dataset!F438))</f>
        <v>221.33</v>
      </c>
      <c r="G438" s="6" t="str">
        <f>TRIM(Dataset!G438)</f>
        <v>651 Main St</v>
      </c>
      <c r="H438" s="6" t="str">
        <f>TRIM(Dataset!H438)</f>
        <v>Online</v>
      </c>
      <c r="I438" s="6" t="str">
        <f>TRIM(Dataset!I438)</f>
        <v>Pending</v>
      </c>
      <c r="J438" s="6" t="str">
        <f>TRIM(Dataset!J438)</f>
        <v>TRK73545796</v>
      </c>
      <c r="K438" s="8" t="str">
        <f>TRIM(Dataset!K438)</f>
        <v>5</v>
      </c>
      <c r="L438" s="6" t="s">
        <v>4284</v>
      </c>
      <c r="M438" s="6" t="str">
        <f>TRIM(Dataset!M438)</f>
        <v>Google</v>
      </c>
      <c r="N438" s="10">
        <f>VALUE(TRIM(Dataset!N438))</f>
        <v>885.32</v>
      </c>
    </row>
    <row r="439" spans="1:14" x14ac:dyDescent="0.35">
      <c r="A439" s="6" t="str">
        <f>TRIM(Dataset!A439)</f>
        <v>ORD200437</v>
      </c>
      <c r="B439" s="4">
        <f>Dataset!B439</f>
        <v>45400</v>
      </c>
      <c r="C439" s="6" t="str">
        <f>TRIM(Dataset!C439)</f>
        <v>C63378</v>
      </c>
      <c r="D439" s="6" t="str">
        <f>TRIM(Dataset!D439)</f>
        <v>Phone</v>
      </c>
      <c r="E439" s="13">
        <f>VALUE(TRIM(Dataset!E439))</f>
        <v>1</v>
      </c>
      <c r="F439" s="10">
        <f>VALUE(TRIM(Dataset!F439))</f>
        <v>512.39</v>
      </c>
      <c r="G439" s="6" t="str">
        <f>TRIM(Dataset!G439)</f>
        <v>955 Main St</v>
      </c>
      <c r="H439" s="6" t="str">
        <f>TRIM(Dataset!H439)</f>
        <v>Online</v>
      </c>
      <c r="I439" s="6" t="str">
        <f>TRIM(Dataset!I439)</f>
        <v>Delivered</v>
      </c>
      <c r="J439" s="6" t="str">
        <f>TRIM(Dataset!J439)</f>
        <v>TRK20863705</v>
      </c>
      <c r="K439" s="8" t="str">
        <f>TRIM(Dataset!K439)</f>
        <v>2</v>
      </c>
      <c r="L439" s="6" t="str">
        <f>Dataset!L439</f>
        <v>FREESHIP</v>
      </c>
      <c r="M439" s="6" t="str">
        <f>TRIM(Dataset!M439)</f>
        <v>Instagram</v>
      </c>
      <c r="N439" s="10">
        <f>VALUE(TRIM(Dataset!N439))</f>
        <v>512.39</v>
      </c>
    </row>
    <row r="440" spans="1:14" x14ac:dyDescent="0.35">
      <c r="A440" s="6" t="str">
        <f>TRIM(Dataset!A440)</f>
        <v>ORD200438</v>
      </c>
      <c r="B440" s="4">
        <f>Dataset!B440</f>
        <v>45660</v>
      </c>
      <c r="C440" s="6" t="str">
        <f>TRIM(Dataset!C440)</f>
        <v>C77800</v>
      </c>
      <c r="D440" s="6" t="str">
        <f>TRIM(Dataset!D440)</f>
        <v>Tablet</v>
      </c>
      <c r="E440" s="13">
        <f>VALUE(TRIM(Dataset!E440))</f>
        <v>3</v>
      </c>
      <c r="F440" s="10">
        <f>VALUE(TRIM(Dataset!F440))</f>
        <v>459.34</v>
      </c>
      <c r="G440" s="6" t="str">
        <f>TRIM(Dataset!G440)</f>
        <v>436 Main St</v>
      </c>
      <c r="H440" s="6" t="str">
        <f>TRIM(Dataset!H440)</f>
        <v>Gift Card</v>
      </c>
      <c r="I440" s="6" t="str">
        <f>TRIM(Dataset!I440)</f>
        <v>Pending</v>
      </c>
      <c r="J440" s="6" t="str">
        <f>TRIM(Dataset!J440)</f>
        <v>TRK27439574</v>
      </c>
      <c r="K440" s="8" t="str">
        <f>TRIM(Dataset!K440)</f>
        <v>3</v>
      </c>
      <c r="L440" s="6" t="str">
        <f>Dataset!L440</f>
        <v>SAVE10</v>
      </c>
      <c r="M440" s="6" t="str">
        <f>TRIM(Dataset!M440)</f>
        <v>Instagram</v>
      </c>
      <c r="N440" s="10">
        <f>VALUE(TRIM(Dataset!N440))</f>
        <v>1378.02</v>
      </c>
    </row>
    <row r="441" spans="1:14" x14ac:dyDescent="0.35">
      <c r="A441" s="6" t="str">
        <f>TRIM(Dataset!A441)</f>
        <v>ORD200439</v>
      </c>
      <c r="B441" s="4">
        <f>Dataset!B441</f>
        <v>45543</v>
      </c>
      <c r="C441" s="6" t="str">
        <f>TRIM(Dataset!C441)</f>
        <v>C91155</v>
      </c>
      <c r="D441" s="6" t="str">
        <f>TRIM(Dataset!D441)</f>
        <v>Tablet</v>
      </c>
      <c r="E441" s="13">
        <f>VALUE(TRIM(Dataset!E441))</f>
        <v>1</v>
      </c>
      <c r="F441" s="10">
        <f>VALUE(TRIM(Dataset!F441))</f>
        <v>146.32</v>
      </c>
      <c r="G441" s="6" t="str">
        <f>TRIM(Dataset!G441)</f>
        <v>321 Main St</v>
      </c>
      <c r="H441" s="6" t="str">
        <f>TRIM(Dataset!H441)</f>
        <v>Online</v>
      </c>
      <c r="I441" s="6" t="str">
        <f>TRIM(Dataset!I441)</f>
        <v>Shipped</v>
      </c>
      <c r="J441" s="6" t="str">
        <f>TRIM(Dataset!J441)</f>
        <v>TRK36260319</v>
      </c>
      <c r="K441" s="8" t="str">
        <f>TRIM(Dataset!K441)</f>
        <v>4</v>
      </c>
      <c r="L441" s="6" t="str">
        <f>Dataset!L441</f>
        <v>WINTER15</v>
      </c>
      <c r="M441" s="6" t="str">
        <f>TRIM(Dataset!M441)</f>
        <v>Facebook</v>
      </c>
      <c r="N441" s="10">
        <f>VALUE(TRIM(Dataset!N441))</f>
        <v>146.32</v>
      </c>
    </row>
    <row r="442" spans="1:14" x14ac:dyDescent="0.35">
      <c r="A442" s="6" t="str">
        <f>TRIM(Dataset!A442)</f>
        <v>ORD200440</v>
      </c>
      <c r="B442" s="4">
        <f>Dataset!B442</f>
        <v>45601</v>
      </c>
      <c r="C442" s="6" t="str">
        <f>TRIM(Dataset!C442)</f>
        <v>C60215</v>
      </c>
      <c r="D442" s="6" t="str">
        <f>TRIM(Dataset!D442)</f>
        <v>Desk</v>
      </c>
      <c r="E442" s="13">
        <f>VALUE(TRIM(Dataset!E442))</f>
        <v>4</v>
      </c>
      <c r="F442" s="10">
        <f>VALUE(TRIM(Dataset!F442))</f>
        <v>83.6</v>
      </c>
      <c r="G442" s="6" t="str">
        <f>TRIM(Dataset!G442)</f>
        <v>978 Main St</v>
      </c>
      <c r="H442" s="6" t="str">
        <f>TRIM(Dataset!H442)</f>
        <v>Debit Card</v>
      </c>
      <c r="I442" s="6" t="str">
        <f>TRIM(Dataset!I442)</f>
        <v>Pending</v>
      </c>
      <c r="J442" s="6" t="str">
        <f>TRIM(Dataset!J442)</f>
        <v>TRK31727767</v>
      </c>
      <c r="K442" s="8" t="str">
        <f>TRIM(Dataset!K442)</f>
        <v>4</v>
      </c>
      <c r="L442" s="6" t="str">
        <f>Dataset!L442</f>
        <v>SAVE10</v>
      </c>
      <c r="M442" s="6" t="str">
        <f>TRIM(Dataset!M442)</f>
        <v>Facebook</v>
      </c>
      <c r="N442" s="10">
        <f>VALUE(TRIM(Dataset!N442))</f>
        <v>334.4</v>
      </c>
    </row>
    <row r="443" spans="1:14" x14ac:dyDescent="0.35">
      <c r="A443" s="6" t="str">
        <f>TRIM(Dataset!A443)</f>
        <v>ORD200441</v>
      </c>
      <c r="B443" s="4">
        <f>Dataset!B443</f>
        <v>45273</v>
      </c>
      <c r="C443" s="6" t="str">
        <f>TRIM(Dataset!C443)</f>
        <v>C52915</v>
      </c>
      <c r="D443" s="6" t="str">
        <f>TRIM(Dataset!D443)</f>
        <v>Printer</v>
      </c>
      <c r="E443" s="13">
        <f>VALUE(TRIM(Dataset!E443))</f>
        <v>2</v>
      </c>
      <c r="F443" s="10">
        <f>VALUE(TRIM(Dataset!F443))</f>
        <v>328.54</v>
      </c>
      <c r="G443" s="6" t="str">
        <f>TRIM(Dataset!G443)</f>
        <v>475 Main St</v>
      </c>
      <c r="H443" s="6" t="str">
        <f>TRIM(Dataset!H443)</f>
        <v>Gift Card</v>
      </c>
      <c r="I443" s="6" t="str">
        <f>TRIM(Dataset!I443)</f>
        <v>Returned</v>
      </c>
      <c r="J443" s="6" t="str">
        <f>TRIM(Dataset!J443)</f>
        <v>TRK79466982</v>
      </c>
      <c r="K443" s="8" t="str">
        <f>TRIM(Dataset!K443)</f>
        <v>6</v>
      </c>
      <c r="L443" s="6" t="str">
        <f>Dataset!L443</f>
        <v>FREESHIP</v>
      </c>
      <c r="M443" s="6" t="str">
        <f>TRIM(Dataset!M443)</f>
        <v>Email</v>
      </c>
      <c r="N443" s="10">
        <f>VALUE(TRIM(Dataset!N443))</f>
        <v>657.08</v>
      </c>
    </row>
    <row r="444" spans="1:14" x14ac:dyDescent="0.35">
      <c r="A444" s="6" t="str">
        <f>TRIM(Dataset!A444)</f>
        <v>ORD200442</v>
      </c>
      <c r="B444" s="4">
        <f>Dataset!B444</f>
        <v>45418</v>
      </c>
      <c r="C444" s="6" t="str">
        <f>TRIM(Dataset!C444)</f>
        <v>C72588</v>
      </c>
      <c r="D444" s="6" t="str">
        <f>TRIM(Dataset!D444)</f>
        <v>Chair</v>
      </c>
      <c r="E444" s="13">
        <f>VALUE(TRIM(Dataset!E444))</f>
        <v>5</v>
      </c>
      <c r="F444" s="10">
        <f>VALUE(TRIM(Dataset!F444))</f>
        <v>314.94</v>
      </c>
      <c r="G444" s="6" t="str">
        <f>TRIM(Dataset!G444)</f>
        <v>661 Main St</v>
      </c>
      <c r="H444" s="6" t="str">
        <f>TRIM(Dataset!H444)</f>
        <v>Cash</v>
      </c>
      <c r="I444" s="6" t="str">
        <f>TRIM(Dataset!I444)</f>
        <v>Pending</v>
      </c>
      <c r="J444" s="6" t="str">
        <f>TRIM(Dataset!J444)</f>
        <v>TRK43410829</v>
      </c>
      <c r="K444" s="8" t="str">
        <f>TRIM(Dataset!K444)</f>
        <v>8</v>
      </c>
      <c r="L444" s="6" t="str">
        <f>Dataset!L444</f>
        <v>SAVE10</v>
      </c>
      <c r="M444" s="6" t="str">
        <f>TRIM(Dataset!M444)</f>
        <v>Instagram</v>
      </c>
      <c r="N444" s="10">
        <f>VALUE(TRIM(Dataset!N444))</f>
        <v>1574.7</v>
      </c>
    </row>
    <row r="445" spans="1:14" x14ac:dyDescent="0.35">
      <c r="A445" s="6" t="str">
        <f>TRIM(Dataset!A445)</f>
        <v>ORD200443</v>
      </c>
      <c r="B445" s="4">
        <f>Dataset!B445</f>
        <v>45426</v>
      </c>
      <c r="C445" s="6" t="str">
        <f>TRIM(Dataset!C445)</f>
        <v>C61668</v>
      </c>
      <c r="D445" s="6" t="str">
        <f>TRIM(Dataset!D445)</f>
        <v>Chair</v>
      </c>
      <c r="E445" s="13">
        <f>VALUE(TRIM(Dataset!E445))</f>
        <v>2</v>
      </c>
      <c r="F445" s="10">
        <f>VALUE(TRIM(Dataset!F445))</f>
        <v>69.64</v>
      </c>
      <c r="G445" s="6" t="str">
        <f>TRIM(Dataset!G445)</f>
        <v>813 Main St</v>
      </c>
      <c r="H445" s="6" t="str">
        <f>TRIM(Dataset!H445)</f>
        <v>Cash</v>
      </c>
      <c r="I445" s="6" t="str">
        <f>TRIM(Dataset!I445)</f>
        <v>Returned</v>
      </c>
      <c r="J445" s="6" t="str">
        <f>TRIM(Dataset!J445)</f>
        <v>TRK58970302</v>
      </c>
      <c r="K445" s="8" t="str">
        <f>TRIM(Dataset!K445)</f>
        <v>6</v>
      </c>
      <c r="L445" s="6" t="s">
        <v>4284</v>
      </c>
      <c r="M445" s="6" t="str">
        <f>TRIM(Dataset!M445)</f>
        <v>Facebook</v>
      </c>
      <c r="N445" s="10">
        <f>VALUE(TRIM(Dataset!N445))</f>
        <v>139.28</v>
      </c>
    </row>
    <row r="446" spans="1:14" x14ac:dyDescent="0.35">
      <c r="A446" s="6" t="str">
        <f>TRIM(Dataset!A446)</f>
        <v>ORD200444</v>
      </c>
      <c r="B446" s="4">
        <f>Dataset!B446</f>
        <v>45451</v>
      </c>
      <c r="C446" s="6" t="str">
        <f>TRIM(Dataset!C446)</f>
        <v>C79508</v>
      </c>
      <c r="D446" s="6" t="str">
        <f>TRIM(Dataset!D446)</f>
        <v>Printer</v>
      </c>
      <c r="E446" s="13">
        <f>VALUE(TRIM(Dataset!E446))</f>
        <v>1</v>
      </c>
      <c r="F446" s="10">
        <f>VALUE(TRIM(Dataset!F446))</f>
        <v>135.16999999999999</v>
      </c>
      <c r="G446" s="6" t="str">
        <f>TRIM(Dataset!G446)</f>
        <v>585 Main St</v>
      </c>
      <c r="H446" s="6" t="str">
        <f>TRIM(Dataset!H446)</f>
        <v>Online</v>
      </c>
      <c r="I446" s="6" t="str">
        <f>TRIM(Dataset!I446)</f>
        <v>Shipped</v>
      </c>
      <c r="J446" s="6" t="str">
        <f>TRIM(Dataset!J446)</f>
        <v>TRK61882353</v>
      </c>
      <c r="K446" s="8" t="str">
        <f>TRIM(Dataset!K446)</f>
        <v>6</v>
      </c>
      <c r="L446" s="6" t="str">
        <f>Dataset!L446</f>
        <v>FREESHIP</v>
      </c>
      <c r="M446" s="6" t="str">
        <f>TRIM(Dataset!M446)</f>
        <v>Instagram</v>
      </c>
      <c r="N446" s="10">
        <f>VALUE(TRIM(Dataset!N446))</f>
        <v>135.16999999999999</v>
      </c>
    </row>
    <row r="447" spans="1:14" x14ac:dyDescent="0.35">
      <c r="A447" s="6" t="str">
        <f>TRIM(Dataset!A447)</f>
        <v>ORD200445</v>
      </c>
      <c r="B447" s="4">
        <f>Dataset!B447</f>
        <v>45374</v>
      </c>
      <c r="C447" s="6" t="str">
        <f>TRIM(Dataset!C447)</f>
        <v>C94569</v>
      </c>
      <c r="D447" s="6" t="str">
        <f>TRIM(Dataset!D447)</f>
        <v>Phone</v>
      </c>
      <c r="E447" s="13">
        <f>VALUE(TRIM(Dataset!E447))</f>
        <v>1</v>
      </c>
      <c r="F447" s="10">
        <f>VALUE(TRIM(Dataset!F447))</f>
        <v>487.21</v>
      </c>
      <c r="G447" s="6" t="str">
        <f>TRIM(Dataset!G447)</f>
        <v>227 Main St</v>
      </c>
      <c r="H447" s="6" t="str">
        <f>TRIM(Dataset!H447)</f>
        <v>Cash</v>
      </c>
      <c r="I447" s="6" t="str">
        <f>TRIM(Dataset!I447)</f>
        <v>Delivered</v>
      </c>
      <c r="J447" s="6" t="str">
        <f>TRIM(Dataset!J447)</f>
        <v>TRK31351770</v>
      </c>
      <c r="K447" s="8" t="str">
        <f>TRIM(Dataset!K447)</f>
        <v>3</v>
      </c>
      <c r="L447" s="6" t="str">
        <f>Dataset!L447</f>
        <v>SAVE10</v>
      </c>
      <c r="M447" s="6" t="str">
        <f>TRIM(Dataset!M447)</f>
        <v>Referral</v>
      </c>
      <c r="N447" s="10">
        <f>VALUE(TRIM(Dataset!N447))</f>
        <v>487.21</v>
      </c>
    </row>
    <row r="448" spans="1:14" x14ac:dyDescent="0.35">
      <c r="A448" s="6" t="str">
        <f>TRIM(Dataset!A448)</f>
        <v>ORD200446</v>
      </c>
      <c r="B448" s="4">
        <f>Dataset!B448</f>
        <v>45217</v>
      </c>
      <c r="C448" s="6" t="str">
        <f>TRIM(Dataset!C448)</f>
        <v>C89592</v>
      </c>
      <c r="D448" s="6" t="str">
        <f>TRIM(Dataset!D448)</f>
        <v>Laptop</v>
      </c>
      <c r="E448" s="13">
        <f>VALUE(TRIM(Dataset!E448))</f>
        <v>5</v>
      </c>
      <c r="F448" s="10">
        <f>VALUE(TRIM(Dataset!F448))</f>
        <v>509.58</v>
      </c>
      <c r="G448" s="6" t="str">
        <f>TRIM(Dataset!G448)</f>
        <v>262 Main St</v>
      </c>
      <c r="H448" s="6" t="str">
        <f>TRIM(Dataset!H448)</f>
        <v>Online</v>
      </c>
      <c r="I448" s="6" t="str">
        <f>TRIM(Dataset!I448)</f>
        <v>Delivered</v>
      </c>
      <c r="J448" s="6" t="str">
        <f>TRIM(Dataset!J448)</f>
        <v>TRK49442402</v>
      </c>
      <c r="K448" s="8" t="str">
        <f>TRIM(Dataset!K448)</f>
        <v>6</v>
      </c>
      <c r="L448" s="6" t="str">
        <f>Dataset!L448</f>
        <v>FREESHIP</v>
      </c>
      <c r="M448" s="6" t="str">
        <f>TRIM(Dataset!M448)</f>
        <v>Instagram</v>
      </c>
      <c r="N448" s="10">
        <f>VALUE(TRIM(Dataset!N448))</f>
        <v>2547.9</v>
      </c>
    </row>
    <row r="449" spans="1:14" x14ac:dyDescent="0.35">
      <c r="A449" s="6" t="str">
        <f>TRIM(Dataset!A449)</f>
        <v>ORD200447</v>
      </c>
      <c r="B449" s="4">
        <f>Dataset!B449</f>
        <v>45389</v>
      </c>
      <c r="C449" s="6" t="str">
        <f>TRIM(Dataset!C449)</f>
        <v>C48207</v>
      </c>
      <c r="D449" s="6" t="str">
        <f>TRIM(Dataset!D449)</f>
        <v>Printer</v>
      </c>
      <c r="E449" s="13">
        <f>VALUE(TRIM(Dataset!E449))</f>
        <v>2</v>
      </c>
      <c r="F449" s="10">
        <f>VALUE(TRIM(Dataset!F449))</f>
        <v>416.81</v>
      </c>
      <c r="G449" s="6" t="str">
        <f>TRIM(Dataset!G449)</f>
        <v>356 Main St</v>
      </c>
      <c r="H449" s="6" t="str">
        <f>TRIM(Dataset!H449)</f>
        <v>Cash</v>
      </c>
      <c r="I449" s="6" t="str">
        <f>TRIM(Dataset!I449)</f>
        <v>Returned</v>
      </c>
      <c r="J449" s="6" t="str">
        <f>TRIM(Dataset!J449)</f>
        <v>TRK45355655</v>
      </c>
      <c r="K449" s="8" t="str">
        <f>TRIM(Dataset!K449)</f>
        <v>2</v>
      </c>
      <c r="L449" s="6" t="s">
        <v>4284</v>
      </c>
      <c r="M449" s="6" t="str">
        <f>TRIM(Dataset!M449)</f>
        <v>Facebook</v>
      </c>
      <c r="N449" s="10">
        <f>VALUE(TRIM(Dataset!N449))</f>
        <v>833.62</v>
      </c>
    </row>
    <row r="450" spans="1:14" x14ac:dyDescent="0.35">
      <c r="A450" s="6" t="str">
        <f>TRIM(Dataset!A450)</f>
        <v>ORD200448</v>
      </c>
      <c r="B450" s="4">
        <f>Dataset!B450</f>
        <v>45173</v>
      </c>
      <c r="C450" s="6" t="str">
        <f>TRIM(Dataset!C450)</f>
        <v>C16776</v>
      </c>
      <c r="D450" s="6" t="str">
        <f>TRIM(Dataset!D450)</f>
        <v>Laptop</v>
      </c>
      <c r="E450" s="13">
        <f>VALUE(TRIM(Dataset!E450))</f>
        <v>2</v>
      </c>
      <c r="F450" s="10">
        <f>VALUE(TRIM(Dataset!F450))</f>
        <v>160</v>
      </c>
      <c r="G450" s="6" t="str">
        <f>TRIM(Dataset!G450)</f>
        <v>854 Main St</v>
      </c>
      <c r="H450" s="6" t="str">
        <f>TRIM(Dataset!H450)</f>
        <v>Cash</v>
      </c>
      <c r="I450" s="6" t="str">
        <f>TRIM(Dataset!I450)</f>
        <v>Pending</v>
      </c>
      <c r="J450" s="6" t="str">
        <f>TRIM(Dataset!J450)</f>
        <v>TRK12860600</v>
      </c>
      <c r="K450" s="8" t="str">
        <f>TRIM(Dataset!K450)</f>
        <v>4</v>
      </c>
      <c r="L450" s="6" t="str">
        <f>Dataset!L450</f>
        <v>SAVE10</v>
      </c>
      <c r="M450" s="6" t="str">
        <f>TRIM(Dataset!M450)</f>
        <v>Instagram</v>
      </c>
      <c r="N450" s="10">
        <f>VALUE(TRIM(Dataset!N450))</f>
        <v>320</v>
      </c>
    </row>
    <row r="451" spans="1:14" x14ac:dyDescent="0.35">
      <c r="A451" s="6" t="str">
        <f>TRIM(Dataset!A451)</f>
        <v>ORD200449</v>
      </c>
      <c r="B451" s="4">
        <f>Dataset!B451</f>
        <v>45530</v>
      </c>
      <c r="C451" s="6" t="str">
        <f>TRIM(Dataset!C451)</f>
        <v>C91518</v>
      </c>
      <c r="D451" s="6" t="str">
        <f>TRIM(Dataset!D451)</f>
        <v>Tablet</v>
      </c>
      <c r="E451" s="13">
        <f>VALUE(TRIM(Dataset!E451))</f>
        <v>3</v>
      </c>
      <c r="F451" s="10">
        <f>VALUE(TRIM(Dataset!F451))</f>
        <v>253.05</v>
      </c>
      <c r="G451" s="6" t="str">
        <f>TRIM(Dataset!G451)</f>
        <v>286 Main St</v>
      </c>
      <c r="H451" s="6" t="str">
        <f>TRIM(Dataset!H451)</f>
        <v>Online</v>
      </c>
      <c r="I451" s="6" t="str">
        <f>TRIM(Dataset!I451)</f>
        <v>Pending</v>
      </c>
      <c r="J451" s="6" t="str">
        <f>TRIM(Dataset!J451)</f>
        <v>TRK48688724</v>
      </c>
      <c r="K451" s="8" t="str">
        <f>TRIM(Dataset!K451)</f>
        <v>3</v>
      </c>
      <c r="L451" s="6" t="s">
        <v>4284</v>
      </c>
      <c r="M451" s="6" t="str">
        <f>TRIM(Dataset!M451)</f>
        <v>Instagram</v>
      </c>
      <c r="N451" s="10">
        <f>VALUE(TRIM(Dataset!N451))</f>
        <v>759.15</v>
      </c>
    </row>
    <row r="452" spans="1:14" x14ac:dyDescent="0.35">
      <c r="A452" s="6" t="str">
        <f>TRIM(Dataset!A452)</f>
        <v>ORD200450</v>
      </c>
      <c r="B452" s="4">
        <f>Dataset!B452</f>
        <v>45306</v>
      </c>
      <c r="C452" s="6" t="str">
        <f>TRIM(Dataset!C452)</f>
        <v>C36408</v>
      </c>
      <c r="D452" s="6" t="str">
        <f>TRIM(Dataset!D452)</f>
        <v>Monitor</v>
      </c>
      <c r="E452" s="13">
        <f>VALUE(TRIM(Dataset!E452))</f>
        <v>5</v>
      </c>
      <c r="F452" s="10">
        <f>VALUE(TRIM(Dataset!F452))</f>
        <v>615.1</v>
      </c>
      <c r="G452" s="6" t="str">
        <f>TRIM(Dataset!G452)</f>
        <v>160 Main St</v>
      </c>
      <c r="H452" s="6" t="str">
        <f>TRIM(Dataset!H452)</f>
        <v>Gift Card</v>
      </c>
      <c r="I452" s="6" t="str">
        <f>TRIM(Dataset!I452)</f>
        <v>Returned</v>
      </c>
      <c r="J452" s="6" t="str">
        <f>TRIM(Dataset!J452)</f>
        <v>TRK94023253</v>
      </c>
      <c r="K452" s="8" t="str">
        <f>TRIM(Dataset!K452)</f>
        <v>10</v>
      </c>
      <c r="L452" s="6" t="str">
        <f>Dataset!L452</f>
        <v>WINTER15</v>
      </c>
      <c r="M452" s="6" t="str">
        <f>TRIM(Dataset!M452)</f>
        <v>Instagram</v>
      </c>
      <c r="N452" s="10">
        <f>VALUE(TRIM(Dataset!N452))</f>
        <v>3075.5</v>
      </c>
    </row>
    <row r="453" spans="1:14" x14ac:dyDescent="0.35">
      <c r="A453" s="6" t="str">
        <f>TRIM(Dataset!A453)</f>
        <v>ORD200451</v>
      </c>
      <c r="B453" s="4">
        <f>Dataset!B453</f>
        <v>45017</v>
      </c>
      <c r="C453" s="6" t="str">
        <f>TRIM(Dataset!C453)</f>
        <v>C14837</v>
      </c>
      <c r="D453" s="6" t="str">
        <f>TRIM(Dataset!D453)</f>
        <v>Monitor</v>
      </c>
      <c r="E453" s="13">
        <f>VALUE(TRIM(Dataset!E453))</f>
        <v>1</v>
      </c>
      <c r="F453" s="10">
        <f>VALUE(TRIM(Dataset!F453))</f>
        <v>183.18</v>
      </c>
      <c r="G453" s="6" t="str">
        <f>TRIM(Dataset!G453)</f>
        <v>647 Main St</v>
      </c>
      <c r="H453" s="6" t="str">
        <f>TRIM(Dataset!H453)</f>
        <v>Debit Card</v>
      </c>
      <c r="I453" s="6" t="str">
        <f>TRIM(Dataset!I453)</f>
        <v>Cancelled</v>
      </c>
      <c r="J453" s="6" t="str">
        <f>TRIM(Dataset!J453)</f>
        <v>TRK17501136</v>
      </c>
      <c r="K453" s="8" t="str">
        <f>TRIM(Dataset!K453)</f>
        <v>6</v>
      </c>
      <c r="L453" s="6" t="str">
        <f>Dataset!L453</f>
        <v>SAVE10</v>
      </c>
      <c r="M453" s="6" t="str">
        <f>TRIM(Dataset!M453)</f>
        <v>Email</v>
      </c>
      <c r="N453" s="10">
        <f>VALUE(TRIM(Dataset!N453))</f>
        <v>183.18</v>
      </c>
    </row>
    <row r="454" spans="1:14" x14ac:dyDescent="0.35">
      <c r="A454" s="6" t="str">
        <f>TRIM(Dataset!A454)</f>
        <v>ORD200452</v>
      </c>
      <c r="B454" s="4">
        <f>Dataset!B454</f>
        <v>45130</v>
      </c>
      <c r="C454" s="6" t="str">
        <f>TRIM(Dataset!C454)</f>
        <v>C36467</v>
      </c>
      <c r="D454" s="6" t="str">
        <f>TRIM(Dataset!D454)</f>
        <v>Printer</v>
      </c>
      <c r="E454" s="13">
        <f>VALUE(TRIM(Dataset!E454))</f>
        <v>1</v>
      </c>
      <c r="F454" s="10">
        <f>VALUE(TRIM(Dataset!F454))</f>
        <v>75.78</v>
      </c>
      <c r="G454" s="6" t="str">
        <f>TRIM(Dataset!G454)</f>
        <v>581 Main St</v>
      </c>
      <c r="H454" s="6" t="str">
        <f>TRIM(Dataset!H454)</f>
        <v>Cash</v>
      </c>
      <c r="I454" s="6" t="str">
        <f>TRIM(Dataset!I454)</f>
        <v>Pending</v>
      </c>
      <c r="J454" s="6" t="str">
        <f>TRIM(Dataset!J454)</f>
        <v>TRK20863987</v>
      </c>
      <c r="K454" s="8" t="str">
        <f>TRIM(Dataset!K454)</f>
        <v>5</v>
      </c>
      <c r="L454" s="6" t="str">
        <f>Dataset!L454</f>
        <v>SAVE10</v>
      </c>
      <c r="M454" s="6" t="str">
        <f>TRIM(Dataset!M454)</f>
        <v>Google</v>
      </c>
      <c r="N454" s="10">
        <f>VALUE(TRIM(Dataset!N454))</f>
        <v>75.78</v>
      </c>
    </row>
    <row r="455" spans="1:14" x14ac:dyDescent="0.35">
      <c r="A455" s="6" t="str">
        <f>TRIM(Dataset!A455)</f>
        <v>ORD200453</v>
      </c>
      <c r="B455" s="4">
        <f>Dataset!B455</f>
        <v>45779</v>
      </c>
      <c r="C455" s="6" t="str">
        <f>TRIM(Dataset!C455)</f>
        <v>C15017</v>
      </c>
      <c r="D455" s="6" t="str">
        <f>TRIM(Dataset!D455)</f>
        <v>Tablet</v>
      </c>
      <c r="E455" s="13">
        <f>VALUE(TRIM(Dataset!E455))</f>
        <v>1</v>
      </c>
      <c r="F455" s="10">
        <f>VALUE(TRIM(Dataset!F455))</f>
        <v>675.57</v>
      </c>
      <c r="G455" s="6" t="str">
        <f>TRIM(Dataset!G455)</f>
        <v>492 Main St</v>
      </c>
      <c r="H455" s="6" t="str">
        <f>TRIM(Dataset!H455)</f>
        <v>Cash</v>
      </c>
      <c r="I455" s="6" t="str">
        <f>TRIM(Dataset!I455)</f>
        <v>Shipped</v>
      </c>
      <c r="J455" s="6" t="str">
        <f>TRIM(Dataset!J455)</f>
        <v>TRK51241924</v>
      </c>
      <c r="K455" s="8" t="str">
        <f>TRIM(Dataset!K455)</f>
        <v>1</v>
      </c>
      <c r="L455" s="6" t="str">
        <f>Dataset!L455</f>
        <v>WINTER15</v>
      </c>
      <c r="M455" s="6" t="str">
        <f>TRIM(Dataset!M455)</f>
        <v>Facebook</v>
      </c>
      <c r="N455" s="10">
        <f>VALUE(TRIM(Dataset!N455))</f>
        <v>675.57</v>
      </c>
    </row>
    <row r="456" spans="1:14" x14ac:dyDescent="0.35">
      <c r="A456" s="6" t="str">
        <f>TRIM(Dataset!A456)</f>
        <v>ORD200454</v>
      </c>
      <c r="B456" s="4">
        <f>Dataset!B456</f>
        <v>45623</v>
      </c>
      <c r="C456" s="6" t="str">
        <f>TRIM(Dataset!C456)</f>
        <v>C54759</v>
      </c>
      <c r="D456" s="6" t="str">
        <f>TRIM(Dataset!D456)</f>
        <v>Laptop</v>
      </c>
      <c r="E456" s="13">
        <f>VALUE(TRIM(Dataset!E456))</f>
        <v>1</v>
      </c>
      <c r="F456" s="10">
        <f>VALUE(TRIM(Dataset!F456))</f>
        <v>109.29</v>
      </c>
      <c r="G456" s="6" t="str">
        <f>TRIM(Dataset!G456)</f>
        <v>686 Main St</v>
      </c>
      <c r="H456" s="6" t="str">
        <f>TRIM(Dataset!H456)</f>
        <v>Debit Card</v>
      </c>
      <c r="I456" s="6" t="str">
        <f>TRIM(Dataset!I456)</f>
        <v>Cancelled</v>
      </c>
      <c r="J456" s="6" t="str">
        <f>TRIM(Dataset!J456)</f>
        <v>TRK75583042</v>
      </c>
      <c r="K456" s="8" t="str">
        <f>TRIM(Dataset!K456)</f>
        <v>5</v>
      </c>
      <c r="L456" s="6" t="str">
        <f>Dataset!L456</f>
        <v>FREESHIP</v>
      </c>
      <c r="M456" s="6" t="str">
        <f>TRIM(Dataset!M456)</f>
        <v>Google</v>
      </c>
      <c r="N456" s="10">
        <f>VALUE(TRIM(Dataset!N456))</f>
        <v>109.29</v>
      </c>
    </row>
    <row r="457" spans="1:14" x14ac:dyDescent="0.35">
      <c r="A457" s="6" t="str">
        <f>TRIM(Dataset!A457)</f>
        <v>ORD200455</v>
      </c>
      <c r="B457" s="4">
        <f>Dataset!B457</f>
        <v>45377</v>
      </c>
      <c r="C457" s="6" t="str">
        <f>TRIM(Dataset!C457)</f>
        <v>C58341</v>
      </c>
      <c r="D457" s="6" t="str">
        <f>TRIM(Dataset!D457)</f>
        <v>Phone</v>
      </c>
      <c r="E457" s="13">
        <f>VALUE(TRIM(Dataset!E457))</f>
        <v>1</v>
      </c>
      <c r="F457" s="10">
        <f>VALUE(TRIM(Dataset!F457))</f>
        <v>639.83000000000004</v>
      </c>
      <c r="G457" s="6" t="str">
        <f>TRIM(Dataset!G457)</f>
        <v>874 Main St</v>
      </c>
      <c r="H457" s="6" t="str">
        <f>TRIM(Dataset!H457)</f>
        <v>Debit Card</v>
      </c>
      <c r="I457" s="6" t="str">
        <f>TRIM(Dataset!I457)</f>
        <v>Pending</v>
      </c>
      <c r="J457" s="6" t="str">
        <f>TRIM(Dataset!J457)</f>
        <v>TRK32856728</v>
      </c>
      <c r="K457" s="8" t="str">
        <f>TRIM(Dataset!K457)</f>
        <v>2</v>
      </c>
      <c r="L457" s="6" t="str">
        <f>Dataset!L457</f>
        <v>SAVE10</v>
      </c>
      <c r="M457" s="6" t="str">
        <f>TRIM(Dataset!M457)</f>
        <v>Referral</v>
      </c>
      <c r="N457" s="10">
        <f>VALUE(TRIM(Dataset!N457))</f>
        <v>639.83000000000004</v>
      </c>
    </row>
    <row r="458" spans="1:14" x14ac:dyDescent="0.35">
      <c r="A458" s="6" t="str">
        <f>TRIM(Dataset!A458)</f>
        <v>ORD200456</v>
      </c>
      <c r="B458" s="4">
        <f>Dataset!B458</f>
        <v>45103</v>
      </c>
      <c r="C458" s="6" t="str">
        <f>TRIM(Dataset!C458)</f>
        <v>C94479</v>
      </c>
      <c r="D458" s="6" t="str">
        <f>TRIM(Dataset!D458)</f>
        <v>Desk</v>
      </c>
      <c r="E458" s="13">
        <f>VALUE(TRIM(Dataset!E458))</f>
        <v>5</v>
      </c>
      <c r="F458" s="10">
        <f>VALUE(TRIM(Dataset!F458))</f>
        <v>62.81</v>
      </c>
      <c r="G458" s="6" t="str">
        <f>TRIM(Dataset!G458)</f>
        <v>259 Main St</v>
      </c>
      <c r="H458" s="6" t="str">
        <f>TRIM(Dataset!H458)</f>
        <v>Credit Card</v>
      </c>
      <c r="I458" s="6" t="str">
        <f>TRIM(Dataset!I458)</f>
        <v>Shipped</v>
      </c>
      <c r="J458" s="6" t="str">
        <f>TRIM(Dataset!J458)</f>
        <v>TRK69089975</v>
      </c>
      <c r="K458" s="8" t="str">
        <f>TRIM(Dataset!K458)</f>
        <v>9</v>
      </c>
      <c r="L458" s="6" t="str">
        <f>Dataset!L458</f>
        <v>SAVE10</v>
      </c>
      <c r="M458" s="6" t="str">
        <f>TRIM(Dataset!M458)</f>
        <v>Facebook</v>
      </c>
      <c r="N458" s="10">
        <f>VALUE(TRIM(Dataset!N458))</f>
        <v>314.05</v>
      </c>
    </row>
    <row r="459" spans="1:14" x14ac:dyDescent="0.35">
      <c r="A459" s="6" t="str">
        <f>TRIM(Dataset!A459)</f>
        <v>ORD200457</v>
      </c>
      <c r="B459" s="4">
        <f>Dataset!B459</f>
        <v>45802</v>
      </c>
      <c r="C459" s="6" t="str">
        <f>TRIM(Dataset!C459)</f>
        <v>C50236</v>
      </c>
      <c r="D459" s="6" t="str">
        <f>TRIM(Dataset!D459)</f>
        <v>Desk</v>
      </c>
      <c r="E459" s="13">
        <f>VALUE(TRIM(Dataset!E459))</f>
        <v>4</v>
      </c>
      <c r="F459" s="10">
        <f>VALUE(TRIM(Dataset!F459))</f>
        <v>615.83000000000004</v>
      </c>
      <c r="G459" s="6" t="str">
        <f>TRIM(Dataset!G459)</f>
        <v>545 Main St</v>
      </c>
      <c r="H459" s="6" t="str">
        <f>TRIM(Dataset!H459)</f>
        <v>Online</v>
      </c>
      <c r="I459" s="6" t="str">
        <f>TRIM(Dataset!I459)</f>
        <v>Returned</v>
      </c>
      <c r="J459" s="6" t="str">
        <f>TRIM(Dataset!J459)</f>
        <v>TRK67692578</v>
      </c>
      <c r="K459" s="8" t="str">
        <f>TRIM(Dataset!K459)</f>
        <v>4</v>
      </c>
      <c r="L459" s="6" t="str">
        <f>Dataset!L459</f>
        <v>WINTER15</v>
      </c>
      <c r="M459" s="6" t="str">
        <f>TRIM(Dataset!M459)</f>
        <v>Instagram</v>
      </c>
      <c r="N459" s="10">
        <f>VALUE(TRIM(Dataset!N459))</f>
        <v>2463.3200000000002</v>
      </c>
    </row>
    <row r="460" spans="1:14" x14ac:dyDescent="0.35">
      <c r="A460" s="6" t="str">
        <f>TRIM(Dataset!A460)</f>
        <v>ORD200458</v>
      </c>
      <c r="B460" s="4">
        <f>Dataset!B460</f>
        <v>45475</v>
      </c>
      <c r="C460" s="6" t="str">
        <f>TRIM(Dataset!C460)</f>
        <v>C31412</v>
      </c>
      <c r="D460" s="6" t="str">
        <f>TRIM(Dataset!D460)</f>
        <v>Monitor</v>
      </c>
      <c r="E460" s="13">
        <f>VALUE(TRIM(Dataset!E460))</f>
        <v>4</v>
      </c>
      <c r="F460" s="10">
        <f>VALUE(TRIM(Dataset!F460))</f>
        <v>510.58</v>
      </c>
      <c r="G460" s="6" t="str">
        <f>TRIM(Dataset!G460)</f>
        <v>196 Main St</v>
      </c>
      <c r="H460" s="6" t="str">
        <f>TRIM(Dataset!H460)</f>
        <v>Credit Card</v>
      </c>
      <c r="I460" s="6" t="str">
        <f>TRIM(Dataset!I460)</f>
        <v>Returned</v>
      </c>
      <c r="J460" s="6" t="str">
        <f>TRIM(Dataset!J460)</f>
        <v>TRK61946127</v>
      </c>
      <c r="K460" s="8" t="str">
        <f>TRIM(Dataset!K460)</f>
        <v>7</v>
      </c>
      <c r="L460" s="6" t="str">
        <f>Dataset!L460</f>
        <v>WINTER15</v>
      </c>
      <c r="M460" s="6" t="str">
        <f>TRIM(Dataset!M460)</f>
        <v>Email</v>
      </c>
      <c r="N460" s="10">
        <f>VALUE(TRIM(Dataset!N460))</f>
        <v>2042.32</v>
      </c>
    </row>
    <row r="461" spans="1:14" x14ac:dyDescent="0.35">
      <c r="A461" s="6" t="str">
        <f>TRIM(Dataset!A461)</f>
        <v>ORD200459</v>
      </c>
      <c r="B461" s="4">
        <f>Dataset!B461</f>
        <v>45497</v>
      </c>
      <c r="C461" s="6" t="str">
        <f>TRIM(Dataset!C461)</f>
        <v>C90142</v>
      </c>
      <c r="D461" s="6" t="str">
        <f>TRIM(Dataset!D461)</f>
        <v>Desk</v>
      </c>
      <c r="E461" s="13">
        <f>VALUE(TRIM(Dataset!E461))</f>
        <v>1</v>
      </c>
      <c r="F461" s="10">
        <f>VALUE(TRIM(Dataset!F461))</f>
        <v>334.39</v>
      </c>
      <c r="G461" s="6" t="str">
        <f>TRIM(Dataset!G461)</f>
        <v>433 Main St</v>
      </c>
      <c r="H461" s="6" t="str">
        <f>TRIM(Dataset!H461)</f>
        <v>Credit Card</v>
      </c>
      <c r="I461" s="6" t="str">
        <f>TRIM(Dataset!I461)</f>
        <v>Returned</v>
      </c>
      <c r="J461" s="6" t="str">
        <f>TRIM(Dataset!J461)</f>
        <v>TRK39717191</v>
      </c>
      <c r="K461" s="8" t="str">
        <f>TRIM(Dataset!K461)</f>
        <v>2</v>
      </c>
      <c r="L461" s="6" t="s">
        <v>4284</v>
      </c>
      <c r="M461" s="6" t="str">
        <f>TRIM(Dataset!M461)</f>
        <v>Instagram</v>
      </c>
      <c r="N461" s="10">
        <f>VALUE(TRIM(Dataset!N461))</f>
        <v>334.39</v>
      </c>
    </row>
    <row r="462" spans="1:14" x14ac:dyDescent="0.35">
      <c r="A462" s="6" t="str">
        <f>TRIM(Dataset!A462)</f>
        <v>ORD200460</v>
      </c>
      <c r="B462" s="4">
        <f>Dataset!B462</f>
        <v>45571</v>
      </c>
      <c r="C462" s="6" t="str">
        <f>TRIM(Dataset!C462)</f>
        <v>C83548</v>
      </c>
      <c r="D462" s="6" t="str">
        <f>TRIM(Dataset!D462)</f>
        <v>Laptop</v>
      </c>
      <c r="E462" s="13">
        <f>VALUE(TRIM(Dataset!E462))</f>
        <v>1</v>
      </c>
      <c r="F462" s="10">
        <f>VALUE(TRIM(Dataset!F462))</f>
        <v>144.25</v>
      </c>
      <c r="G462" s="6" t="str">
        <f>TRIM(Dataset!G462)</f>
        <v>474 Main St</v>
      </c>
      <c r="H462" s="6" t="str">
        <f>TRIM(Dataset!H462)</f>
        <v>Cash</v>
      </c>
      <c r="I462" s="6" t="str">
        <f>TRIM(Dataset!I462)</f>
        <v>Returned</v>
      </c>
      <c r="J462" s="6" t="str">
        <f>TRIM(Dataset!J462)</f>
        <v>TRK93822942</v>
      </c>
      <c r="K462" s="8" t="str">
        <f>TRIM(Dataset!K462)</f>
        <v>2</v>
      </c>
      <c r="L462" s="6" t="str">
        <f>Dataset!L462</f>
        <v>WINTER15</v>
      </c>
      <c r="M462" s="6" t="str">
        <f>TRIM(Dataset!M462)</f>
        <v>Referral</v>
      </c>
      <c r="N462" s="10">
        <f>VALUE(TRIM(Dataset!N462))</f>
        <v>144.25</v>
      </c>
    </row>
    <row r="463" spans="1:14" x14ac:dyDescent="0.35">
      <c r="A463" s="6" t="str">
        <f>TRIM(Dataset!A463)</f>
        <v>ORD200461</v>
      </c>
      <c r="B463" s="4">
        <f>Dataset!B463</f>
        <v>45451</v>
      </c>
      <c r="C463" s="6" t="str">
        <f>TRIM(Dataset!C463)</f>
        <v>C29697</v>
      </c>
      <c r="D463" s="6" t="str">
        <f>TRIM(Dataset!D463)</f>
        <v>Tablet</v>
      </c>
      <c r="E463" s="13">
        <f>VALUE(TRIM(Dataset!E463))</f>
        <v>1</v>
      </c>
      <c r="F463" s="10">
        <f>VALUE(TRIM(Dataset!F463))</f>
        <v>401.82</v>
      </c>
      <c r="G463" s="6" t="str">
        <f>TRIM(Dataset!G463)</f>
        <v>407 Main St</v>
      </c>
      <c r="H463" s="6" t="str">
        <f>TRIM(Dataset!H463)</f>
        <v>Credit Card</v>
      </c>
      <c r="I463" s="6" t="str">
        <f>TRIM(Dataset!I463)</f>
        <v>Shipped</v>
      </c>
      <c r="J463" s="6" t="str">
        <f>TRIM(Dataset!J463)</f>
        <v>TRK47776482</v>
      </c>
      <c r="K463" s="8" t="str">
        <f>TRIM(Dataset!K463)</f>
        <v>5</v>
      </c>
      <c r="L463" s="6" t="str">
        <f>Dataset!L463</f>
        <v>FREESHIP</v>
      </c>
      <c r="M463" s="6" t="str">
        <f>TRIM(Dataset!M463)</f>
        <v>Google</v>
      </c>
      <c r="N463" s="10">
        <f>VALUE(TRIM(Dataset!N463))</f>
        <v>401.82</v>
      </c>
    </row>
    <row r="464" spans="1:14" x14ac:dyDescent="0.35">
      <c r="A464" s="6" t="str">
        <f>TRIM(Dataset!A464)</f>
        <v>ORD200462</v>
      </c>
      <c r="B464" s="4">
        <f>Dataset!B464</f>
        <v>45747</v>
      </c>
      <c r="C464" s="6" t="str">
        <f>TRIM(Dataset!C464)</f>
        <v>C22991</v>
      </c>
      <c r="D464" s="6" t="str">
        <f>TRIM(Dataset!D464)</f>
        <v>Phone</v>
      </c>
      <c r="E464" s="13">
        <f>VALUE(TRIM(Dataset!E464))</f>
        <v>1</v>
      </c>
      <c r="F464" s="10">
        <f>VALUE(TRIM(Dataset!F464))</f>
        <v>252.68</v>
      </c>
      <c r="G464" s="6" t="str">
        <f>TRIM(Dataset!G464)</f>
        <v>731 Main St</v>
      </c>
      <c r="H464" s="6" t="str">
        <f>TRIM(Dataset!H464)</f>
        <v>Online</v>
      </c>
      <c r="I464" s="6" t="str">
        <f>TRIM(Dataset!I464)</f>
        <v>Cancelled</v>
      </c>
      <c r="J464" s="6" t="str">
        <f>TRIM(Dataset!J464)</f>
        <v>TRK32796086</v>
      </c>
      <c r="K464" s="8" t="str">
        <f>TRIM(Dataset!K464)</f>
        <v>1</v>
      </c>
      <c r="L464" s="6" t="s">
        <v>4284</v>
      </c>
      <c r="M464" s="6" t="str">
        <f>TRIM(Dataset!M464)</f>
        <v>Referral</v>
      </c>
      <c r="N464" s="10">
        <f>VALUE(TRIM(Dataset!N464))</f>
        <v>252.68</v>
      </c>
    </row>
    <row r="465" spans="1:14" x14ac:dyDescent="0.35">
      <c r="A465" s="6" t="str">
        <f>TRIM(Dataset!A465)</f>
        <v>ORD200463</v>
      </c>
      <c r="B465" s="4">
        <f>Dataset!B465</f>
        <v>45072</v>
      </c>
      <c r="C465" s="6" t="str">
        <f>TRIM(Dataset!C465)</f>
        <v>C25276</v>
      </c>
      <c r="D465" s="6" t="str">
        <f>TRIM(Dataset!D465)</f>
        <v>Laptop</v>
      </c>
      <c r="E465" s="13">
        <f>VALUE(TRIM(Dataset!E465))</f>
        <v>5</v>
      </c>
      <c r="F465" s="10">
        <f>VALUE(TRIM(Dataset!F465))</f>
        <v>662.78</v>
      </c>
      <c r="G465" s="6" t="str">
        <f>TRIM(Dataset!G465)</f>
        <v>214 Main St</v>
      </c>
      <c r="H465" s="6" t="str">
        <f>TRIM(Dataset!H465)</f>
        <v>Debit Card</v>
      </c>
      <c r="I465" s="6" t="str">
        <f>TRIM(Dataset!I465)</f>
        <v>Shipped</v>
      </c>
      <c r="J465" s="6" t="str">
        <f>TRIM(Dataset!J465)</f>
        <v>TRK14011732</v>
      </c>
      <c r="K465" s="8" t="str">
        <f>TRIM(Dataset!K465)</f>
        <v>9</v>
      </c>
      <c r="L465" s="6" t="str">
        <f>Dataset!L465</f>
        <v>SAVE10</v>
      </c>
      <c r="M465" s="6" t="str">
        <f>TRIM(Dataset!M465)</f>
        <v>Instagram</v>
      </c>
      <c r="N465" s="10">
        <f>VALUE(TRIM(Dataset!N465))</f>
        <v>3313.9</v>
      </c>
    </row>
    <row r="466" spans="1:14" x14ac:dyDescent="0.35">
      <c r="A466" s="6" t="str">
        <f>TRIM(Dataset!A466)</f>
        <v>ORD200464</v>
      </c>
      <c r="B466" s="4">
        <f>Dataset!B466</f>
        <v>44999</v>
      </c>
      <c r="C466" s="6" t="str">
        <f>TRIM(Dataset!C466)</f>
        <v>C39176</v>
      </c>
      <c r="D466" s="6" t="str">
        <f>TRIM(Dataset!D466)</f>
        <v>Tablet</v>
      </c>
      <c r="E466" s="13">
        <f>VALUE(TRIM(Dataset!E466))</f>
        <v>4</v>
      </c>
      <c r="F466" s="10">
        <f>VALUE(TRIM(Dataset!F466))</f>
        <v>434.42</v>
      </c>
      <c r="G466" s="6" t="str">
        <f>TRIM(Dataset!G466)</f>
        <v>739 Main St</v>
      </c>
      <c r="H466" s="6" t="str">
        <f>TRIM(Dataset!H466)</f>
        <v>Online</v>
      </c>
      <c r="I466" s="6" t="str">
        <f>TRIM(Dataset!I466)</f>
        <v>Cancelled</v>
      </c>
      <c r="J466" s="6" t="str">
        <f>TRIM(Dataset!J466)</f>
        <v>TRK71418686</v>
      </c>
      <c r="K466" s="8" t="str">
        <f>TRIM(Dataset!K466)</f>
        <v>6</v>
      </c>
      <c r="L466" s="6" t="str">
        <f>Dataset!L466</f>
        <v>FREESHIP</v>
      </c>
      <c r="M466" s="6" t="str">
        <f>TRIM(Dataset!M466)</f>
        <v>Google</v>
      </c>
      <c r="N466" s="10">
        <f>VALUE(TRIM(Dataset!N466))</f>
        <v>1737.68</v>
      </c>
    </row>
    <row r="467" spans="1:14" x14ac:dyDescent="0.35">
      <c r="A467" s="6" t="str">
        <f>TRIM(Dataset!A467)</f>
        <v>ORD200465</v>
      </c>
      <c r="B467" s="4">
        <f>Dataset!B467</f>
        <v>45348</v>
      </c>
      <c r="C467" s="6" t="str">
        <f>TRIM(Dataset!C467)</f>
        <v>C58773</v>
      </c>
      <c r="D467" s="6" t="str">
        <f>TRIM(Dataset!D467)</f>
        <v>Printer</v>
      </c>
      <c r="E467" s="13">
        <f>VALUE(TRIM(Dataset!E467))</f>
        <v>5</v>
      </c>
      <c r="F467" s="10">
        <f>VALUE(TRIM(Dataset!F467))</f>
        <v>513.49</v>
      </c>
      <c r="G467" s="6" t="str">
        <f>TRIM(Dataset!G467)</f>
        <v>391 Main St</v>
      </c>
      <c r="H467" s="6" t="str">
        <f>TRIM(Dataset!H467)</f>
        <v>Gift Card</v>
      </c>
      <c r="I467" s="6" t="str">
        <f>TRIM(Dataset!I467)</f>
        <v>Cancelled</v>
      </c>
      <c r="J467" s="6" t="str">
        <f>TRIM(Dataset!J467)</f>
        <v>TRK65438300</v>
      </c>
      <c r="K467" s="8" t="str">
        <f>TRIM(Dataset!K467)</f>
        <v>8</v>
      </c>
      <c r="L467" s="6" t="s">
        <v>4284</v>
      </c>
      <c r="M467" s="6" t="str">
        <f>TRIM(Dataset!M467)</f>
        <v>Google</v>
      </c>
      <c r="N467" s="10">
        <f>VALUE(TRIM(Dataset!N467))</f>
        <v>2567.4499999999998</v>
      </c>
    </row>
    <row r="468" spans="1:14" x14ac:dyDescent="0.35">
      <c r="A468" s="6" t="str">
        <f>TRIM(Dataset!A468)</f>
        <v>ORD200466</v>
      </c>
      <c r="B468" s="4">
        <f>Dataset!B468</f>
        <v>45125</v>
      </c>
      <c r="C468" s="6" t="str">
        <f>TRIM(Dataset!C468)</f>
        <v>C37412</v>
      </c>
      <c r="D468" s="6" t="str">
        <f>TRIM(Dataset!D468)</f>
        <v>Phone</v>
      </c>
      <c r="E468" s="13">
        <f>VALUE(TRIM(Dataset!E468))</f>
        <v>1</v>
      </c>
      <c r="F468" s="10">
        <f>VALUE(TRIM(Dataset!F468))</f>
        <v>432.47</v>
      </c>
      <c r="G468" s="6" t="str">
        <f>TRIM(Dataset!G468)</f>
        <v>895 Main St</v>
      </c>
      <c r="H468" s="6" t="str">
        <f>TRIM(Dataset!H468)</f>
        <v>Cash</v>
      </c>
      <c r="I468" s="6" t="str">
        <f>TRIM(Dataset!I468)</f>
        <v>Delivered</v>
      </c>
      <c r="J468" s="6" t="str">
        <f>TRIM(Dataset!J468)</f>
        <v>TRK97829604</v>
      </c>
      <c r="K468" s="8" t="str">
        <f>TRIM(Dataset!K468)</f>
        <v>4</v>
      </c>
      <c r="L468" s="6" t="str">
        <f>Dataset!L468</f>
        <v>FREESHIP</v>
      </c>
      <c r="M468" s="6" t="str">
        <f>TRIM(Dataset!M468)</f>
        <v>Referral</v>
      </c>
      <c r="N468" s="10">
        <f>VALUE(TRIM(Dataset!N468))</f>
        <v>432.47</v>
      </c>
    </row>
    <row r="469" spans="1:14" x14ac:dyDescent="0.35">
      <c r="A469" s="6" t="str">
        <f>TRIM(Dataset!A469)</f>
        <v>ORD200467</v>
      </c>
      <c r="B469" s="4">
        <f>Dataset!B469</f>
        <v>45534</v>
      </c>
      <c r="C469" s="6" t="str">
        <f>TRIM(Dataset!C469)</f>
        <v>C36492</v>
      </c>
      <c r="D469" s="6" t="str">
        <f>TRIM(Dataset!D469)</f>
        <v>Desk</v>
      </c>
      <c r="E469" s="13">
        <f>VALUE(TRIM(Dataset!E469))</f>
        <v>1</v>
      </c>
      <c r="F469" s="10">
        <f>VALUE(TRIM(Dataset!F469))</f>
        <v>45.94</v>
      </c>
      <c r="G469" s="6" t="str">
        <f>TRIM(Dataset!G469)</f>
        <v>572 Main St</v>
      </c>
      <c r="H469" s="6" t="str">
        <f>TRIM(Dataset!H469)</f>
        <v>Cash</v>
      </c>
      <c r="I469" s="6" t="str">
        <f>TRIM(Dataset!I469)</f>
        <v>Cancelled</v>
      </c>
      <c r="J469" s="6" t="str">
        <f>TRIM(Dataset!J469)</f>
        <v>TRK44350440</v>
      </c>
      <c r="K469" s="8" t="str">
        <f>TRIM(Dataset!K469)</f>
        <v>2</v>
      </c>
      <c r="L469" s="6" t="str">
        <f>Dataset!L469</f>
        <v>WINTER15</v>
      </c>
      <c r="M469" s="6" t="str">
        <f>TRIM(Dataset!M469)</f>
        <v>Email</v>
      </c>
      <c r="N469" s="10">
        <f>VALUE(TRIM(Dataset!N469))</f>
        <v>45.94</v>
      </c>
    </row>
    <row r="470" spans="1:14" x14ac:dyDescent="0.35">
      <c r="A470" s="6" t="str">
        <f>TRIM(Dataset!A470)</f>
        <v>ORD200468</v>
      </c>
      <c r="B470" s="4">
        <f>Dataset!B470</f>
        <v>45829</v>
      </c>
      <c r="C470" s="6" t="str">
        <f>TRIM(Dataset!C470)</f>
        <v>C90110</v>
      </c>
      <c r="D470" s="6" t="str">
        <f>TRIM(Dataset!D470)</f>
        <v>Phone</v>
      </c>
      <c r="E470" s="13">
        <f>VALUE(TRIM(Dataset!E470))</f>
        <v>1</v>
      </c>
      <c r="F470" s="10">
        <f>VALUE(TRIM(Dataset!F470))</f>
        <v>418.36</v>
      </c>
      <c r="G470" s="6" t="str">
        <f>TRIM(Dataset!G470)</f>
        <v>998 Main St</v>
      </c>
      <c r="H470" s="6" t="str">
        <f>TRIM(Dataset!H470)</f>
        <v>Credit Card</v>
      </c>
      <c r="I470" s="6" t="str">
        <f>TRIM(Dataset!I470)</f>
        <v>Delivered</v>
      </c>
      <c r="J470" s="6" t="str">
        <f>TRIM(Dataset!J470)</f>
        <v>TRK60203957</v>
      </c>
      <c r="K470" s="8" t="str">
        <f>TRIM(Dataset!K470)</f>
        <v>5</v>
      </c>
      <c r="L470" s="6" t="str">
        <f>Dataset!L470</f>
        <v>FREESHIP</v>
      </c>
      <c r="M470" s="6" t="str">
        <f>TRIM(Dataset!M470)</f>
        <v>Email</v>
      </c>
      <c r="N470" s="10">
        <f>VALUE(TRIM(Dataset!N470))</f>
        <v>418.36</v>
      </c>
    </row>
    <row r="471" spans="1:14" x14ac:dyDescent="0.35">
      <c r="A471" s="6" t="str">
        <f>TRIM(Dataset!A471)</f>
        <v>ORD200469</v>
      </c>
      <c r="B471" s="4">
        <f>Dataset!B471</f>
        <v>45256</v>
      </c>
      <c r="C471" s="6" t="str">
        <f>TRIM(Dataset!C471)</f>
        <v>C13877</v>
      </c>
      <c r="D471" s="6" t="str">
        <f>TRIM(Dataset!D471)</f>
        <v>Chair</v>
      </c>
      <c r="E471" s="13">
        <f>VALUE(TRIM(Dataset!E471))</f>
        <v>5</v>
      </c>
      <c r="F471" s="10">
        <f>VALUE(TRIM(Dataset!F471))</f>
        <v>676.98</v>
      </c>
      <c r="G471" s="6" t="str">
        <f>TRIM(Dataset!G471)</f>
        <v>893 Main St</v>
      </c>
      <c r="H471" s="6" t="str">
        <f>TRIM(Dataset!H471)</f>
        <v>Cash</v>
      </c>
      <c r="I471" s="6" t="str">
        <f>TRIM(Dataset!I471)</f>
        <v>Cancelled</v>
      </c>
      <c r="J471" s="6" t="str">
        <f>TRIM(Dataset!J471)</f>
        <v>TRK17254691</v>
      </c>
      <c r="K471" s="8" t="str">
        <f>TRIM(Dataset!K471)</f>
        <v>5</v>
      </c>
      <c r="L471" s="6" t="s">
        <v>4284</v>
      </c>
      <c r="M471" s="6" t="str">
        <f>TRIM(Dataset!M471)</f>
        <v>Facebook</v>
      </c>
      <c r="N471" s="10">
        <f>VALUE(TRIM(Dataset!N471))</f>
        <v>3384.9</v>
      </c>
    </row>
    <row r="472" spans="1:14" x14ac:dyDescent="0.35">
      <c r="A472" s="6" t="str">
        <f>TRIM(Dataset!A472)</f>
        <v>ORD200470</v>
      </c>
      <c r="B472" s="4">
        <f>Dataset!B472</f>
        <v>45198</v>
      </c>
      <c r="C472" s="6" t="str">
        <f>TRIM(Dataset!C472)</f>
        <v>C25149</v>
      </c>
      <c r="D472" s="6" t="str">
        <f>TRIM(Dataset!D472)</f>
        <v>Tablet</v>
      </c>
      <c r="E472" s="13">
        <f>VALUE(TRIM(Dataset!E472))</f>
        <v>4</v>
      </c>
      <c r="F472" s="10">
        <f>VALUE(TRIM(Dataset!F472))</f>
        <v>263.62</v>
      </c>
      <c r="G472" s="6" t="str">
        <f>TRIM(Dataset!G472)</f>
        <v>672 Main St</v>
      </c>
      <c r="H472" s="6" t="str">
        <f>TRIM(Dataset!H472)</f>
        <v>Cash</v>
      </c>
      <c r="I472" s="6" t="str">
        <f>TRIM(Dataset!I472)</f>
        <v>Shipped</v>
      </c>
      <c r="J472" s="6" t="str">
        <f>TRIM(Dataset!J472)</f>
        <v>TRK33538608</v>
      </c>
      <c r="K472" s="8" t="str">
        <f>TRIM(Dataset!K472)</f>
        <v>5</v>
      </c>
      <c r="L472" s="6" t="str">
        <f>Dataset!L472</f>
        <v>SAVE10</v>
      </c>
      <c r="M472" s="6" t="str">
        <f>TRIM(Dataset!M472)</f>
        <v>Email</v>
      </c>
      <c r="N472" s="10">
        <f>VALUE(TRIM(Dataset!N472))</f>
        <v>1054.48</v>
      </c>
    </row>
    <row r="473" spans="1:14" x14ac:dyDescent="0.35">
      <c r="A473" s="6" t="str">
        <f>TRIM(Dataset!A473)</f>
        <v>ORD200471</v>
      </c>
      <c r="B473" s="4">
        <f>Dataset!B473</f>
        <v>45766</v>
      </c>
      <c r="C473" s="6" t="str">
        <f>TRIM(Dataset!C473)</f>
        <v>C52717</v>
      </c>
      <c r="D473" s="6" t="str">
        <f>TRIM(Dataset!D473)</f>
        <v>Desk</v>
      </c>
      <c r="E473" s="13">
        <f>VALUE(TRIM(Dataset!E473))</f>
        <v>5</v>
      </c>
      <c r="F473" s="10">
        <f>VALUE(TRIM(Dataset!F473))</f>
        <v>551.27</v>
      </c>
      <c r="G473" s="6" t="str">
        <f>TRIM(Dataset!G473)</f>
        <v>395 Main St</v>
      </c>
      <c r="H473" s="6" t="str">
        <f>TRIM(Dataset!H473)</f>
        <v>Online</v>
      </c>
      <c r="I473" s="6" t="str">
        <f>TRIM(Dataset!I473)</f>
        <v>Cancelled</v>
      </c>
      <c r="J473" s="6" t="str">
        <f>TRIM(Dataset!J473)</f>
        <v>TRK27625571</v>
      </c>
      <c r="K473" s="8" t="str">
        <f>TRIM(Dataset!K473)</f>
        <v>7</v>
      </c>
      <c r="L473" s="6" t="str">
        <f>Dataset!L473</f>
        <v>FREESHIP</v>
      </c>
      <c r="M473" s="6" t="str">
        <f>TRIM(Dataset!M473)</f>
        <v>Referral</v>
      </c>
      <c r="N473" s="10">
        <f>VALUE(TRIM(Dataset!N473))</f>
        <v>2756.35</v>
      </c>
    </row>
    <row r="474" spans="1:14" x14ac:dyDescent="0.35">
      <c r="A474" s="6" t="str">
        <f>TRIM(Dataset!A474)</f>
        <v>ORD200472</v>
      </c>
      <c r="B474" s="4">
        <f>Dataset!B474</f>
        <v>44932</v>
      </c>
      <c r="C474" s="6" t="str">
        <f>TRIM(Dataset!C474)</f>
        <v>C60029</v>
      </c>
      <c r="D474" s="6" t="str">
        <f>TRIM(Dataset!D474)</f>
        <v>Chair</v>
      </c>
      <c r="E474" s="13">
        <f>VALUE(TRIM(Dataset!E474))</f>
        <v>3</v>
      </c>
      <c r="F474" s="10">
        <f>VALUE(TRIM(Dataset!F474))</f>
        <v>508.12</v>
      </c>
      <c r="G474" s="6" t="str">
        <f>TRIM(Dataset!G474)</f>
        <v>796 Main St</v>
      </c>
      <c r="H474" s="6" t="str">
        <f>TRIM(Dataset!H474)</f>
        <v>Credit Card</v>
      </c>
      <c r="I474" s="6" t="str">
        <f>TRIM(Dataset!I474)</f>
        <v>Cancelled</v>
      </c>
      <c r="J474" s="6" t="str">
        <f>TRIM(Dataset!J474)</f>
        <v>TRK86461316</v>
      </c>
      <c r="K474" s="8" t="str">
        <f>TRIM(Dataset!K474)</f>
        <v>8</v>
      </c>
      <c r="L474" s="6" t="str">
        <f>Dataset!L474</f>
        <v>FREESHIP</v>
      </c>
      <c r="M474" s="6" t="str">
        <f>TRIM(Dataset!M474)</f>
        <v>Referral</v>
      </c>
      <c r="N474" s="10">
        <f>VALUE(TRIM(Dataset!N474))</f>
        <v>1524.36</v>
      </c>
    </row>
    <row r="475" spans="1:14" x14ac:dyDescent="0.35">
      <c r="A475" s="6" t="str">
        <f>TRIM(Dataset!A475)</f>
        <v>ORD200473</v>
      </c>
      <c r="B475" s="4">
        <f>Dataset!B475</f>
        <v>45713</v>
      </c>
      <c r="C475" s="6" t="str">
        <f>TRIM(Dataset!C475)</f>
        <v>C28552</v>
      </c>
      <c r="D475" s="6" t="str">
        <f>TRIM(Dataset!D475)</f>
        <v>Chair</v>
      </c>
      <c r="E475" s="13">
        <f>VALUE(TRIM(Dataset!E475))</f>
        <v>2</v>
      </c>
      <c r="F475" s="10">
        <f>VALUE(TRIM(Dataset!F475))</f>
        <v>14.93</v>
      </c>
      <c r="G475" s="6" t="str">
        <f>TRIM(Dataset!G475)</f>
        <v>449 Main St</v>
      </c>
      <c r="H475" s="6" t="str">
        <f>TRIM(Dataset!H475)</f>
        <v>Online</v>
      </c>
      <c r="I475" s="6" t="str">
        <f>TRIM(Dataset!I475)</f>
        <v>Shipped</v>
      </c>
      <c r="J475" s="6" t="str">
        <f>TRIM(Dataset!J475)</f>
        <v>TRK71597160</v>
      </c>
      <c r="K475" s="8" t="str">
        <f>TRIM(Dataset!K475)</f>
        <v>4</v>
      </c>
      <c r="L475" s="6" t="s">
        <v>4284</v>
      </c>
      <c r="M475" s="6" t="str">
        <f>TRIM(Dataset!M475)</f>
        <v>Facebook</v>
      </c>
      <c r="N475" s="10">
        <f>VALUE(TRIM(Dataset!N475))</f>
        <v>29.86</v>
      </c>
    </row>
    <row r="476" spans="1:14" x14ac:dyDescent="0.35">
      <c r="A476" s="6" t="str">
        <f>TRIM(Dataset!A476)</f>
        <v>ORD200474</v>
      </c>
      <c r="B476" s="4">
        <f>Dataset!B476</f>
        <v>45245</v>
      </c>
      <c r="C476" s="6" t="str">
        <f>TRIM(Dataset!C476)</f>
        <v>C72293</v>
      </c>
      <c r="D476" s="6" t="str">
        <f>TRIM(Dataset!D476)</f>
        <v>Printer</v>
      </c>
      <c r="E476" s="13">
        <f>VALUE(TRIM(Dataset!E476))</f>
        <v>3</v>
      </c>
      <c r="F476" s="10">
        <f>VALUE(TRIM(Dataset!F476))</f>
        <v>229.34</v>
      </c>
      <c r="G476" s="6" t="str">
        <f>TRIM(Dataset!G476)</f>
        <v>398 Main St</v>
      </c>
      <c r="H476" s="6" t="str">
        <f>TRIM(Dataset!H476)</f>
        <v>Credit Card</v>
      </c>
      <c r="I476" s="6" t="str">
        <f>TRIM(Dataset!I476)</f>
        <v>Shipped</v>
      </c>
      <c r="J476" s="6" t="str">
        <f>TRIM(Dataset!J476)</f>
        <v>TRK84378003</v>
      </c>
      <c r="K476" s="8" t="str">
        <f>TRIM(Dataset!K476)</f>
        <v>6</v>
      </c>
      <c r="L476" s="6" t="str">
        <f>Dataset!L476</f>
        <v>SAVE10</v>
      </c>
      <c r="M476" s="6" t="str">
        <f>TRIM(Dataset!M476)</f>
        <v>Referral</v>
      </c>
      <c r="N476" s="10">
        <f>VALUE(TRIM(Dataset!N476))</f>
        <v>688.02</v>
      </c>
    </row>
    <row r="477" spans="1:14" x14ac:dyDescent="0.35">
      <c r="A477" s="6" t="str">
        <f>TRIM(Dataset!A477)</f>
        <v>ORD200475</v>
      </c>
      <c r="B477" s="4">
        <f>Dataset!B477</f>
        <v>45766</v>
      </c>
      <c r="C477" s="6" t="str">
        <f>TRIM(Dataset!C477)</f>
        <v>C29844</v>
      </c>
      <c r="D477" s="6" t="str">
        <f>TRIM(Dataset!D477)</f>
        <v>Tablet</v>
      </c>
      <c r="E477" s="13">
        <f>VALUE(TRIM(Dataset!E477))</f>
        <v>2</v>
      </c>
      <c r="F477" s="10">
        <f>VALUE(TRIM(Dataset!F477))</f>
        <v>438.62</v>
      </c>
      <c r="G477" s="6" t="str">
        <f>TRIM(Dataset!G477)</f>
        <v>363 Main St</v>
      </c>
      <c r="H477" s="6" t="str">
        <f>TRIM(Dataset!H477)</f>
        <v>Cash</v>
      </c>
      <c r="I477" s="6" t="str">
        <f>TRIM(Dataset!I477)</f>
        <v>Cancelled</v>
      </c>
      <c r="J477" s="6" t="str">
        <f>TRIM(Dataset!J477)</f>
        <v>TRK91642337</v>
      </c>
      <c r="K477" s="8" t="str">
        <f>TRIM(Dataset!K477)</f>
        <v>3</v>
      </c>
      <c r="L477" s="6" t="str">
        <f>Dataset!L477</f>
        <v>SAVE10</v>
      </c>
      <c r="M477" s="6" t="str">
        <f>TRIM(Dataset!M477)</f>
        <v>Facebook</v>
      </c>
      <c r="N477" s="10">
        <f>VALUE(TRIM(Dataset!N477))</f>
        <v>877.24</v>
      </c>
    </row>
    <row r="478" spans="1:14" x14ac:dyDescent="0.35">
      <c r="A478" s="6" t="str">
        <f>TRIM(Dataset!A478)</f>
        <v>ORD200476</v>
      </c>
      <c r="B478" s="4">
        <f>Dataset!B478</f>
        <v>45306</v>
      </c>
      <c r="C478" s="6" t="str">
        <f>TRIM(Dataset!C478)</f>
        <v>C77872</v>
      </c>
      <c r="D478" s="6" t="str">
        <f>TRIM(Dataset!D478)</f>
        <v>Phone</v>
      </c>
      <c r="E478" s="13">
        <f>VALUE(TRIM(Dataset!E478))</f>
        <v>2</v>
      </c>
      <c r="F478" s="10">
        <f>VALUE(TRIM(Dataset!F478))</f>
        <v>513.59</v>
      </c>
      <c r="G478" s="6" t="str">
        <f>TRIM(Dataset!G478)</f>
        <v>867 Main St</v>
      </c>
      <c r="H478" s="6" t="str">
        <f>TRIM(Dataset!H478)</f>
        <v>Online</v>
      </c>
      <c r="I478" s="6" t="str">
        <f>TRIM(Dataset!I478)</f>
        <v>Returned</v>
      </c>
      <c r="J478" s="6" t="str">
        <f>TRIM(Dataset!J478)</f>
        <v>TRK19292184</v>
      </c>
      <c r="K478" s="8" t="str">
        <f>TRIM(Dataset!K478)</f>
        <v>4</v>
      </c>
      <c r="L478" s="6" t="str">
        <f>Dataset!L478</f>
        <v>FREESHIP</v>
      </c>
      <c r="M478" s="6" t="str">
        <f>TRIM(Dataset!M478)</f>
        <v>Referral</v>
      </c>
      <c r="N478" s="10">
        <f>VALUE(TRIM(Dataset!N478))</f>
        <v>1027.18</v>
      </c>
    </row>
    <row r="479" spans="1:14" x14ac:dyDescent="0.35">
      <c r="A479" s="6" t="str">
        <f>TRIM(Dataset!A479)</f>
        <v>ORD200477</v>
      </c>
      <c r="B479" s="4">
        <f>Dataset!B479</f>
        <v>45721</v>
      </c>
      <c r="C479" s="6" t="str">
        <f>TRIM(Dataset!C479)</f>
        <v>C56564</v>
      </c>
      <c r="D479" s="6" t="str">
        <f>TRIM(Dataset!D479)</f>
        <v>Phone</v>
      </c>
      <c r="E479" s="13">
        <f>VALUE(TRIM(Dataset!E479))</f>
        <v>2</v>
      </c>
      <c r="F479" s="10">
        <f>VALUE(TRIM(Dataset!F479))</f>
        <v>253.74</v>
      </c>
      <c r="G479" s="6" t="str">
        <f>TRIM(Dataset!G479)</f>
        <v>481 Main St</v>
      </c>
      <c r="H479" s="6" t="str">
        <f>TRIM(Dataset!H479)</f>
        <v>Online</v>
      </c>
      <c r="I479" s="6" t="str">
        <f>TRIM(Dataset!I479)</f>
        <v>Shipped</v>
      </c>
      <c r="J479" s="6" t="str">
        <f>TRIM(Dataset!J479)</f>
        <v>TRK13166044</v>
      </c>
      <c r="K479" s="8" t="str">
        <f>TRIM(Dataset!K479)</f>
        <v>5</v>
      </c>
      <c r="L479" s="6" t="str">
        <f>Dataset!L479</f>
        <v>SAVE10</v>
      </c>
      <c r="M479" s="6" t="str">
        <f>TRIM(Dataset!M479)</f>
        <v>Google</v>
      </c>
      <c r="N479" s="10">
        <f>VALUE(TRIM(Dataset!N479))</f>
        <v>507.48</v>
      </c>
    </row>
    <row r="480" spans="1:14" x14ac:dyDescent="0.35">
      <c r="A480" s="6" t="str">
        <f>TRIM(Dataset!A480)</f>
        <v>ORD200478</v>
      </c>
      <c r="B480" s="4">
        <f>Dataset!B480</f>
        <v>45597</v>
      </c>
      <c r="C480" s="6" t="str">
        <f>TRIM(Dataset!C480)</f>
        <v>C16758</v>
      </c>
      <c r="D480" s="6" t="str">
        <f>TRIM(Dataset!D480)</f>
        <v>Tablet</v>
      </c>
      <c r="E480" s="13">
        <f>VALUE(TRIM(Dataset!E480))</f>
        <v>3</v>
      </c>
      <c r="F480" s="10">
        <f>VALUE(TRIM(Dataset!F480))</f>
        <v>62.77</v>
      </c>
      <c r="G480" s="6" t="str">
        <f>TRIM(Dataset!G480)</f>
        <v>914 Main St</v>
      </c>
      <c r="H480" s="6" t="str">
        <f>TRIM(Dataset!H480)</f>
        <v>Gift Card</v>
      </c>
      <c r="I480" s="6" t="str">
        <f>TRIM(Dataset!I480)</f>
        <v>Shipped</v>
      </c>
      <c r="J480" s="6" t="str">
        <f>TRIM(Dataset!J480)</f>
        <v>TRK88544431</v>
      </c>
      <c r="K480" s="8" t="str">
        <f>TRIM(Dataset!K480)</f>
        <v>6</v>
      </c>
      <c r="L480" s="6" t="str">
        <f>Dataset!L480</f>
        <v>FREESHIP</v>
      </c>
      <c r="M480" s="6" t="str">
        <f>TRIM(Dataset!M480)</f>
        <v>Referral</v>
      </c>
      <c r="N480" s="10">
        <f>VALUE(TRIM(Dataset!N480))</f>
        <v>188.31</v>
      </c>
    </row>
    <row r="481" spans="1:14" x14ac:dyDescent="0.35">
      <c r="A481" s="6" t="str">
        <f>TRIM(Dataset!A481)</f>
        <v>ORD200479</v>
      </c>
      <c r="B481" s="4">
        <f>Dataset!B481</f>
        <v>44975</v>
      </c>
      <c r="C481" s="6" t="str">
        <f>TRIM(Dataset!C481)</f>
        <v>C87011</v>
      </c>
      <c r="D481" s="6" t="str">
        <f>TRIM(Dataset!D481)</f>
        <v>Monitor</v>
      </c>
      <c r="E481" s="13">
        <f>VALUE(TRIM(Dataset!E481))</f>
        <v>4</v>
      </c>
      <c r="F481" s="10">
        <f>VALUE(TRIM(Dataset!F481))</f>
        <v>25.29</v>
      </c>
      <c r="G481" s="6" t="str">
        <f>TRIM(Dataset!G481)</f>
        <v>943 Main St</v>
      </c>
      <c r="H481" s="6" t="str">
        <f>TRIM(Dataset!H481)</f>
        <v>Credit Card</v>
      </c>
      <c r="I481" s="6" t="str">
        <f>TRIM(Dataset!I481)</f>
        <v>Pending</v>
      </c>
      <c r="J481" s="6" t="str">
        <f>TRIM(Dataset!J481)</f>
        <v>TRK21429162</v>
      </c>
      <c r="K481" s="8" t="str">
        <f>TRIM(Dataset!K481)</f>
        <v>8</v>
      </c>
      <c r="L481" s="6" t="s">
        <v>4284</v>
      </c>
      <c r="M481" s="6" t="str">
        <f>TRIM(Dataset!M481)</f>
        <v>Google</v>
      </c>
      <c r="N481" s="10">
        <f>VALUE(TRIM(Dataset!N481))</f>
        <v>101.16</v>
      </c>
    </row>
    <row r="482" spans="1:14" x14ac:dyDescent="0.35">
      <c r="A482" s="6" t="str">
        <f>TRIM(Dataset!A482)</f>
        <v>ORD200480</v>
      </c>
      <c r="B482" s="4">
        <f>Dataset!B482</f>
        <v>45093</v>
      </c>
      <c r="C482" s="6" t="str">
        <f>TRIM(Dataset!C482)</f>
        <v>C21147</v>
      </c>
      <c r="D482" s="6" t="str">
        <f>TRIM(Dataset!D482)</f>
        <v>Chair</v>
      </c>
      <c r="E482" s="13">
        <f>VALUE(TRIM(Dataset!E482))</f>
        <v>1</v>
      </c>
      <c r="F482" s="10">
        <f>VALUE(TRIM(Dataset!F482))</f>
        <v>335.1</v>
      </c>
      <c r="G482" s="6" t="str">
        <f>TRIM(Dataset!G482)</f>
        <v>126 Main St</v>
      </c>
      <c r="H482" s="6" t="str">
        <f>TRIM(Dataset!H482)</f>
        <v>Debit Card</v>
      </c>
      <c r="I482" s="6" t="str">
        <f>TRIM(Dataset!I482)</f>
        <v>Pending</v>
      </c>
      <c r="J482" s="6" t="str">
        <f>TRIM(Dataset!J482)</f>
        <v>TRK93171043</v>
      </c>
      <c r="K482" s="8" t="str">
        <f>TRIM(Dataset!K482)</f>
        <v>6</v>
      </c>
      <c r="L482" s="6" t="str">
        <f>Dataset!L482</f>
        <v>FREESHIP</v>
      </c>
      <c r="M482" s="6" t="str">
        <f>TRIM(Dataset!M482)</f>
        <v>Referral</v>
      </c>
      <c r="N482" s="10">
        <f>VALUE(TRIM(Dataset!N482))</f>
        <v>335.1</v>
      </c>
    </row>
    <row r="483" spans="1:14" x14ac:dyDescent="0.35">
      <c r="A483" s="6" t="str">
        <f>TRIM(Dataset!A483)</f>
        <v>ORD200481</v>
      </c>
      <c r="B483" s="4">
        <f>Dataset!B483</f>
        <v>45039</v>
      </c>
      <c r="C483" s="6" t="str">
        <f>TRIM(Dataset!C483)</f>
        <v>C94568</v>
      </c>
      <c r="D483" s="6" t="str">
        <f>TRIM(Dataset!D483)</f>
        <v>Laptop</v>
      </c>
      <c r="E483" s="13">
        <f>VALUE(TRIM(Dataset!E483))</f>
        <v>4</v>
      </c>
      <c r="F483" s="10">
        <f>VALUE(TRIM(Dataset!F483))</f>
        <v>484.85</v>
      </c>
      <c r="G483" s="6" t="str">
        <f>TRIM(Dataset!G483)</f>
        <v>317 Main St</v>
      </c>
      <c r="H483" s="6" t="str">
        <f>TRIM(Dataset!H483)</f>
        <v>Debit Card</v>
      </c>
      <c r="I483" s="6" t="str">
        <f>TRIM(Dataset!I483)</f>
        <v>Delivered</v>
      </c>
      <c r="J483" s="6" t="str">
        <f>TRIM(Dataset!J483)</f>
        <v>TRK58653915</v>
      </c>
      <c r="K483" s="8" t="str">
        <f>TRIM(Dataset!K483)</f>
        <v>5</v>
      </c>
      <c r="L483" s="6" t="str">
        <f>Dataset!L483</f>
        <v>WINTER15</v>
      </c>
      <c r="M483" s="6" t="str">
        <f>TRIM(Dataset!M483)</f>
        <v>Referral</v>
      </c>
      <c r="N483" s="10">
        <f>VALUE(TRIM(Dataset!N483))</f>
        <v>1939.4</v>
      </c>
    </row>
    <row r="484" spans="1:14" x14ac:dyDescent="0.35">
      <c r="A484" s="6" t="str">
        <f>TRIM(Dataset!A484)</f>
        <v>ORD200482</v>
      </c>
      <c r="B484" s="4">
        <f>Dataset!B484</f>
        <v>45718</v>
      </c>
      <c r="C484" s="6" t="str">
        <f>TRIM(Dataset!C484)</f>
        <v>C35852</v>
      </c>
      <c r="D484" s="6" t="str">
        <f>TRIM(Dataset!D484)</f>
        <v>Monitor</v>
      </c>
      <c r="E484" s="13">
        <f>VALUE(TRIM(Dataset!E484))</f>
        <v>3</v>
      </c>
      <c r="F484" s="10">
        <f>VALUE(TRIM(Dataset!F484))</f>
        <v>381.41</v>
      </c>
      <c r="G484" s="6" t="str">
        <f>TRIM(Dataset!G484)</f>
        <v>989 Main St</v>
      </c>
      <c r="H484" s="6" t="str">
        <f>TRIM(Dataset!H484)</f>
        <v>Online</v>
      </c>
      <c r="I484" s="6" t="str">
        <f>TRIM(Dataset!I484)</f>
        <v>Pending</v>
      </c>
      <c r="J484" s="6" t="str">
        <f>TRIM(Dataset!J484)</f>
        <v>TRK22302049</v>
      </c>
      <c r="K484" s="8" t="str">
        <f>TRIM(Dataset!K484)</f>
        <v>6</v>
      </c>
      <c r="L484" s="6" t="s">
        <v>4284</v>
      </c>
      <c r="M484" s="6" t="str">
        <f>TRIM(Dataset!M484)</f>
        <v>Instagram</v>
      </c>
      <c r="N484" s="10">
        <f>VALUE(TRIM(Dataset!N484))</f>
        <v>1144.23</v>
      </c>
    </row>
    <row r="485" spans="1:14" x14ac:dyDescent="0.35">
      <c r="A485" s="6" t="str">
        <f>TRIM(Dataset!A485)</f>
        <v>ORD200483</v>
      </c>
      <c r="B485" s="4">
        <f>Dataset!B485</f>
        <v>44944</v>
      </c>
      <c r="C485" s="6" t="str">
        <f>TRIM(Dataset!C485)</f>
        <v>C66462</v>
      </c>
      <c r="D485" s="6" t="str">
        <f>TRIM(Dataset!D485)</f>
        <v>Phone</v>
      </c>
      <c r="E485" s="13">
        <f>VALUE(TRIM(Dataset!E485))</f>
        <v>5</v>
      </c>
      <c r="F485" s="10">
        <f>VALUE(TRIM(Dataset!F485))</f>
        <v>347.92</v>
      </c>
      <c r="G485" s="6" t="str">
        <f>TRIM(Dataset!G485)</f>
        <v>982 Main St</v>
      </c>
      <c r="H485" s="6" t="str">
        <f>TRIM(Dataset!H485)</f>
        <v>Cash</v>
      </c>
      <c r="I485" s="6" t="str">
        <f>TRIM(Dataset!I485)</f>
        <v>Pending</v>
      </c>
      <c r="J485" s="6" t="str">
        <f>TRIM(Dataset!J485)</f>
        <v>TRK52743700</v>
      </c>
      <c r="K485" s="8" t="str">
        <f>TRIM(Dataset!K485)</f>
        <v>6</v>
      </c>
      <c r="L485" s="6" t="str">
        <f>Dataset!L485</f>
        <v>WINTER15</v>
      </c>
      <c r="M485" s="6" t="str">
        <f>TRIM(Dataset!M485)</f>
        <v>Google</v>
      </c>
      <c r="N485" s="10">
        <f>VALUE(TRIM(Dataset!N485))</f>
        <v>1739.6</v>
      </c>
    </row>
    <row r="486" spans="1:14" x14ac:dyDescent="0.35">
      <c r="A486" s="6" t="str">
        <f>TRIM(Dataset!A486)</f>
        <v>ORD200484</v>
      </c>
      <c r="B486" s="4">
        <f>Dataset!B486</f>
        <v>45441</v>
      </c>
      <c r="C486" s="6" t="str">
        <f>TRIM(Dataset!C486)</f>
        <v>C29092</v>
      </c>
      <c r="D486" s="6" t="str">
        <f>TRIM(Dataset!D486)</f>
        <v>Chair</v>
      </c>
      <c r="E486" s="13">
        <f>VALUE(TRIM(Dataset!E486))</f>
        <v>4</v>
      </c>
      <c r="F486" s="10">
        <f>VALUE(TRIM(Dataset!F486))</f>
        <v>15.01</v>
      </c>
      <c r="G486" s="6" t="str">
        <f>TRIM(Dataset!G486)</f>
        <v>767 Main St</v>
      </c>
      <c r="H486" s="6" t="str">
        <f>TRIM(Dataset!H486)</f>
        <v>Cash</v>
      </c>
      <c r="I486" s="6" t="str">
        <f>TRIM(Dataset!I486)</f>
        <v>Cancelled</v>
      </c>
      <c r="J486" s="6" t="str">
        <f>TRIM(Dataset!J486)</f>
        <v>TRK90455340</v>
      </c>
      <c r="K486" s="8" t="str">
        <f>TRIM(Dataset!K486)</f>
        <v>6</v>
      </c>
      <c r="L486" s="6" t="s">
        <v>4284</v>
      </c>
      <c r="M486" s="6" t="str">
        <f>TRIM(Dataset!M486)</f>
        <v>Facebook</v>
      </c>
      <c r="N486" s="10">
        <f>VALUE(TRIM(Dataset!N486))</f>
        <v>60.04</v>
      </c>
    </row>
    <row r="487" spans="1:14" x14ac:dyDescent="0.35">
      <c r="A487" s="6" t="str">
        <f>TRIM(Dataset!A487)</f>
        <v>ORD200485</v>
      </c>
      <c r="B487" s="4">
        <f>Dataset!B487</f>
        <v>45139</v>
      </c>
      <c r="C487" s="6" t="str">
        <f>TRIM(Dataset!C487)</f>
        <v>C46651</v>
      </c>
      <c r="D487" s="6" t="str">
        <f>TRIM(Dataset!D487)</f>
        <v>Chair</v>
      </c>
      <c r="E487" s="13">
        <f>VALUE(TRIM(Dataset!E487))</f>
        <v>3</v>
      </c>
      <c r="F487" s="10">
        <f>VALUE(TRIM(Dataset!F487))</f>
        <v>404.79</v>
      </c>
      <c r="G487" s="6" t="str">
        <f>TRIM(Dataset!G487)</f>
        <v>764 Main St</v>
      </c>
      <c r="H487" s="6" t="str">
        <f>TRIM(Dataset!H487)</f>
        <v>Cash</v>
      </c>
      <c r="I487" s="6" t="str">
        <f>TRIM(Dataset!I487)</f>
        <v>Shipped</v>
      </c>
      <c r="J487" s="6" t="str">
        <f>TRIM(Dataset!J487)</f>
        <v>TRK67679195</v>
      </c>
      <c r="K487" s="8" t="str">
        <f>TRIM(Dataset!K487)</f>
        <v>6</v>
      </c>
      <c r="L487" s="6" t="str">
        <f>Dataset!L487</f>
        <v>SAVE10</v>
      </c>
      <c r="M487" s="6" t="str">
        <f>TRIM(Dataset!M487)</f>
        <v>Instagram</v>
      </c>
      <c r="N487" s="10">
        <f>VALUE(TRIM(Dataset!N487))</f>
        <v>1214.3699999999999</v>
      </c>
    </row>
    <row r="488" spans="1:14" x14ac:dyDescent="0.35">
      <c r="A488" s="6" t="str">
        <f>TRIM(Dataset!A488)</f>
        <v>ORD200486</v>
      </c>
      <c r="B488" s="4">
        <f>Dataset!B488</f>
        <v>44960</v>
      </c>
      <c r="C488" s="6" t="str">
        <f>TRIM(Dataset!C488)</f>
        <v>C88981</v>
      </c>
      <c r="D488" s="6" t="str">
        <f>TRIM(Dataset!D488)</f>
        <v>Printer</v>
      </c>
      <c r="E488" s="13">
        <f>VALUE(TRIM(Dataset!E488))</f>
        <v>4</v>
      </c>
      <c r="F488" s="10">
        <f>VALUE(TRIM(Dataset!F488))</f>
        <v>611.26</v>
      </c>
      <c r="G488" s="6" t="str">
        <f>TRIM(Dataset!G488)</f>
        <v>558 Main St</v>
      </c>
      <c r="H488" s="6" t="str">
        <f>TRIM(Dataset!H488)</f>
        <v>Cash</v>
      </c>
      <c r="I488" s="6" t="str">
        <f>TRIM(Dataset!I488)</f>
        <v>Shipped</v>
      </c>
      <c r="J488" s="6" t="str">
        <f>TRIM(Dataset!J488)</f>
        <v>TRK75267873</v>
      </c>
      <c r="K488" s="8" t="str">
        <f>TRIM(Dataset!K488)</f>
        <v>5</v>
      </c>
      <c r="L488" s="6" t="str">
        <f>Dataset!L488</f>
        <v>SAVE10</v>
      </c>
      <c r="M488" s="6" t="str">
        <f>TRIM(Dataset!M488)</f>
        <v>Referral</v>
      </c>
      <c r="N488" s="10">
        <f>VALUE(TRIM(Dataset!N488))</f>
        <v>2445.04</v>
      </c>
    </row>
    <row r="489" spans="1:14" x14ac:dyDescent="0.35">
      <c r="A489" s="6" t="str">
        <f>TRIM(Dataset!A489)</f>
        <v>ORD200487</v>
      </c>
      <c r="B489" s="4">
        <f>Dataset!B489</f>
        <v>44994</v>
      </c>
      <c r="C489" s="6" t="str">
        <f>TRIM(Dataset!C489)</f>
        <v>C40136</v>
      </c>
      <c r="D489" s="6" t="str">
        <f>TRIM(Dataset!D489)</f>
        <v>Printer</v>
      </c>
      <c r="E489" s="13">
        <f>VALUE(TRIM(Dataset!E489))</f>
        <v>3</v>
      </c>
      <c r="F489" s="10">
        <f>VALUE(TRIM(Dataset!F489))</f>
        <v>346.52</v>
      </c>
      <c r="G489" s="6" t="str">
        <f>TRIM(Dataset!G489)</f>
        <v>211 Main St</v>
      </c>
      <c r="H489" s="6" t="str">
        <f>TRIM(Dataset!H489)</f>
        <v>Credit Card</v>
      </c>
      <c r="I489" s="6" t="str">
        <f>TRIM(Dataset!I489)</f>
        <v>Pending</v>
      </c>
      <c r="J489" s="6" t="str">
        <f>TRIM(Dataset!J489)</f>
        <v>TRK92924852</v>
      </c>
      <c r="K489" s="8" t="str">
        <f>TRIM(Dataset!K489)</f>
        <v>3</v>
      </c>
      <c r="L489" s="6" t="str">
        <f>Dataset!L489</f>
        <v>SAVE10</v>
      </c>
      <c r="M489" s="6" t="str">
        <f>TRIM(Dataset!M489)</f>
        <v>Google</v>
      </c>
      <c r="N489" s="10">
        <f>VALUE(TRIM(Dataset!N489))</f>
        <v>1039.56</v>
      </c>
    </row>
    <row r="490" spans="1:14" x14ac:dyDescent="0.35">
      <c r="A490" s="6" t="str">
        <f>TRIM(Dataset!A490)</f>
        <v>ORD200488</v>
      </c>
      <c r="B490" s="4">
        <f>Dataset!B490</f>
        <v>45631</v>
      </c>
      <c r="C490" s="6" t="str">
        <f>TRIM(Dataset!C490)</f>
        <v>C81573</v>
      </c>
      <c r="D490" s="6" t="str">
        <f>TRIM(Dataset!D490)</f>
        <v>Chair</v>
      </c>
      <c r="E490" s="13">
        <f>VALUE(TRIM(Dataset!E490))</f>
        <v>1</v>
      </c>
      <c r="F490" s="10">
        <f>VALUE(TRIM(Dataset!F490))</f>
        <v>36.65</v>
      </c>
      <c r="G490" s="6" t="str">
        <f>TRIM(Dataset!G490)</f>
        <v>556 Main St</v>
      </c>
      <c r="H490" s="6" t="str">
        <f>TRIM(Dataset!H490)</f>
        <v>Online</v>
      </c>
      <c r="I490" s="6" t="str">
        <f>TRIM(Dataset!I490)</f>
        <v>Cancelled</v>
      </c>
      <c r="J490" s="6" t="str">
        <f>TRIM(Dataset!J490)</f>
        <v>TRK96522994</v>
      </c>
      <c r="K490" s="8" t="str">
        <f>TRIM(Dataset!K490)</f>
        <v>1</v>
      </c>
      <c r="L490" s="6" t="str">
        <f>Dataset!L490</f>
        <v>WINTER15</v>
      </c>
      <c r="M490" s="6" t="str">
        <f>TRIM(Dataset!M490)</f>
        <v>Email</v>
      </c>
      <c r="N490" s="10">
        <f>VALUE(TRIM(Dataset!N490))</f>
        <v>36.65</v>
      </c>
    </row>
    <row r="491" spans="1:14" x14ac:dyDescent="0.35">
      <c r="A491" s="6" t="str">
        <f>TRIM(Dataset!A491)</f>
        <v>ORD200489</v>
      </c>
      <c r="B491" s="4">
        <f>Dataset!B491</f>
        <v>45174</v>
      </c>
      <c r="C491" s="6" t="str">
        <f>TRIM(Dataset!C491)</f>
        <v>C11940</v>
      </c>
      <c r="D491" s="6" t="str">
        <f>TRIM(Dataset!D491)</f>
        <v>Tablet</v>
      </c>
      <c r="E491" s="13">
        <f>VALUE(TRIM(Dataset!E491))</f>
        <v>3</v>
      </c>
      <c r="F491" s="10">
        <f>VALUE(TRIM(Dataset!F491))</f>
        <v>149.34</v>
      </c>
      <c r="G491" s="6" t="str">
        <f>TRIM(Dataset!G491)</f>
        <v>589 Main St</v>
      </c>
      <c r="H491" s="6" t="str">
        <f>TRIM(Dataset!H491)</f>
        <v>Gift Card</v>
      </c>
      <c r="I491" s="6" t="str">
        <f>TRIM(Dataset!I491)</f>
        <v>Cancelled</v>
      </c>
      <c r="J491" s="6" t="str">
        <f>TRIM(Dataset!J491)</f>
        <v>TRK85466461</v>
      </c>
      <c r="K491" s="8" t="str">
        <f>TRIM(Dataset!K491)</f>
        <v>7</v>
      </c>
      <c r="L491" s="6" t="str">
        <f>Dataset!L491</f>
        <v>WINTER15</v>
      </c>
      <c r="M491" s="6" t="str">
        <f>TRIM(Dataset!M491)</f>
        <v>Email</v>
      </c>
      <c r="N491" s="10">
        <f>VALUE(TRIM(Dataset!N491))</f>
        <v>448.02</v>
      </c>
    </row>
    <row r="492" spans="1:14" x14ac:dyDescent="0.35">
      <c r="A492" s="6" t="str">
        <f>TRIM(Dataset!A492)</f>
        <v>ORD200490</v>
      </c>
      <c r="B492" s="4">
        <f>Dataset!B492</f>
        <v>45495</v>
      </c>
      <c r="C492" s="6" t="str">
        <f>TRIM(Dataset!C492)</f>
        <v>C50097</v>
      </c>
      <c r="D492" s="6" t="str">
        <f>TRIM(Dataset!D492)</f>
        <v>Chair</v>
      </c>
      <c r="E492" s="13">
        <f>VALUE(TRIM(Dataset!E492))</f>
        <v>5</v>
      </c>
      <c r="F492" s="10">
        <f>VALUE(TRIM(Dataset!F492))</f>
        <v>467.81</v>
      </c>
      <c r="G492" s="6" t="str">
        <f>TRIM(Dataset!G492)</f>
        <v>539 Main St</v>
      </c>
      <c r="H492" s="6" t="str">
        <f>TRIM(Dataset!H492)</f>
        <v>Online</v>
      </c>
      <c r="I492" s="6" t="str">
        <f>TRIM(Dataset!I492)</f>
        <v>Cancelled</v>
      </c>
      <c r="J492" s="6" t="str">
        <f>TRIM(Dataset!J492)</f>
        <v>TRK62785150</v>
      </c>
      <c r="K492" s="8" t="str">
        <f>TRIM(Dataset!K492)</f>
        <v>10</v>
      </c>
      <c r="L492" s="6" t="s">
        <v>4284</v>
      </c>
      <c r="M492" s="6" t="str">
        <f>TRIM(Dataset!M492)</f>
        <v>Facebook</v>
      </c>
      <c r="N492" s="10">
        <f>VALUE(TRIM(Dataset!N492))</f>
        <v>2339.0500000000002</v>
      </c>
    </row>
    <row r="493" spans="1:14" x14ac:dyDescent="0.35">
      <c r="A493" s="6" t="str">
        <f>TRIM(Dataset!A493)</f>
        <v>ORD200491</v>
      </c>
      <c r="B493" s="4">
        <f>Dataset!B493</f>
        <v>44931</v>
      </c>
      <c r="C493" s="6" t="str">
        <f>TRIM(Dataset!C493)</f>
        <v>C98168</v>
      </c>
      <c r="D493" s="6" t="str">
        <f>TRIM(Dataset!D493)</f>
        <v>Phone</v>
      </c>
      <c r="E493" s="13">
        <f>VALUE(TRIM(Dataset!E493))</f>
        <v>5</v>
      </c>
      <c r="F493" s="10">
        <f>VALUE(TRIM(Dataset!F493))</f>
        <v>420.7</v>
      </c>
      <c r="G493" s="6" t="str">
        <f>TRIM(Dataset!G493)</f>
        <v>481 Main St</v>
      </c>
      <c r="H493" s="6" t="str">
        <f>TRIM(Dataset!H493)</f>
        <v>Cash</v>
      </c>
      <c r="I493" s="6" t="str">
        <f>TRIM(Dataset!I493)</f>
        <v>Pending</v>
      </c>
      <c r="J493" s="6" t="str">
        <f>TRIM(Dataset!J493)</f>
        <v>TRK56423359</v>
      </c>
      <c r="K493" s="8" t="str">
        <f>TRIM(Dataset!K493)</f>
        <v>5</v>
      </c>
      <c r="L493" s="6" t="str">
        <f>Dataset!L493</f>
        <v>WINTER15</v>
      </c>
      <c r="M493" s="6" t="str">
        <f>TRIM(Dataset!M493)</f>
        <v>Facebook</v>
      </c>
      <c r="N493" s="10">
        <f>VALUE(TRIM(Dataset!N493))</f>
        <v>2103.5</v>
      </c>
    </row>
    <row r="494" spans="1:14" x14ac:dyDescent="0.35">
      <c r="A494" s="6" t="str">
        <f>TRIM(Dataset!A494)</f>
        <v>ORD200492</v>
      </c>
      <c r="B494" s="4">
        <f>Dataset!B494</f>
        <v>45224</v>
      </c>
      <c r="C494" s="6" t="str">
        <f>TRIM(Dataset!C494)</f>
        <v>C39074</v>
      </c>
      <c r="D494" s="6" t="str">
        <f>TRIM(Dataset!D494)</f>
        <v>Laptop</v>
      </c>
      <c r="E494" s="13">
        <f>VALUE(TRIM(Dataset!E494))</f>
        <v>5</v>
      </c>
      <c r="F494" s="10">
        <f>VALUE(TRIM(Dataset!F494))</f>
        <v>606.52</v>
      </c>
      <c r="G494" s="6" t="str">
        <f>TRIM(Dataset!G494)</f>
        <v>103 Main St</v>
      </c>
      <c r="H494" s="6" t="str">
        <f>TRIM(Dataset!H494)</f>
        <v>Debit Card</v>
      </c>
      <c r="I494" s="6" t="str">
        <f>TRIM(Dataset!I494)</f>
        <v>Shipped</v>
      </c>
      <c r="J494" s="6" t="str">
        <f>TRIM(Dataset!J494)</f>
        <v>TRK13027036</v>
      </c>
      <c r="K494" s="8" t="str">
        <f>TRIM(Dataset!K494)</f>
        <v>6</v>
      </c>
      <c r="L494" s="6" t="str">
        <f>Dataset!L494</f>
        <v>SAVE10</v>
      </c>
      <c r="M494" s="6" t="str">
        <f>TRIM(Dataset!M494)</f>
        <v>Instagram</v>
      </c>
      <c r="N494" s="10">
        <f>VALUE(TRIM(Dataset!N494))</f>
        <v>3032.6</v>
      </c>
    </row>
    <row r="495" spans="1:14" x14ac:dyDescent="0.35">
      <c r="A495" s="6" t="str">
        <f>TRIM(Dataset!A495)</f>
        <v>ORD200493</v>
      </c>
      <c r="B495" s="4">
        <f>Dataset!B495</f>
        <v>45685</v>
      </c>
      <c r="C495" s="6" t="str">
        <f>TRIM(Dataset!C495)</f>
        <v>C84908</v>
      </c>
      <c r="D495" s="6" t="str">
        <f>TRIM(Dataset!D495)</f>
        <v>Phone</v>
      </c>
      <c r="E495" s="13">
        <f>VALUE(TRIM(Dataset!E495))</f>
        <v>1</v>
      </c>
      <c r="F495" s="10">
        <f>VALUE(TRIM(Dataset!F495))</f>
        <v>420.26</v>
      </c>
      <c r="G495" s="6" t="str">
        <f>TRIM(Dataset!G495)</f>
        <v>372 Main St</v>
      </c>
      <c r="H495" s="6" t="str">
        <f>TRIM(Dataset!H495)</f>
        <v>Credit Card</v>
      </c>
      <c r="I495" s="6" t="str">
        <f>TRIM(Dataset!I495)</f>
        <v>Pending</v>
      </c>
      <c r="J495" s="6" t="str">
        <f>TRIM(Dataset!J495)</f>
        <v>TRK64135970</v>
      </c>
      <c r="K495" s="8" t="str">
        <f>TRIM(Dataset!K495)</f>
        <v>4</v>
      </c>
      <c r="L495" s="6" t="str">
        <f>Dataset!L495</f>
        <v>FREESHIP</v>
      </c>
      <c r="M495" s="6" t="str">
        <f>TRIM(Dataset!M495)</f>
        <v>Facebook</v>
      </c>
      <c r="N495" s="10">
        <f>VALUE(TRIM(Dataset!N495))</f>
        <v>420.26</v>
      </c>
    </row>
    <row r="496" spans="1:14" x14ac:dyDescent="0.35">
      <c r="A496" s="6" t="str">
        <f>TRIM(Dataset!A496)</f>
        <v>ORD200494</v>
      </c>
      <c r="B496" s="4">
        <f>Dataset!B496</f>
        <v>45126</v>
      </c>
      <c r="C496" s="6" t="str">
        <f>TRIM(Dataset!C496)</f>
        <v>C64516</v>
      </c>
      <c r="D496" s="6" t="str">
        <f>TRIM(Dataset!D496)</f>
        <v>Laptop</v>
      </c>
      <c r="E496" s="13">
        <f>VALUE(TRIM(Dataset!E496))</f>
        <v>3</v>
      </c>
      <c r="F496" s="10">
        <f>VALUE(TRIM(Dataset!F496))</f>
        <v>505.79</v>
      </c>
      <c r="G496" s="6" t="str">
        <f>TRIM(Dataset!G496)</f>
        <v>459 Main St</v>
      </c>
      <c r="H496" s="6" t="str">
        <f>TRIM(Dataset!H496)</f>
        <v>Debit Card</v>
      </c>
      <c r="I496" s="6" t="str">
        <f>TRIM(Dataset!I496)</f>
        <v>Pending</v>
      </c>
      <c r="J496" s="6" t="str">
        <f>TRIM(Dataset!J496)</f>
        <v>TRK63920573</v>
      </c>
      <c r="K496" s="8" t="str">
        <f>TRIM(Dataset!K496)</f>
        <v>3</v>
      </c>
      <c r="L496" s="6" t="str">
        <f>Dataset!L496</f>
        <v>FREESHIP</v>
      </c>
      <c r="M496" s="6" t="str">
        <f>TRIM(Dataset!M496)</f>
        <v>Referral</v>
      </c>
      <c r="N496" s="10">
        <f>VALUE(TRIM(Dataset!N496))</f>
        <v>1517.37</v>
      </c>
    </row>
    <row r="497" spans="1:14" x14ac:dyDescent="0.35">
      <c r="A497" s="6" t="str">
        <f>TRIM(Dataset!A497)</f>
        <v>ORD200495</v>
      </c>
      <c r="B497" s="4">
        <f>Dataset!B497</f>
        <v>45813</v>
      </c>
      <c r="C497" s="6" t="str">
        <f>TRIM(Dataset!C497)</f>
        <v>C63827</v>
      </c>
      <c r="D497" s="6" t="str">
        <f>TRIM(Dataset!D497)</f>
        <v>Phone</v>
      </c>
      <c r="E497" s="13">
        <f>VALUE(TRIM(Dataset!E497))</f>
        <v>4</v>
      </c>
      <c r="F497" s="10">
        <f>VALUE(TRIM(Dataset!F497))</f>
        <v>493.73</v>
      </c>
      <c r="G497" s="6" t="str">
        <f>TRIM(Dataset!G497)</f>
        <v>947 Main St</v>
      </c>
      <c r="H497" s="6" t="str">
        <f>TRIM(Dataset!H497)</f>
        <v>Debit Card</v>
      </c>
      <c r="I497" s="6" t="str">
        <f>TRIM(Dataset!I497)</f>
        <v>Pending</v>
      </c>
      <c r="J497" s="6" t="str">
        <f>TRIM(Dataset!J497)</f>
        <v>TRK35730581</v>
      </c>
      <c r="K497" s="8" t="str">
        <f>TRIM(Dataset!K497)</f>
        <v>6</v>
      </c>
      <c r="L497" s="6" t="str">
        <f>Dataset!L497</f>
        <v>SAVE10</v>
      </c>
      <c r="M497" s="6" t="str">
        <f>TRIM(Dataset!M497)</f>
        <v>Facebook</v>
      </c>
      <c r="N497" s="10">
        <f>VALUE(TRIM(Dataset!N497))</f>
        <v>1974.92</v>
      </c>
    </row>
    <row r="498" spans="1:14" x14ac:dyDescent="0.35">
      <c r="A498" s="6" t="str">
        <f>TRIM(Dataset!A498)</f>
        <v>ORD200496</v>
      </c>
      <c r="B498" s="4">
        <f>Dataset!B498</f>
        <v>45730</v>
      </c>
      <c r="C498" s="6" t="str">
        <f>TRIM(Dataset!C498)</f>
        <v>C93618</v>
      </c>
      <c r="D498" s="6" t="str">
        <f>TRIM(Dataset!D498)</f>
        <v>Printer</v>
      </c>
      <c r="E498" s="13">
        <f>VALUE(TRIM(Dataset!E498))</f>
        <v>3</v>
      </c>
      <c r="F498" s="10">
        <f>VALUE(TRIM(Dataset!F498))</f>
        <v>201.21</v>
      </c>
      <c r="G498" s="6" t="str">
        <f>TRIM(Dataset!G498)</f>
        <v>249 Main St</v>
      </c>
      <c r="H498" s="6" t="str">
        <f>TRIM(Dataset!H498)</f>
        <v>Online</v>
      </c>
      <c r="I498" s="6" t="str">
        <f>TRIM(Dataset!I498)</f>
        <v>Cancelled</v>
      </c>
      <c r="J498" s="6" t="str">
        <f>TRIM(Dataset!J498)</f>
        <v>TRK66129326</v>
      </c>
      <c r="K498" s="8" t="str">
        <f>TRIM(Dataset!K498)</f>
        <v>3</v>
      </c>
      <c r="L498" s="6" t="str">
        <f>Dataset!L498</f>
        <v>SAVE10</v>
      </c>
      <c r="M498" s="6" t="str">
        <f>TRIM(Dataset!M498)</f>
        <v>Google</v>
      </c>
      <c r="N498" s="10">
        <f>VALUE(TRIM(Dataset!N498))</f>
        <v>603.63</v>
      </c>
    </row>
    <row r="499" spans="1:14" x14ac:dyDescent="0.35">
      <c r="A499" s="6" t="str">
        <f>TRIM(Dataset!A499)</f>
        <v>ORD200497</v>
      </c>
      <c r="B499" s="4">
        <f>Dataset!B499</f>
        <v>45589</v>
      </c>
      <c r="C499" s="6" t="str">
        <f>TRIM(Dataset!C499)</f>
        <v>C93948</v>
      </c>
      <c r="D499" s="6" t="str">
        <f>TRIM(Dataset!D499)</f>
        <v>Printer</v>
      </c>
      <c r="E499" s="13">
        <f>VALUE(TRIM(Dataset!E499))</f>
        <v>3</v>
      </c>
      <c r="F499" s="10">
        <f>VALUE(TRIM(Dataset!F499))</f>
        <v>112.29</v>
      </c>
      <c r="G499" s="6" t="str">
        <f>TRIM(Dataset!G499)</f>
        <v>454 Main St</v>
      </c>
      <c r="H499" s="6" t="str">
        <f>TRIM(Dataset!H499)</f>
        <v>Gift Card</v>
      </c>
      <c r="I499" s="6" t="str">
        <f>TRIM(Dataset!I499)</f>
        <v>Shipped</v>
      </c>
      <c r="J499" s="6" t="str">
        <f>TRIM(Dataset!J499)</f>
        <v>TRK77358113</v>
      </c>
      <c r="K499" s="8" t="str">
        <f>TRIM(Dataset!K499)</f>
        <v>6</v>
      </c>
      <c r="L499" s="6" t="s">
        <v>4284</v>
      </c>
      <c r="M499" s="6" t="str">
        <f>TRIM(Dataset!M499)</f>
        <v>Google</v>
      </c>
      <c r="N499" s="10">
        <f>VALUE(TRIM(Dataset!N499))</f>
        <v>336.87</v>
      </c>
    </row>
    <row r="500" spans="1:14" x14ac:dyDescent="0.35">
      <c r="A500" s="6" t="str">
        <f>TRIM(Dataset!A500)</f>
        <v>ORD200498</v>
      </c>
      <c r="B500" s="4">
        <f>Dataset!B500</f>
        <v>45119</v>
      </c>
      <c r="C500" s="6" t="str">
        <f>TRIM(Dataset!C500)</f>
        <v>C73961</v>
      </c>
      <c r="D500" s="6" t="str">
        <f>TRIM(Dataset!D500)</f>
        <v>Tablet</v>
      </c>
      <c r="E500" s="13">
        <f>VALUE(TRIM(Dataset!E500))</f>
        <v>4</v>
      </c>
      <c r="F500" s="10">
        <f>VALUE(TRIM(Dataset!F500))</f>
        <v>132.56</v>
      </c>
      <c r="G500" s="6" t="str">
        <f>TRIM(Dataset!G500)</f>
        <v>306 Main St</v>
      </c>
      <c r="H500" s="6" t="str">
        <f>TRIM(Dataset!H500)</f>
        <v>Cash</v>
      </c>
      <c r="I500" s="6" t="str">
        <f>TRIM(Dataset!I500)</f>
        <v>Returned</v>
      </c>
      <c r="J500" s="6" t="str">
        <f>TRIM(Dataset!J500)</f>
        <v>TRK32607173</v>
      </c>
      <c r="K500" s="8" t="str">
        <f>TRIM(Dataset!K500)</f>
        <v>8</v>
      </c>
      <c r="L500" s="6" t="str">
        <f>Dataset!L500</f>
        <v>WINTER15</v>
      </c>
      <c r="M500" s="6" t="str">
        <f>TRIM(Dataset!M500)</f>
        <v>Instagram</v>
      </c>
      <c r="N500" s="10">
        <f>VALUE(TRIM(Dataset!N500))</f>
        <v>530.24</v>
      </c>
    </row>
    <row r="501" spans="1:14" x14ac:dyDescent="0.35">
      <c r="A501" s="6" t="str">
        <f>TRIM(Dataset!A501)</f>
        <v>ORD200499</v>
      </c>
      <c r="B501" s="4">
        <f>Dataset!B501</f>
        <v>45022</v>
      </c>
      <c r="C501" s="6" t="str">
        <f>TRIM(Dataset!C501)</f>
        <v>C18138</v>
      </c>
      <c r="D501" s="6" t="str">
        <f>TRIM(Dataset!D501)</f>
        <v>Printer</v>
      </c>
      <c r="E501" s="13">
        <f>VALUE(TRIM(Dataset!E501))</f>
        <v>3</v>
      </c>
      <c r="F501" s="10">
        <f>VALUE(TRIM(Dataset!F501))</f>
        <v>539.46</v>
      </c>
      <c r="G501" s="6" t="str">
        <f>TRIM(Dataset!G501)</f>
        <v>520 Main St</v>
      </c>
      <c r="H501" s="6" t="str">
        <f>TRIM(Dataset!H501)</f>
        <v>Credit Card</v>
      </c>
      <c r="I501" s="6" t="str">
        <f>TRIM(Dataset!I501)</f>
        <v>Shipped</v>
      </c>
      <c r="J501" s="6" t="str">
        <f>TRIM(Dataset!J501)</f>
        <v>TRK20289483</v>
      </c>
      <c r="K501" s="8" t="str">
        <f>TRIM(Dataset!K501)</f>
        <v>4</v>
      </c>
      <c r="L501" s="6" t="str">
        <f>Dataset!L501</f>
        <v>SAVE10</v>
      </c>
      <c r="M501" s="6" t="str">
        <f>TRIM(Dataset!M501)</f>
        <v>Facebook</v>
      </c>
      <c r="N501" s="10">
        <f>VALUE(TRIM(Dataset!N501))</f>
        <v>1618.38</v>
      </c>
    </row>
    <row r="502" spans="1:14" x14ac:dyDescent="0.35">
      <c r="A502" s="6" t="str">
        <f>TRIM(Dataset!A502)</f>
        <v>ORD200500</v>
      </c>
      <c r="B502" s="4">
        <f>Dataset!B502</f>
        <v>45389</v>
      </c>
      <c r="C502" s="6" t="str">
        <f>TRIM(Dataset!C502)</f>
        <v>C79475</v>
      </c>
      <c r="D502" s="6" t="str">
        <f>TRIM(Dataset!D502)</f>
        <v>Laptop</v>
      </c>
      <c r="E502" s="13">
        <f>VALUE(TRIM(Dataset!E502))</f>
        <v>5</v>
      </c>
      <c r="F502" s="10">
        <f>VALUE(TRIM(Dataset!F502))</f>
        <v>508.59</v>
      </c>
      <c r="G502" s="6" t="str">
        <f>TRIM(Dataset!G502)</f>
        <v>169 Main St</v>
      </c>
      <c r="H502" s="6" t="str">
        <f>TRIM(Dataset!H502)</f>
        <v>Cash</v>
      </c>
      <c r="I502" s="6" t="str">
        <f>TRIM(Dataset!I502)</f>
        <v>Returned</v>
      </c>
      <c r="J502" s="6" t="str">
        <f>TRIM(Dataset!J502)</f>
        <v>TRK42168516</v>
      </c>
      <c r="K502" s="8" t="str">
        <f>TRIM(Dataset!K502)</f>
        <v>8</v>
      </c>
      <c r="L502" s="6" t="str">
        <f>Dataset!L502</f>
        <v>WINTER15</v>
      </c>
      <c r="M502" s="6" t="str">
        <f>TRIM(Dataset!M502)</f>
        <v>Facebook</v>
      </c>
      <c r="N502" s="10">
        <f>VALUE(TRIM(Dataset!N502))</f>
        <v>2542.9499999999998</v>
      </c>
    </row>
    <row r="503" spans="1:14" x14ac:dyDescent="0.35">
      <c r="A503" s="6" t="str">
        <f>TRIM(Dataset!A503)</f>
        <v>ORD200501</v>
      </c>
      <c r="B503" s="4">
        <f>Dataset!B503</f>
        <v>45326</v>
      </c>
      <c r="C503" s="6" t="str">
        <f>TRIM(Dataset!C503)</f>
        <v>C88546</v>
      </c>
      <c r="D503" s="6" t="str">
        <f>TRIM(Dataset!D503)</f>
        <v>Desk</v>
      </c>
      <c r="E503" s="13">
        <f>VALUE(TRIM(Dataset!E503))</f>
        <v>4</v>
      </c>
      <c r="F503" s="10">
        <f>VALUE(TRIM(Dataset!F503))</f>
        <v>203.46</v>
      </c>
      <c r="G503" s="6" t="str">
        <f>TRIM(Dataset!G503)</f>
        <v>226 Main St</v>
      </c>
      <c r="H503" s="6" t="str">
        <f>TRIM(Dataset!H503)</f>
        <v>Credit Card</v>
      </c>
      <c r="I503" s="6" t="str">
        <f>TRIM(Dataset!I503)</f>
        <v>Pending</v>
      </c>
      <c r="J503" s="6" t="str">
        <f>TRIM(Dataset!J503)</f>
        <v>TRK19867754</v>
      </c>
      <c r="K503" s="8" t="str">
        <f>TRIM(Dataset!K503)</f>
        <v>7</v>
      </c>
      <c r="L503" s="6" t="str">
        <f>Dataset!L503</f>
        <v>SAVE10</v>
      </c>
      <c r="M503" s="6" t="str">
        <f>TRIM(Dataset!M503)</f>
        <v>Referral</v>
      </c>
      <c r="N503" s="10">
        <f>VALUE(TRIM(Dataset!N503))</f>
        <v>813.84</v>
      </c>
    </row>
    <row r="504" spans="1:14" x14ac:dyDescent="0.35">
      <c r="A504" s="6" t="str">
        <f>TRIM(Dataset!A504)</f>
        <v>ORD200502</v>
      </c>
      <c r="B504" s="4">
        <f>Dataset!B504</f>
        <v>45066</v>
      </c>
      <c r="C504" s="6" t="str">
        <f>TRIM(Dataset!C504)</f>
        <v>C69332</v>
      </c>
      <c r="D504" s="6" t="str">
        <f>TRIM(Dataset!D504)</f>
        <v>Monitor</v>
      </c>
      <c r="E504" s="13">
        <f>VALUE(TRIM(Dataset!E504))</f>
        <v>3</v>
      </c>
      <c r="F504" s="10">
        <f>VALUE(TRIM(Dataset!F504))</f>
        <v>565.25</v>
      </c>
      <c r="G504" s="6" t="str">
        <f>TRIM(Dataset!G504)</f>
        <v>745 Main St</v>
      </c>
      <c r="H504" s="6" t="str">
        <f>TRIM(Dataset!H504)</f>
        <v>Debit Card</v>
      </c>
      <c r="I504" s="6" t="str">
        <f>TRIM(Dataset!I504)</f>
        <v>Returned</v>
      </c>
      <c r="J504" s="6" t="str">
        <f>TRIM(Dataset!J504)</f>
        <v>TRK65718848</v>
      </c>
      <c r="K504" s="8" t="str">
        <f>TRIM(Dataset!K504)</f>
        <v>7</v>
      </c>
      <c r="L504" s="6" t="str">
        <f>Dataset!L504</f>
        <v>SAVE10</v>
      </c>
      <c r="M504" s="6" t="str">
        <f>TRIM(Dataset!M504)</f>
        <v>Email</v>
      </c>
      <c r="N504" s="10">
        <f>VALUE(TRIM(Dataset!N504))</f>
        <v>1695.75</v>
      </c>
    </row>
    <row r="505" spans="1:14" x14ac:dyDescent="0.35">
      <c r="A505" s="6" t="str">
        <f>TRIM(Dataset!A505)</f>
        <v>ORD200503</v>
      </c>
      <c r="B505" s="4">
        <f>Dataset!B505</f>
        <v>45169</v>
      </c>
      <c r="C505" s="6" t="str">
        <f>TRIM(Dataset!C505)</f>
        <v>C64554</v>
      </c>
      <c r="D505" s="6" t="str">
        <f>TRIM(Dataset!D505)</f>
        <v>Tablet</v>
      </c>
      <c r="E505" s="13">
        <f>VALUE(TRIM(Dataset!E505))</f>
        <v>3</v>
      </c>
      <c r="F505" s="10">
        <f>VALUE(TRIM(Dataset!F505))</f>
        <v>136.84</v>
      </c>
      <c r="G505" s="6" t="str">
        <f>TRIM(Dataset!G505)</f>
        <v>498 Main St</v>
      </c>
      <c r="H505" s="6" t="str">
        <f>TRIM(Dataset!H505)</f>
        <v>Online</v>
      </c>
      <c r="I505" s="6" t="str">
        <f>TRIM(Dataset!I505)</f>
        <v>Pending</v>
      </c>
      <c r="J505" s="6" t="str">
        <f>TRIM(Dataset!J505)</f>
        <v>TRK95384568</v>
      </c>
      <c r="K505" s="8" t="str">
        <f>TRIM(Dataset!K505)</f>
        <v>4</v>
      </c>
      <c r="L505" s="6" t="str">
        <f>Dataset!L505</f>
        <v>FREESHIP</v>
      </c>
      <c r="M505" s="6" t="str">
        <f>TRIM(Dataset!M505)</f>
        <v>Facebook</v>
      </c>
      <c r="N505" s="10">
        <f>VALUE(TRIM(Dataset!N505))</f>
        <v>410.52</v>
      </c>
    </row>
    <row r="506" spans="1:14" x14ac:dyDescent="0.35">
      <c r="A506" s="6" t="str">
        <f>TRIM(Dataset!A506)</f>
        <v>ORD200504</v>
      </c>
      <c r="B506" s="4">
        <f>Dataset!B506</f>
        <v>45819</v>
      </c>
      <c r="C506" s="6" t="str">
        <f>TRIM(Dataset!C506)</f>
        <v>C11676</v>
      </c>
      <c r="D506" s="6" t="str">
        <f>TRIM(Dataset!D506)</f>
        <v>Monitor</v>
      </c>
      <c r="E506" s="13">
        <f>VALUE(TRIM(Dataset!E506))</f>
        <v>2</v>
      </c>
      <c r="F506" s="10">
        <f>VALUE(TRIM(Dataset!F506))</f>
        <v>464.5</v>
      </c>
      <c r="G506" s="6" t="str">
        <f>TRIM(Dataset!G506)</f>
        <v>805 Main St</v>
      </c>
      <c r="H506" s="6" t="str">
        <f>TRIM(Dataset!H506)</f>
        <v>Online</v>
      </c>
      <c r="I506" s="6" t="str">
        <f>TRIM(Dataset!I506)</f>
        <v>Cancelled</v>
      </c>
      <c r="J506" s="6" t="str">
        <f>TRIM(Dataset!J506)</f>
        <v>TRK35726395</v>
      </c>
      <c r="K506" s="8" t="str">
        <f>TRIM(Dataset!K506)</f>
        <v>2</v>
      </c>
      <c r="L506" s="6" t="str">
        <f>Dataset!L506</f>
        <v>WINTER15</v>
      </c>
      <c r="M506" s="6" t="str">
        <f>TRIM(Dataset!M506)</f>
        <v>Instagram</v>
      </c>
      <c r="N506" s="10">
        <f>VALUE(TRIM(Dataset!N506))</f>
        <v>929</v>
      </c>
    </row>
    <row r="507" spans="1:14" x14ac:dyDescent="0.35">
      <c r="A507" s="6" t="str">
        <f>TRIM(Dataset!A507)</f>
        <v>ORD200505</v>
      </c>
      <c r="B507" s="4">
        <f>Dataset!B507</f>
        <v>45088</v>
      </c>
      <c r="C507" s="6" t="str">
        <f>TRIM(Dataset!C507)</f>
        <v>C36014</v>
      </c>
      <c r="D507" s="6" t="str">
        <f>TRIM(Dataset!D507)</f>
        <v>Printer</v>
      </c>
      <c r="E507" s="13">
        <f>VALUE(TRIM(Dataset!E507))</f>
        <v>2</v>
      </c>
      <c r="F507" s="10">
        <f>VALUE(TRIM(Dataset!F507))</f>
        <v>434.97</v>
      </c>
      <c r="G507" s="6" t="str">
        <f>TRIM(Dataset!G507)</f>
        <v>558 Main St</v>
      </c>
      <c r="H507" s="6" t="str">
        <f>TRIM(Dataset!H507)</f>
        <v>Online</v>
      </c>
      <c r="I507" s="6" t="str">
        <f>TRIM(Dataset!I507)</f>
        <v>Shipped</v>
      </c>
      <c r="J507" s="6" t="str">
        <f>TRIM(Dataset!J507)</f>
        <v>TRK97246526</v>
      </c>
      <c r="K507" s="8" t="str">
        <f>TRIM(Dataset!K507)</f>
        <v>7</v>
      </c>
      <c r="L507" s="6" t="s">
        <v>4284</v>
      </c>
      <c r="M507" s="6" t="str">
        <f>TRIM(Dataset!M507)</f>
        <v>Email</v>
      </c>
      <c r="N507" s="10">
        <f>VALUE(TRIM(Dataset!N507))</f>
        <v>869.94</v>
      </c>
    </row>
    <row r="508" spans="1:14" x14ac:dyDescent="0.35">
      <c r="A508" s="6" t="str">
        <f>TRIM(Dataset!A508)</f>
        <v>ORD200506</v>
      </c>
      <c r="B508" s="4">
        <f>Dataset!B508</f>
        <v>45132</v>
      </c>
      <c r="C508" s="6" t="str">
        <f>TRIM(Dataset!C508)</f>
        <v>C23279</v>
      </c>
      <c r="D508" s="6" t="str">
        <f>TRIM(Dataset!D508)</f>
        <v>Monitor</v>
      </c>
      <c r="E508" s="13">
        <f>VALUE(TRIM(Dataset!E508))</f>
        <v>2</v>
      </c>
      <c r="F508" s="10">
        <f>VALUE(TRIM(Dataset!F508))</f>
        <v>43.67</v>
      </c>
      <c r="G508" s="6" t="str">
        <f>TRIM(Dataset!G508)</f>
        <v>696 Main St</v>
      </c>
      <c r="H508" s="6" t="str">
        <f>TRIM(Dataset!H508)</f>
        <v>Cash</v>
      </c>
      <c r="I508" s="6" t="str">
        <f>TRIM(Dataset!I508)</f>
        <v>Returned</v>
      </c>
      <c r="J508" s="6" t="str">
        <f>TRIM(Dataset!J508)</f>
        <v>TRK58039693</v>
      </c>
      <c r="K508" s="8" t="str">
        <f>TRIM(Dataset!K508)</f>
        <v>4</v>
      </c>
      <c r="L508" s="6" t="str">
        <f>Dataset!L508</f>
        <v>WINTER15</v>
      </c>
      <c r="M508" s="6" t="str">
        <f>TRIM(Dataset!M508)</f>
        <v>Instagram</v>
      </c>
      <c r="N508" s="10">
        <f>VALUE(TRIM(Dataset!N508))</f>
        <v>87.34</v>
      </c>
    </row>
    <row r="509" spans="1:14" x14ac:dyDescent="0.35">
      <c r="A509" s="6" t="str">
        <f>TRIM(Dataset!A509)</f>
        <v>ORD200507</v>
      </c>
      <c r="B509" s="4">
        <f>Dataset!B509</f>
        <v>45112</v>
      </c>
      <c r="C509" s="6" t="str">
        <f>TRIM(Dataset!C509)</f>
        <v>C86481</v>
      </c>
      <c r="D509" s="6" t="str">
        <f>TRIM(Dataset!D509)</f>
        <v>Phone</v>
      </c>
      <c r="E509" s="13">
        <f>VALUE(TRIM(Dataset!E509))</f>
        <v>1</v>
      </c>
      <c r="F509" s="10">
        <f>VALUE(TRIM(Dataset!F509))</f>
        <v>171.59</v>
      </c>
      <c r="G509" s="6" t="str">
        <f>TRIM(Dataset!G509)</f>
        <v>546 Main St</v>
      </c>
      <c r="H509" s="6" t="str">
        <f>TRIM(Dataset!H509)</f>
        <v>Credit Card</v>
      </c>
      <c r="I509" s="6" t="str">
        <f>TRIM(Dataset!I509)</f>
        <v>Pending</v>
      </c>
      <c r="J509" s="6" t="str">
        <f>TRIM(Dataset!J509)</f>
        <v>TRK87513944</v>
      </c>
      <c r="K509" s="8" t="str">
        <f>TRIM(Dataset!K509)</f>
        <v>5</v>
      </c>
      <c r="L509" s="6" t="str">
        <f>Dataset!L509</f>
        <v>WINTER15</v>
      </c>
      <c r="M509" s="6" t="str">
        <f>TRIM(Dataset!M509)</f>
        <v>Email</v>
      </c>
      <c r="N509" s="10">
        <f>VALUE(TRIM(Dataset!N509))</f>
        <v>171.59</v>
      </c>
    </row>
    <row r="510" spans="1:14" x14ac:dyDescent="0.35">
      <c r="A510" s="6" t="str">
        <f>TRIM(Dataset!A510)</f>
        <v>ORD200508</v>
      </c>
      <c r="B510" s="4">
        <f>Dataset!B510</f>
        <v>45791</v>
      </c>
      <c r="C510" s="6" t="str">
        <f>TRIM(Dataset!C510)</f>
        <v>C39550</v>
      </c>
      <c r="D510" s="6" t="str">
        <f>TRIM(Dataset!D510)</f>
        <v>Phone</v>
      </c>
      <c r="E510" s="13">
        <f>VALUE(TRIM(Dataset!E510))</f>
        <v>1</v>
      </c>
      <c r="F510" s="10">
        <f>VALUE(TRIM(Dataset!F510))</f>
        <v>558.27</v>
      </c>
      <c r="G510" s="6" t="str">
        <f>TRIM(Dataset!G510)</f>
        <v>976 Main St</v>
      </c>
      <c r="H510" s="6" t="str">
        <f>TRIM(Dataset!H510)</f>
        <v>Online</v>
      </c>
      <c r="I510" s="6" t="str">
        <f>TRIM(Dataset!I510)</f>
        <v>Delivered</v>
      </c>
      <c r="J510" s="6" t="str">
        <f>TRIM(Dataset!J510)</f>
        <v>TRK24120267</v>
      </c>
      <c r="K510" s="8" t="str">
        <f>TRIM(Dataset!K510)</f>
        <v>1</v>
      </c>
      <c r="L510" s="6" t="s">
        <v>4284</v>
      </c>
      <c r="M510" s="6" t="str">
        <f>TRIM(Dataset!M510)</f>
        <v>Referral</v>
      </c>
      <c r="N510" s="10">
        <f>VALUE(TRIM(Dataset!N510))</f>
        <v>558.27</v>
      </c>
    </row>
    <row r="511" spans="1:14" x14ac:dyDescent="0.35">
      <c r="A511" s="6" t="str">
        <f>TRIM(Dataset!A511)</f>
        <v>ORD200509</v>
      </c>
      <c r="B511" s="4">
        <f>Dataset!B511</f>
        <v>44972</v>
      </c>
      <c r="C511" s="6" t="str">
        <f>TRIM(Dataset!C511)</f>
        <v>C68937</v>
      </c>
      <c r="D511" s="6" t="str">
        <f>TRIM(Dataset!D511)</f>
        <v>Laptop</v>
      </c>
      <c r="E511" s="13">
        <f>VALUE(TRIM(Dataset!E511))</f>
        <v>2</v>
      </c>
      <c r="F511" s="10">
        <f>VALUE(TRIM(Dataset!F511))</f>
        <v>425.03</v>
      </c>
      <c r="G511" s="6" t="str">
        <f>TRIM(Dataset!G511)</f>
        <v>560 Main St</v>
      </c>
      <c r="H511" s="6" t="str">
        <f>TRIM(Dataset!H511)</f>
        <v>Cash</v>
      </c>
      <c r="I511" s="6" t="str">
        <f>TRIM(Dataset!I511)</f>
        <v>Returned</v>
      </c>
      <c r="J511" s="6" t="str">
        <f>TRIM(Dataset!J511)</f>
        <v>TRK31908657</v>
      </c>
      <c r="K511" s="8" t="str">
        <f>TRIM(Dataset!K511)</f>
        <v>2</v>
      </c>
      <c r="L511" s="6" t="str">
        <f>Dataset!L511</f>
        <v>WINTER15</v>
      </c>
      <c r="M511" s="6" t="str">
        <f>TRIM(Dataset!M511)</f>
        <v>Google</v>
      </c>
      <c r="N511" s="10">
        <f>VALUE(TRIM(Dataset!N511))</f>
        <v>850.06</v>
      </c>
    </row>
    <row r="512" spans="1:14" x14ac:dyDescent="0.35">
      <c r="A512" s="6" t="str">
        <f>TRIM(Dataset!A512)</f>
        <v>ORD200510</v>
      </c>
      <c r="B512" s="4">
        <f>Dataset!B512</f>
        <v>45642</v>
      </c>
      <c r="C512" s="6" t="str">
        <f>TRIM(Dataset!C512)</f>
        <v>C72533</v>
      </c>
      <c r="D512" s="6" t="str">
        <f>TRIM(Dataset!D512)</f>
        <v>Printer</v>
      </c>
      <c r="E512" s="13">
        <f>VALUE(TRIM(Dataset!E512))</f>
        <v>1</v>
      </c>
      <c r="F512" s="10">
        <f>VALUE(TRIM(Dataset!F512))</f>
        <v>376.76</v>
      </c>
      <c r="G512" s="6" t="str">
        <f>TRIM(Dataset!G512)</f>
        <v>389 Main St</v>
      </c>
      <c r="H512" s="6" t="str">
        <f>TRIM(Dataset!H512)</f>
        <v>Debit Card</v>
      </c>
      <c r="I512" s="6" t="str">
        <f>TRIM(Dataset!I512)</f>
        <v>Delivered</v>
      </c>
      <c r="J512" s="6" t="str">
        <f>TRIM(Dataset!J512)</f>
        <v>TRK51288986</v>
      </c>
      <c r="K512" s="8" t="str">
        <f>TRIM(Dataset!K512)</f>
        <v>5</v>
      </c>
      <c r="L512" s="6" t="str">
        <f>Dataset!L512</f>
        <v>SAVE10</v>
      </c>
      <c r="M512" s="6" t="str">
        <f>TRIM(Dataset!M512)</f>
        <v>Email</v>
      </c>
      <c r="N512" s="10">
        <f>VALUE(TRIM(Dataset!N512))</f>
        <v>376.76</v>
      </c>
    </row>
    <row r="513" spans="1:14" x14ac:dyDescent="0.35">
      <c r="A513" s="6" t="str">
        <f>TRIM(Dataset!A513)</f>
        <v>ORD200511</v>
      </c>
      <c r="B513" s="4">
        <f>Dataset!B513</f>
        <v>45366</v>
      </c>
      <c r="C513" s="6" t="str">
        <f>TRIM(Dataset!C513)</f>
        <v>C11415</v>
      </c>
      <c r="D513" s="6" t="str">
        <f>TRIM(Dataset!D513)</f>
        <v>Monitor</v>
      </c>
      <c r="E513" s="13">
        <f>VALUE(TRIM(Dataset!E513))</f>
        <v>5</v>
      </c>
      <c r="F513" s="10">
        <f>VALUE(TRIM(Dataset!F513))</f>
        <v>575.24</v>
      </c>
      <c r="G513" s="6" t="str">
        <f>TRIM(Dataset!G513)</f>
        <v>267 Main St</v>
      </c>
      <c r="H513" s="6" t="str">
        <f>TRIM(Dataset!H513)</f>
        <v>Cash</v>
      </c>
      <c r="I513" s="6" t="str">
        <f>TRIM(Dataset!I513)</f>
        <v>Delivered</v>
      </c>
      <c r="J513" s="6" t="str">
        <f>TRIM(Dataset!J513)</f>
        <v>TRK65061457</v>
      </c>
      <c r="K513" s="8" t="str">
        <f>TRIM(Dataset!K513)</f>
        <v>7</v>
      </c>
      <c r="L513" s="6" t="str">
        <f>Dataset!L513</f>
        <v>WINTER15</v>
      </c>
      <c r="M513" s="6" t="str">
        <f>TRIM(Dataset!M513)</f>
        <v>Email</v>
      </c>
      <c r="N513" s="10">
        <f>VALUE(TRIM(Dataset!N513))</f>
        <v>2876.2</v>
      </c>
    </row>
    <row r="514" spans="1:14" x14ac:dyDescent="0.35">
      <c r="A514" s="6" t="str">
        <f>TRIM(Dataset!A514)</f>
        <v>ORD200512</v>
      </c>
      <c r="B514" s="4">
        <f>Dataset!B514</f>
        <v>45562</v>
      </c>
      <c r="C514" s="6" t="str">
        <f>TRIM(Dataset!C514)</f>
        <v>C14114</v>
      </c>
      <c r="D514" s="6" t="str">
        <f>TRIM(Dataset!D514)</f>
        <v>Desk</v>
      </c>
      <c r="E514" s="13">
        <f>VALUE(TRIM(Dataset!E514))</f>
        <v>3</v>
      </c>
      <c r="F514" s="10">
        <f>VALUE(TRIM(Dataset!F514))</f>
        <v>568.02</v>
      </c>
      <c r="G514" s="6" t="str">
        <f>TRIM(Dataset!G514)</f>
        <v>856 Main St</v>
      </c>
      <c r="H514" s="6" t="str">
        <f>TRIM(Dataset!H514)</f>
        <v>Online</v>
      </c>
      <c r="I514" s="6" t="str">
        <f>TRIM(Dataset!I514)</f>
        <v>Pending</v>
      </c>
      <c r="J514" s="6" t="str">
        <f>TRIM(Dataset!J514)</f>
        <v>TRK63290700</v>
      </c>
      <c r="K514" s="8" t="str">
        <f>TRIM(Dataset!K514)</f>
        <v>3</v>
      </c>
      <c r="L514" s="6" t="str">
        <f>Dataset!L514</f>
        <v>FREESHIP</v>
      </c>
      <c r="M514" s="6" t="str">
        <f>TRIM(Dataset!M514)</f>
        <v>Instagram</v>
      </c>
      <c r="N514" s="10">
        <f>VALUE(TRIM(Dataset!N514))</f>
        <v>1704.06</v>
      </c>
    </row>
    <row r="515" spans="1:14" x14ac:dyDescent="0.35">
      <c r="A515" s="6" t="str">
        <f>TRIM(Dataset!A515)</f>
        <v>ORD200513</v>
      </c>
      <c r="B515" s="4">
        <f>Dataset!B515</f>
        <v>45697</v>
      </c>
      <c r="C515" s="6" t="str">
        <f>TRIM(Dataset!C515)</f>
        <v>C64128</v>
      </c>
      <c r="D515" s="6" t="str">
        <f>TRIM(Dataset!D515)</f>
        <v>Tablet</v>
      </c>
      <c r="E515" s="13">
        <f>VALUE(TRIM(Dataset!E515))</f>
        <v>3</v>
      </c>
      <c r="F515" s="10">
        <f>VALUE(TRIM(Dataset!F515))</f>
        <v>94.88</v>
      </c>
      <c r="G515" s="6" t="str">
        <f>TRIM(Dataset!G515)</f>
        <v>533 Main St</v>
      </c>
      <c r="H515" s="6" t="str">
        <f>TRIM(Dataset!H515)</f>
        <v>Gift Card</v>
      </c>
      <c r="I515" s="6" t="str">
        <f>TRIM(Dataset!I515)</f>
        <v>Shipped</v>
      </c>
      <c r="J515" s="6" t="str">
        <f>TRIM(Dataset!J515)</f>
        <v>TRK37053575</v>
      </c>
      <c r="K515" s="8" t="str">
        <f>TRIM(Dataset!K515)</f>
        <v>8</v>
      </c>
      <c r="L515" s="6" t="s">
        <v>4284</v>
      </c>
      <c r="M515" s="6" t="str">
        <f>TRIM(Dataset!M515)</f>
        <v>Referral</v>
      </c>
      <c r="N515" s="10">
        <f>VALUE(TRIM(Dataset!N515))</f>
        <v>284.64</v>
      </c>
    </row>
    <row r="516" spans="1:14" x14ac:dyDescent="0.35">
      <c r="A516" s="6" t="str">
        <f>TRIM(Dataset!A516)</f>
        <v>ORD200514</v>
      </c>
      <c r="B516" s="4">
        <f>Dataset!B516</f>
        <v>45032</v>
      </c>
      <c r="C516" s="6" t="str">
        <f>TRIM(Dataset!C516)</f>
        <v>C15629</v>
      </c>
      <c r="D516" s="6" t="str">
        <f>TRIM(Dataset!D516)</f>
        <v>Printer</v>
      </c>
      <c r="E516" s="13">
        <f>VALUE(TRIM(Dataset!E516))</f>
        <v>3</v>
      </c>
      <c r="F516" s="10">
        <f>VALUE(TRIM(Dataset!F516))</f>
        <v>304.14999999999998</v>
      </c>
      <c r="G516" s="6" t="str">
        <f>TRIM(Dataset!G516)</f>
        <v>492 Main St</v>
      </c>
      <c r="H516" s="6" t="str">
        <f>TRIM(Dataset!H516)</f>
        <v>Gift Card</v>
      </c>
      <c r="I516" s="6" t="str">
        <f>TRIM(Dataset!I516)</f>
        <v>Shipped</v>
      </c>
      <c r="J516" s="6" t="str">
        <f>TRIM(Dataset!J516)</f>
        <v>TRK64926044</v>
      </c>
      <c r="K516" s="8" t="str">
        <f>TRIM(Dataset!K516)</f>
        <v>3</v>
      </c>
      <c r="L516" s="6" t="str">
        <f>Dataset!L516</f>
        <v>WINTER15</v>
      </c>
      <c r="M516" s="6" t="str">
        <f>TRIM(Dataset!M516)</f>
        <v>Instagram</v>
      </c>
      <c r="N516" s="10">
        <f>VALUE(TRIM(Dataset!N516))</f>
        <v>912.45</v>
      </c>
    </row>
    <row r="517" spans="1:14" x14ac:dyDescent="0.35">
      <c r="A517" s="6" t="str">
        <f>TRIM(Dataset!A517)</f>
        <v>ORD200515</v>
      </c>
      <c r="B517" s="4">
        <f>Dataset!B517</f>
        <v>44999</v>
      </c>
      <c r="C517" s="6" t="str">
        <f>TRIM(Dataset!C517)</f>
        <v>C67561</v>
      </c>
      <c r="D517" s="6" t="str">
        <f>TRIM(Dataset!D517)</f>
        <v>Phone</v>
      </c>
      <c r="E517" s="13">
        <f>VALUE(TRIM(Dataset!E517))</f>
        <v>3</v>
      </c>
      <c r="F517" s="10">
        <f>VALUE(TRIM(Dataset!F517))</f>
        <v>553.52</v>
      </c>
      <c r="G517" s="6" t="str">
        <f>TRIM(Dataset!G517)</f>
        <v>160 Main St</v>
      </c>
      <c r="H517" s="6" t="str">
        <f>TRIM(Dataset!H517)</f>
        <v>Gift Card</v>
      </c>
      <c r="I517" s="6" t="str">
        <f>TRIM(Dataset!I517)</f>
        <v>Shipped</v>
      </c>
      <c r="J517" s="6" t="str">
        <f>TRIM(Dataset!J517)</f>
        <v>TRK75900717</v>
      </c>
      <c r="K517" s="8" t="str">
        <f>TRIM(Dataset!K517)</f>
        <v>4</v>
      </c>
      <c r="L517" s="6" t="str">
        <f>Dataset!L517</f>
        <v>FREESHIP</v>
      </c>
      <c r="M517" s="6" t="str">
        <f>TRIM(Dataset!M517)</f>
        <v>Facebook</v>
      </c>
      <c r="N517" s="10">
        <f>VALUE(TRIM(Dataset!N517))</f>
        <v>1660.56</v>
      </c>
    </row>
    <row r="518" spans="1:14" x14ac:dyDescent="0.35">
      <c r="A518" s="6" t="str">
        <f>TRIM(Dataset!A518)</f>
        <v>ORD200516</v>
      </c>
      <c r="B518" s="4">
        <f>Dataset!B518</f>
        <v>45389</v>
      </c>
      <c r="C518" s="6" t="str">
        <f>TRIM(Dataset!C518)</f>
        <v>C47022</v>
      </c>
      <c r="D518" s="6" t="str">
        <f>TRIM(Dataset!D518)</f>
        <v>Monitor</v>
      </c>
      <c r="E518" s="13">
        <f>VALUE(TRIM(Dataset!E518))</f>
        <v>3</v>
      </c>
      <c r="F518" s="10">
        <f>VALUE(TRIM(Dataset!F518))</f>
        <v>166.99</v>
      </c>
      <c r="G518" s="6" t="str">
        <f>TRIM(Dataset!G518)</f>
        <v>208 Main St</v>
      </c>
      <c r="H518" s="6" t="str">
        <f>TRIM(Dataset!H518)</f>
        <v>Cash</v>
      </c>
      <c r="I518" s="6" t="str">
        <f>TRIM(Dataset!I518)</f>
        <v>Returned</v>
      </c>
      <c r="J518" s="6" t="str">
        <f>TRIM(Dataset!J518)</f>
        <v>TRK28855040</v>
      </c>
      <c r="K518" s="8" t="str">
        <f>TRIM(Dataset!K518)</f>
        <v>8</v>
      </c>
      <c r="L518" s="6" t="s">
        <v>4284</v>
      </c>
      <c r="M518" s="6" t="str">
        <f>TRIM(Dataset!M518)</f>
        <v>Facebook</v>
      </c>
      <c r="N518" s="10">
        <f>VALUE(TRIM(Dataset!N518))</f>
        <v>500.97</v>
      </c>
    </row>
    <row r="519" spans="1:14" x14ac:dyDescent="0.35">
      <c r="A519" s="6" t="str">
        <f>TRIM(Dataset!A519)</f>
        <v>ORD200517</v>
      </c>
      <c r="B519" s="4">
        <f>Dataset!B519</f>
        <v>45391</v>
      </c>
      <c r="C519" s="6" t="str">
        <f>TRIM(Dataset!C519)</f>
        <v>C55205</v>
      </c>
      <c r="D519" s="6" t="str">
        <f>TRIM(Dataset!D519)</f>
        <v>Tablet</v>
      </c>
      <c r="E519" s="13">
        <f>VALUE(TRIM(Dataset!E519))</f>
        <v>4</v>
      </c>
      <c r="F519" s="10">
        <f>VALUE(TRIM(Dataset!F519))</f>
        <v>198.35</v>
      </c>
      <c r="G519" s="6" t="str">
        <f>TRIM(Dataset!G519)</f>
        <v>943 Main St</v>
      </c>
      <c r="H519" s="6" t="str">
        <f>TRIM(Dataset!H519)</f>
        <v>Cash</v>
      </c>
      <c r="I519" s="6" t="str">
        <f>TRIM(Dataset!I519)</f>
        <v>Cancelled</v>
      </c>
      <c r="J519" s="6" t="str">
        <f>TRIM(Dataset!J519)</f>
        <v>TRK88141634</v>
      </c>
      <c r="K519" s="8" t="str">
        <f>TRIM(Dataset!K519)</f>
        <v>7</v>
      </c>
      <c r="L519" s="6" t="str">
        <f>Dataset!L519</f>
        <v>FREESHIP</v>
      </c>
      <c r="M519" s="6" t="str">
        <f>TRIM(Dataset!M519)</f>
        <v>Google</v>
      </c>
      <c r="N519" s="10">
        <f>VALUE(TRIM(Dataset!N519))</f>
        <v>793.4</v>
      </c>
    </row>
    <row r="520" spans="1:14" x14ac:dyDescent="0.35">
      <c r="A520" s="6" t="str">
        <f>TRIM(Dataset!A520)</f>
        <v>ORD200518</v>
      </c>
      <c r="B520" s="4">
        <f>Dataset!B520</f>
        <v>45821</v>
      </c>
      <c r="C520" s="6" t="str">
        <f>TRIM(Dataset!C520)</f>
        <v>C30686</v>
      </c>
      <c r="D520" s="6" t="str">
        <f>TRIM(Dataset!D520)</f>
        <v>Printer</v>
      </c>
      <c r="E520" s="13">
        <f>VALUE(TRIM(Dataset!E520))</f>
        <v>4</v>
      </c>
      <c r="F520" s="10">
        <f>VALUE(TRIM(Dataset!F520))</f>
        <v>403.58</v>
      </c>
      <c r="G520" s="6" t="str">
        <f>TRIM(Dataset!G520)</f>
        <v>319 Main St</v>
      </c>
      <c r="H520" s="6" t="str">
        <f>TRIM(Dataset!H520)</f>
        <v>Online</v>
      </c>
      <c r="I520" s="6" t="str">
        <f>TRIM(Dataset!I520)</f>
        <v>Pending</v>
      </c>
      <c r="J520" s="6" t="str">
        <f>TRIM(Dataset!J520)</f>
        <v>TRK59807273</v>
      </c>
      <c r="K520" s="8" t="str">
        <f>TRIM(Dataset!K520)</f>
        <v>9</v>
      </c>
      <c r="L520" s="6" t="str">
        <f>Dataset!L520</f>
        <v>SAVE10</v>
      </c>
      <c r="M520" s="6" t="str">
        <f>TRIM(Dataset!M520)</f>
        <v>Referral</v>
      </c>
      <c r="N520" s="10">
        <f>VALUE(TRIM(Dataset!N520))</f>
        <v>1614.32</v>
      </c>
    </row>
    <row r="521" spans="1:14" x14ac:dyDescent="0.35">
      <c r="A521" s="6" t="str">
        <f>TRIM(Dataset!A521)</f>
        <v>ORD200519</v>
      </c>
      <c r="B521" s="4">
        <f>Dataset!B521</f>
        <v>45787</v>
      </c>
      <c r="C521" s="6" t="str">
        <f>TRIM(Dataset!C521)</f>
        <v>C71797</v>
      </c>
      <c r="D521" s="6" t="str">
        <f>TRIM(Dataset!D521)</f>
        <v>Laptop</v>
      </c>
      <c r="E521" s="13">
        <f>VALUE(TRIM(Dataset!E521))</f>
        <v>4</v>
      </c>
      <c r="F521" s="10">
        <f>VALUE(TRIM(Dataset!F521))</f>
        <v>464.29</v>
      </c>
      <c r="G521" s="6" t="str">
        <f>TRIM(Dataset!G521)</f>
        <v>941 Main St</v>
      </c>
      <c r="H521" s="6" t="str">
        <f>TRIM(Dataset!H521)</f>
        <v>Debit Card</v>
      </c>
      <c r="I521" s="6" t="str">
        <f>TRIM(Dataset!I521)</f>
        <v>Returned</v>
      </c>
      <c r="J521" s="6" t="str">
        <f>TRIM(Dataset!J521)</f>
        <v>TRK66010667</v>
      </c>
      <c r="K521" s="8" t="str">
        <f>TRIM(Dataset!K521)</f>
        <v>5</v>
      </c>
      <c r="L521" s="6" t="str">
        <f>Dataset!L521</f>
        <v>SAVE10</v>
      </c>
      <c r="M521" s="6" t="str">
        <f>TRIM(Dataset!M521)</f>
        <v>Email</v>
      </c>
      <c r="N521" s="10">
        <f>VALUE(TRIM(Dataset!N521))</f>
        <v>1857.16</v>
      </c>
    </row>
    <row r="522" spans="1:14" x14ac:dyDescent="0.35">
      <c r="A522" s="6" t="str">
        <f>TRIM(Dataset!A522)</f>
        <v>ORD200520</v>
      </c>
      <c r="B522" s="4">
        <f>Dataset!B522</f>
        <v>44995</v>
      </c>
      <c r="C522" s="6" t="str">
        <f>TRIM(Dataset!C522)</f>
        <v>C66332</v>
      </c>
      <c r="D522" s="6" t="str">
        <f>TRIM(Dataset!D522)</f>
        <v>Monitor</v>
      </c>
      <c r="E522" s="13">
        <f>VALUE(TRIM(Dataset!E522))</f>
        <v>3</v>
      </c>
      <c r="F522" s="10">
        <f>VALUE(TRIM(Dataset!F522))</f>
        <v>635.98</v>
      </c>
      <c r="G522" s="6" t="str">
        <f>TRIM(Dataset!G522)</f>
        <v>959 Main St</v>
      </c>
      <c r="H522" s="6" t="str">
        <f>TRIM(Dataset!H522)</f>
        <v>Cash</v>
      </c>
      <c r="I522" s="6" t="str">
        <f>TRIM(Dataset!I522)</f>
        <v>Returned</v>
      </c>
      <c r="J522" s="6" t="str">
        <f>TRIM(Dataset!J522)</f>
        <v>TRK27063398</v>
      </c>
      <c r="K522" s="8" t="str">
        <f>TRIM(Dataset!K522)</f>
        <v>5</v>
      </c>
      <c r="L522" s="6" t="s">
        <v>4284</v>
      </c>
      <c r="M522" s="6" t="str">
        <f>TRIM(Dataset!M522)</f>
        <v>Referral</v>
      </c>
      <c r="N522" s="10">
        <f>VALUE(TRIM(Dataset!N522))</f>
        <v>1907.94</v>
      </c>
    </row>
    <row r="523" spans="1:14" x14ac:dyDescent="0.35">
      <c r="A523" s="6" t="str">
        <f>TRIM(Dataset!A523)</f>
        <v>ORD200521</v>
      </c>
      <c r="B523" s="4">
        <f>Dataset!B523</f>
        <v>45347</v>
      </c>
      <c r="C523" s="6" t="str">
        <f>TRIM(Dataset!C523)</f>
        <v>C82318</v>
      </c>
      <c r="D523" s="6" t="str">
        <f>TRIM(Dataset!D523)</f>
        <v>Phone</v>
      </c>
      <c r="E523" s="13">
        <f>VALUE(TRIM(Dataset!E523))</f>
        <v>1</v>
      </c>
      <c r="F523" s="10">
        <f>VALUE(TRIM(Dataset!F523))</f>
        <v>528.05999999999995</v>
      </c>
      <c r="G523" s="6" t="str">
        <f>TRIM(Dataset!G523)</f>
        <v>991 Main St</v>
      </c>
      <c r="H523" s="6" t="str">
        <f>TRIM(Dataset!H523)</f>
        <v>Credit Card</v>
      </c>
      <c r="I523" s="6" t="str">
        <f>TRIM(Dataset!I523)</f>
        <v>Shipped</v>
      </c>
      <c r="J523" s="6" t="str">
        <f>TRIM(Dataset!J523)</f>
        <v>TRK37534165</v>
      </c>
      <c r="K523" s="8" t="str">
        <f>TRIM(Dataset!K523)</f>
        <v>2</v>
      </c>
      <c r="L523" s="6" t="s">
        <v>4284</v>
      </c>
      <c r="M523" s="6" t="str">
        <f>TRIM(Dataset!M523)</f>
        <v>Facebook</v>
      </c>
      <c r="N523" s="10">
        <f>VALUE(TRIM(Dataset!N523))</f>
        <v>528.05999999999995</v>
      </c>
    </row>
    <row r="524" spans="1:14" x14ac:dyDescent="0.35">
      <c r="A524" s="6" t="str">
        <f>TRIM(Dataset!A524)</f>
        <v>ORD200522</v>
      </c>
      <c r="B524" s="4">
        <f>Dataset!B524</f>
        <v>45402</v>
      </c>
      <c r="C524" s="6" t="str">
        <f>TRIM(Dataset!C524)</f>
        <v>C66254</v>
      </c>
      <c r="D524" s="6" t="str">
        <f>TRIM(Dataset!D524)</f>
        <v>Chair</v>
      </c>
      <c r="E524" s="13">
        <f>VALUE(TRIM(Dataset!E524))</f>
        <v>1</v>
      </c>
      <c r="F524" s="10">
        <f>VALUE(TRIM(Dataset!F524))</f>
        <v>515.32000000000005</v>
      </c>
      <c r="G524" s="6" t="str">
        <f>TRIM(Dataset!G524)</f>
        <v>740 Main St</v>
      </c>
      <c r="H524" s="6" t="str">
        <f>TRIM(Dataset!H524)</f>
        <v>Gift Card</v>
      </c>
      <c r="I524" s="6" t="str">
        <f>TRIM(Dataset!I524)</f>
        <v>Cancelled</v>
      </c>
      <c r="J524" s="6" t="str">
        <f>TRIM(Dataset!J524)</f>
        <v>TRK82843861</v>
      </c>
      <c r="K524" s="8" t="str">
        <f>TRIM(Dataset!K524)</f>
        <v>1</v>
      </c>
      <c r="L524" s="6" t="str">
        <f>Dataset!L524</f>
        <v>FREESHIP</v>
      </c>
      <c r="M524" s="6" t="str">
        <f>TRIM(Dataset!M524)</f>
        <v>Email</v>
      </c>
      <c r="N524" s="10">
        <f>VALUE(TRIM(Dataset!N524))</f>
        <v>515.32000000000005</v>
      </c>
    </row>
    <row r="525" spans="1:14" x14ac:dyDescent="0.35">
      <c r="A525" s="6" t="str">
        <f>TRIM(Dataset!A525)</f>
        <v>ORD200523</v>
      </c>
      <c r="B525" s="4">
        <f>Dataset!B525</f>
        <v>45706</v>
      </c>
      <c r="C525" s="6" t="str">
        <f>TRIM(Dataset!C525)</f>
        <v>C65083</v>
      </c>
      <c r="D525" s="6" t="str">
        <f>TRIM(Dataset!D525)</f>
        <v>Desk</v>
      </c>
      <c r="E525" s="13">
        <f>VALUE(TRIM(Dataset!E525))</f>
        <v>4</v>
      </c>
      <c r="F525" s="10">
        <f>VALUE(TRIM(Dataset!F525))</f>
        <v>657.79</v>
      </c>
      <c r="G525" s="6" t="str">
        <f>TRIM(Dataset!G525)</f>
        <v>652 Main St</v>
      </c>
      <c r="H525" s="6" t="str">
        <f>TRIM(Dataset!H525)</f>
        <v>Credit Card</v>
      </c>
      <c r="I525" s="6" t="str">
        <f>TRIM(Dataset!I525)</f>
        <v>Returned</v>
      </c>
      <c r="J525" s="6" t="str">
        <f>TRIM(Dataset!J525)</f>
        <v>TRK60937148</v>
      </c>
      <c r="K525" s="8" t="str">
        <f>TRIM(Dataset!K525)</f>
        <v>6</v>
      </c>
      <c r="L525" s="6" t="str">
        <f>Dataset!L525</f>
        <v>WINTER15</v>
      </c>
      <c r="M525" s="6" t="str">
        <f>TRIM(Dataset!M525)</f>
        <v>Google</v>
      </c>
      <c r="N525" s="10">
        <f>VALUE(TRIM(Dataset!N525))</f>
        <v>2631.16</v>
      </c>
    </row>
    <row r="526" spans="1:14" x14ac:dyDescent="0.35">
      <c r="A526" s="6" t="str">
        <f>TRIM(Dataset!A526)</f>
        <v>ORD200524</v>
      </c>
      <c r="B526" s="4">
        <f>Dataset!B526</f>
        <v>45224</v>
      </c>
      <c r="C526" s="6" t="str">
        <f>TRIM(Dataset!C526)</f>
        <v>C44778</v>
      </c>
      <c r="D526" s="6" t="str">
        <f>TRIM(Dataset!D526)</f>
        <v>Phone</v>
      </c>
      <c r="E526" s="13">
        <f>VALUE(TRIM(Dataset!E526))</f>
        <v>1</v>
      </c>
      <c r="F526" s="10">
        <f>VALUE(TRIM(Dataset!F526))</f>
        <v>153</v>
      </c>
      <c r="G526" s="6" t="str">
        <f>TRIM(Dataset!G526)</f>
        <v>103 Main St</v>
      </c>
      <c r="H526" s="6" t="str">
        <f>TRIM(Dataset!H526)</f>
        <v>Credit Card</v>
      </c>
      <c r="I526" s="6" t="str">
        <f>TRIM(Dataset!I526)</f>
        <v>Returned</v>
      </c>
      <c r="J526" s="6" t="str">
        <f>TRIM(Dataset!J526)</f>
        <v>TRK92617366</v>
      </c>
      <c r="K526" s="8" t="str">
        <f>TRIM(Dataset!K526)</f>
        <v>4</v>
      </c>
      <c r="L526" s="6" t="s">
        <v>4284</v>
      </c>
      <c r="M526" s="6" t="str">
        <f>TRIM(Dataset!M526)</f>
        <v>Referral</v>
      </c>
      <c r="N526" s="10">
        <f>VALUE(TRIM(Dataset!N526))</f>
        <v>153</v>
      </c>
    </row>
    <row r="527" spans="1:14" x14ac:dyDescent="0.35">
      <c r="A527" s="6" t="str">
        <f>TRIM(Dataset!A527)</f>
        <v>ORD200525</v>
      </c>
      <c r="B527" s="4">
        <f>Dataset!B527</f>
        <v>45263</v>
      </c>
      <c r="C527" s="6" t="str">
        <f>TRIM(Dataset!C527)</f>
        <v>C54499</v>
      </c>
      <c r="D527" s="6" t="str">
        <f>TRIM(Dataset!D527)</f>
        <v>Monitor</v>
      </c>
      <c r="E527" s="13">
        <f>VALUE(TRIM(Dataset!E527))</f>
        <v>1</v>
      </c>
      <c r="F527" s="10">
        <f>VALUE(TRIM(Dataset!F527))</f>
        <v>668.48</v>
      </c>
      <c r="G527" s="6" t="str">
        <f>TRIM(Dataset!G527)</f>
        <v>160 Main St</v>
      </c>
      <c r="H527" s="6" t="str">
        <f>TRIM(Dataset!H527)</f>
        <v>Debit Card</v>
      </c>
      <c r="I527" s="6" t="str">
        <f>TRIM(Dataset!I527)</f>
        <v>Shipped</v>
      </c>
      <c r="J527" s="6" t="str">
        <f>TRIM(Dataset!J527)</f>
        <v>TRK18061555</v>
      </c>
      <c r="K527" s="8" t="str">
        <f>TRIM(Dataset!K527)</f>
        <v>1</v>
      </c>
      <c r="L527" s="6" t="str">
        <f>Dataset!L527</f>
        <v>SAVE10</v>
      </c>
      <c r="M527" s="6" t="str">
        <f>TRIM(Dataset!M527)</f>
        <v>Email</v>
      </c>
      <c r="N527" s="10">
        <f>VALUE(TRIM(Dataset!N527))</f>
        <v>668.48</v>
      </c>
    </row>
    <row r="528" spans="1:14" x14ac:dyDescent="0.35">
      <c r="A528" s="6" t="str">
        <f>TRIM(Dataset!A528)</f>
        <v>ORD200526</v>
      </c>
      <c r="B528" s="4">
        <f>Dataset!B528</f>
        <v>45351</v>
      </c>
      <c r="C528" s="6" t="str">
        <f>TRIM(Dataset!C528)</f>
        <v>C91201</v>
      </c>
      <c r="D528" s="6" t="str">
        <f>TRIM(Dataset!D528)</f>
        <v>Desk</v>
      </c>
      <c r="E528" s="13">
        <f>VALUE(TRIM(Dataset!E528))</f>
        <v>2</v>
      </c>
      <c r="F528" s="10">
        <f>VALUE(TRIM(Dataset!F528))</f>
        <v>46.5</v>
      </c>
      <c r="G528" s="6" t="str">
        <f>TRIM(Dataset!G528)</f>
        <v>837 Main St</v>
      </c>
      <c r="H528" s="6" t="str">
        <f>TRIM(Dataset!H528)</f>
        <v>Cash</v>
      </c>
      <c r="I528" s="6" t="str">
        <f>TRIM(Dataset!I528)</f>
        <v>Returned</v>
      </c>
      <c r="J528" s="6" t="str">
        <f>TRIM(Dataset!J528)</f>
        <v>TRK63526023</v>
      </c>
      <c r="K528" s="8" t="str">
        <f>TRIM(Dataset!K528)</f>
        <v>7</v>
      </c>
      <c r="L528" s="6" t="str">
        <f>Dataset!L528</f>
        <v>WINTER15</v>
      </c>
      <c r="M528" s="6" t="str">
        <f>TRIM(Dataset!M528)</f>
        <v>Google</v>
      </c>
      <c r="N528" s="10">
        <f>VALUE(TRIM(Dataset!N528))</f>
        <v>93</v>
      </c>
    </row>
    <row r="529" spans="1:14" x14ac:dyDescent="0.35">
      <c r="A529" s="6" t="str">
        <f>TRIM(Dataset!A529)</f>
        <v>ORD200527</v>
      </c>
      <c r="B529" s="4">
        <f>Dataset!B529</f>
        <v>45523</v>
      </c>
      <c r="C529" s="6" t="str">
        <f>TRIM(Dataset!C529)</f>
        <v>C27202</v>
      </c>
      <c r="D529" s="6" t="str">
        <f>TRIM(Dataset!D529)</f>
        <v>Chair</v>
      </c>
      <c r="E529" s="13">
        <f>VALUE(TRIM(Dataset!E529))</f>
        <v>5</v>
      </c>
      <c r="F529" s="10">
        <f>VALUE(TRIM(Dataset!F529))</f>
        <v>653.47</v>
      </c>
      <c r="G529" s="6" t="str">
        <f>TRIM(Dataset!G529)</f>
        <v>967 Main St</v>
      </c>
      <c r="H529" s="6" t="str">
        <f>TRIM(Dataset!H529)</f>
        <v>Credit Card</v>
      </c>
      <c r="I529" s="6" t="str">
        <f>TRIM(Dataset!I529)</f>
        <v>Cancelled</v>
      </c>
      <c r="J529" s="6" t="str">
        <f>TRIM(Dataset!J529)</f>
        <v>TRK75406128</v>
      </c>
      <c r="K529" s="8" t="str">
        <f>TRIM(Dataset!K529)</f>
        <v>10</v>
      </c>
      <c r="L529" s="6" t="str">
        <f>Dataset!L529</f>
        <v>SAVE10</v>
      </c>
      <c r="M529" s="6" t="str">
        <f>TRIM(Dataset!M529)</f>
        <v>Referral</v>
      </c>
      <c r="N529" s="10">
        <f>VALUE(TRIM(Dataset!N529))</f>
        <v>3267.35</v>
      </c>
    </row>
    <row r="530" spans="1:14" x14ac:dyDescent="0.35">
      <c r="A530" s="6" t="str">
        <f>TRIM(Dataset!A530)</f>
        <v>ORD200528</v>
      </c>
      <c r="B530" s="4">
        <f>Dataset!B530</f>
        <v>45714</v>
      </c>
      <c r="C530" s="6" t="str">
        <f>TRIM(Dataset!C530)</f>
        <v>C32011</v>
      </c>
      <c r="D530" s="6" t="str">
        <f>TRIM(Dataset!D530)</f>
        <v>Chair</v>
      </c>
      <c r="E530" s="13">
        <f>VALUE(TRIM(Dataset!E530))</f>
        <v>1</v>
      </c>
      <c r="F530" s="10">
        <f>VALUE(TRIM(Dataset!F530))</f>
        <v>628.89</v>
      </c>
      <c r="G530" s="6" t="str">
        <f>TRIM(Dataset!G530)</f>
        <v>686 Main St</v>
      </c>
      <c r="H530" s="6" t="str">
        <f>TRIM(Dataset!H530)</f>
        <v>Credit Card</v>
      </c>
      <c r="I530" s="6" t="str">
        <f>TRIM(Dataset!I530)</f>
        <v>Returned</v>
      </c>
      <c r="J530" s="6" t="str">
        <f>TRIM(Dataset!J530)</f>
        <v>TRK70997744</v>
      </c>
      <c r="K530" s="8" t="str">
        <f>TRIM(Dataset!K530)</f>
        <v>2</v>
      </c>
      <c r="L530" s="6" t="str">
        <f>Dataset!L530</f>
        <v>SAVE10</v>
      </c>
      <c r="M530" s="6" t="str">
        <f>TRIM(Dataset!M530)</f>
        <v>Referral</v>
      </c>
      <c r="N530" s="10">
        <f>VALUE(TRIM(Dataset!N530))</f>
        <v>628.89</v>
      </c>
    </row>
    <row r="531" spans="1:14" x14ac:dyDescent="0.35">
      <c r="A531" s="6" t="str">
        <f>TRIM(Dataset!A531)</f>
        <v>ORD200529</v>
      </c>
      <c r="B531" s="4">
        <f>Dataset!B531</f>
        <v>45389</v>
      </c>
      <c r="C531" s="6" t="str">
        <f>TRIM(Dataset!C531)</f>
        <v>C21181</v>
      </c>
      <c r="D531" s="6" t="str">
        <f>TRIM(Dataset!D531)</f>
        <v>Tablet</v>
      </c>
      <c r="E531" s="13">
        <f>VALUE(TRIM(Dataset!E531))</f>
        <v>2</v>
      </c>
      <c r="F531" s="10">
        <f>VALUE(TRIM(Dataset!F531))</f>
        <v>675.1</v>
      </c>
      <c r="G531" s="6" t="str">
        <f>TRIM(Dataset!G531)</f>
        <v>938 Main St</v>
      </c>
      <c r="H531" s="6" t="str">
        <f>TRIM(Dataset!H531)</f>
        <v>Cash</v>
      </c>
      <c r="I531" s="6" t="str">
        <f>TRIM(Dataset!I531)</f>
        <v>Pending</v>
      </c>
      <c r="J531" s="6" t="str">
        <f>TRIM(Dataset!J531)</f>
        <v>TRK50363421</v>
      </c>
      <c r="K531" s="8" t="str">
        <f>TRIM(Dataset!K531)</f>
        <v>4</v>
      </c>
      <c r="L531" s="6" t="str">
        <f>Dataset!L531</f>
        <v>FREESHIP</v>
      </c>
      <c r="M531" s="6" t="str">
        <f>TRIM(Dataset!M531)</f>
        <v>Google</v>
      </c>
      <c r="N531" s="10">
        <f>VALUE(TRIM(Dataset!N531))</f>
        <v>1350.2</v>
      </c>
    </row>
    <row r="532" spans="1:14" x14ac:dyDescent="0.35">
      <c r="A532" s="6" t="str">
        <f>TRIM(Dataset!A532)</f>
        <v>ORD200530</v>
      </c>
      <c r="B532" s="4">
        <f>Dataset!B532</f>
        <v>45491</v>
      </c>
      <c r="C532" s="6" t="str">
        <f>TRIM(Dataset!C532)</f>
        <v>C98450</v>
      </c>
      <c r="D532" s="6" t="str">
        <f>TRIM(Dataset!D532)</f>
        <v>Chair</v>
      </c>
      <c r="E532" s="13">
        <f>VALUE(TRIM(Dataset!E532))</f>
        <v>4</v>
      </c>
      <c r="F532" s="10">
        <f>VALUE(TRIM(Dataset!F532))</f>
        <v>89.41</v>
      </c>
      <c r="G532" s="6" t="str">
        <f>TRIM(Dataset!G532)</f>
        <v>613 Main St</v>
      </c>
      <c r="H532" s="6" t="str">
        <f>TRIM(Dataset!H532)</f>
        <v>Online</v>
      </c>
      <c r="I532" s="6" t="str">
        <f>TRIM(Dataset!I532)</f>
        <v>Pending</v>
      </c>
      <c r="J532" s="6" t="str">
        <f>TRIM(Dataset!J532)</f>
        <v>TRK14809530</v>
      </c>
      <c r="K532" s="8" t="str">
        <f>TRIM(Dataset!K532)</f>
        <v>9</v>
      </c>
      <c r="L532" s="6" t="s">
        <v>4284</v>
      </c>
      <c r="M532" s="6" t="str">
        <f>TRIM(Dataset!M532)</f>
        <v>Google</v>
      </c>
      <c r="N532" s="10">
        <f>VALUE(TRIM(Dataset!N532))</f>
        <v>357.64</v>
      </c>
    </row>
    <row r="533" spans="1:14" x14ac:dyDescent="0.35">
      <c r="A533" s="6" t="str">
        <f>TRIM(Dataset!A533)</f>
        <v>ORD200531</v>
      </c>
      <c r="B533" s="4">
        <f>Dataset!B533</f>
        <v>45475</v>
      </c>
      <c r="C533" s="6" t="str">
        <f>TRIM(Dataset!C533)</f>
        <v>C64502</v>
      </c>
      <c r="D533" s="6" t="str">
        <f>TRIM(Dataset!D533)</f>
        <v>Desk</v>
      </c>
      <c r="E533" s="13">
        <f>VALUE(TRIM(Dataset!E533))</f>
        <v>5</v>
      </c>
      <c r="F533" s="10">
        <f>VALUE(TRIM(Dataset!F533))</f>
        <v>320.01</v>
      </c>
      <c r="G533" s="6" t="str">
        <f>TRIM(Dataset!G533)</f>
        <v>722 Main St</v>
      </c>
      <c r="H533" s="6" t="str">
        <f>TRIM(Dataset!H533)</f>
        <v>Gift Card</v>
      </c>
      <c r="I533" s="6" t="str">
        <f>TRIM(Dataset!I533)</f>
        <v>Delivered</v>
      </c>
      <c r="J533" s="6" t="str">
        <f>TRIM(Dataset!J533)</f>
        <v>TRK14914388</v>
      </c>
      <c r="K533" s="8" t="str">
        <f>TRIM(Dataset!K533)</f>
        <v>6</v>
      </c>
      <c r="L533" s="6" t="s">
        <v>4284</v>
      </c>
      <c r="M533" s="6" t="str">
        <f>TRIM(Dataset!M533)</f>
        <v>Referral</v>
      </c>
      <c r="N533" s="10">
        <f>VALUE(TRIM(Dataset!N533))</f>
        <v>1600.05</v>
      </c>
    </row>
    <row r="534" spans="1:14" x14ac:dyDescent="0.35">
      <c r="A534" s="6" t="str">
        <f>TRIM(Dataset!A534)</f>
        <v>ORD200532</v>
      </c>
      <c r="B534" s="4">
        <f>Dataset!B534</f>
        <v>45780</v>
      </c>
      <c r="C534" s="6" t="str">
        <f>TRIM(Dataset!C534)</f>
        <v>C47365</v>
      </c>
      <c r="D534" s="6" t="str">
        <f>TRIM(Dataset!D534)</f>
        <v>Laptop</v>
      </c>
      <c r="E534" s="13">
        <f>VALUE(TRIM(Dataset!E534))</f>
        <v>2</v>
      </c>
      <c r="F534" s="10">
        <f>VALUE(TRIM(Dataset!F534))</f>
        <v>41</v>
      </c>
      <c r="G534" s="6" t="str">
        <f>TRIM(Dataset!G534)</f>
        <v>369 Main St</v>
      </c>
      <c r="H534" s="6" t="str">
        <f>TRIM(Dataset!H534)</f>
        <v>Online</v>
      </c>
      <c r="I534" s="6" t="str">
        <f>TRIM(Dataset!I534)</f>
        <v>Delivered</v>
      </c>
      <c r="J534" s="6" t="str">
        <f>TRIM(Dataset!J534)</f>
        <v>TRK42207882</v>
      </c>
      <c r="K534" s="8" t="str">
        <f>TRIM(Dataset!K534)</f>
        <v>7</v>
      </c>
      <c r="L534" s="6" t="s">
        <v>4284</v>
      </c>
      <c r="M534" s="6" t="str">
        <f>TRIM(Dataset!M534)</f>
        <v>Email</v>
      </c>
      <c r="N534" s="10">
        <f>VALUE(TRIM(Dataset!N534))</f>
        <v>82</v>
      </c>
    </row>
    <row r="535" spans="1:14" x14ac:dyDescent="0.35">
      <c r="A535" s="6" t="str">
        <f>TRIM(Dataset!A535)</f>
        <v>ORD200533</v>
      </c>
      <c r="B535" s="4">
        <f>Dataset!B535</f>
        <v>44990</v>
      </c>
      <c r="C535" s="6" t="str">
        <f>TRIM(Dataset!C535)</f>
        <v>C66349</v>
      </c>
      <c r="D535" s="6" t="str">
        <f>TRIM(Dataset!D535)</f>
        <v>Desk</v>
      </c>
      <c r="E535" s="13">
        <f>VALUE(TRIM(Dataset!E535))</f>
        <v>1</v>
      </c>
      <c r="F535" s="10">
        <f>VALUE(TRIM(Dataset!F535))</f>
        <v>565.85</v>
      </c>
      <c r="G535" s="6" t="str">
        <f>TRIM(Dataset!G535)</f>
        <v>715 Main St</v>
      </c>
      <c r="H535" s="6" t="str">
        <f>TRIM(Dataset!H535)</f>
        <v>Gift Card</v>
      </c>
      <c r="I535" s="6" t="str">
        <f>TRIM(Dataset!I535)</f>
        <v>Returned</v>
      </c>
      <c r="J535" s="6" t="str">
        <f>TRIM(Dataset!J535)</f>
        <v>TRK63550793</v>
      </c>
      <c r="K535" s="8" t="str">
        <f>TRIM(Dataset!K535)</f>
        <v>1</v>
      </c>
      <c r="L535" s="6" t="str">
        <f>Dataset!L535</f>
        <v>FREESHIP</v>
      </c>
      <c r="M535" s="6" t="str">
        <f>TRIM(Dataset!M535)</f>
        <v>Facebook</v>
      </c>
      <c r="N535" s="10">
        <f>VALUE(TRIM(Dataset!N535))</f>
        <v>565.85</v>
      </c>
    </row>
    <row r="536" spans="1:14" x14ac:dyDescent="0.35">
      <c r="A536" s="6" t="str">
        <f>TRIM(Dataset!A536)</f>
        <v>ORD200534</v>
      </c>
      <c r="B536" s="4">
        <f>Dataset!B536</f>
        <v>45449</v>
      </c>
      <c r="C536" s="6" t="str">
        <f>TRIM(Dataset!C536)</f>
        <v>C73289</v>
      </c>
      <c r="D536" s="6" t="str">
        <f>TRIM(Dataset!D536)</f>
        <v>Chair</v>
      </c>
      <c r="E536" s="13">
        <f>VALUE(TRIM(Dataset!E536))</f>
        <v>3</v>
      </c>
      <c r="F536" s="10">
        <f>VALUE(TRIM(Dataset!F536))</f>
        <v>648.59</v>
      </c>
      <c r="G536" s="6" t="str">
        <f>TRIM(Dataset!G536)</f>
        <v>906 Main St</v>
      </c>
      <c r="H536" s="6" t="str">
        <f>TRIM(Dataset!H536)</f>
        <v>Debit Card</v>
      </c>
      <c r="I536" s="6" t="str">
        <f>TRIM(Dataset!I536)</f>
        <v>Cancelled</v>
      </c>
      <c r="J536" s="6" t="str">
        <f>TRIM(Dataset!J536)</f>
        <v>TRK70872738</v>
      </c>
      <c r="K536" s="8" t="str">
        <f>TRIM(Dataset!K536)</f>
        <v>4</v>
      </c>
      <c r="L536" s="6" t="str">
        <f>Dataset!L536</f>
        <v>SAVE10</v>
      </c>
      <c r="M536" s="6" t="str">
        <f>TRIM(Dataset!M536)</f>
        <v>Email</v>
      </c>
      <c r="N536" s="10">
        <f>VALUE(TRIM(Dataset!N536))</f>
        <v>1945.77</v>
      </c>
    </row>
    <row r="537" spans="1:14" x14ac:dyDescent="0.35">
      <c r="A537" s="6" t="str">
        <f>TRIM(Dataset!A537)</f>
        <v>ORD200535</v>
      </c>
      <c r="B537" s="4">
        <f>Dataset!B537</f>
        <v>45497</v>
      </c>
      <c r="C537" s="6" t="str">
        <f>TRIM(Dataset!C537)</f>
        <v>C48649</v>
      </c>
      <c r="D537" s="6" t="str">
        <f>TRIM(Dataset!D537)</f>
        <v>Monitor</v>
      </c>
      <c r="E537" s="13">
        <f>VALUE(TRIM(Dataset!E537))</f>
        <v>3</v>
      </c>
      <c r="F537" s="10">
        <f>VALUE(TRIM(Dataset!F537))</f>
        <v>68.12</v>
      </c>
      <c r="G537" s="6" t="str">
        <f>TRIM(Dataset!G537)</f>
        <v>332 Main St</v>
      </c>
      <c r="H537" s="6" t="str">
        <f>TRIM(Dataset!H537)</f>
        <v>Online</v>
      </c>
      <c r="I537" s="6" t="str">
        <f>TRIM(Dataset!I537)</f>
        <v>Cancelled</v>
      </c>
      <c r="J537" s="6" t="str">
        <f>TRIM(Dataset!J537)</f>
        <v>TRK45821445</v>
      </c>
      <c r="K537" s="8" t="str">
        <f>TRIM(Dataset!K537)</f>
        <v>3</v>
      </c>
      <c r="L537" s="6" t="str">
        <f>Dataset!L537</f>
        <v>FREESHIP</v>
      </c>
      <c r="M537" s="6" t="str">
        <f>TRIM(Dataset!M537)</f>
        <v>Email</v>
      </c>
      <c r="N537" s="10">
        <f>VALUE(TRIM(Dataset!N537))</f>
        <v>204.36</v>
      </c>
    </row>
    <row r="538" spans="1:14" x14ac:dyDescent="0.35">
      <c r="A538" s="6" t="str">
        <f>TRIM(Dataset!A538)</f>
        <v>ORD200536</v>
      </c>
      <c r="B538" s="4">
        <f>Dataset!B538</f>
        <v>45452</v>
      </c>
      <c r="C538" s="6" t="str">
        <f>TRIM(Dataset!C538)</f>
        <v>C18724</v>
      </c>
      <c r="D538" s="6" t="str">
        <f>TRIM(Dataset!D538)</f>
        <v>Chair</v>
      </c>
      <c r="E538" s="13">
        <f>VALUE(TRIM(Dataset!E538))</f>
        <v>1</v>
      </c>
      <c r="F538" s="10">
        <f>VALUE(TRIM(Dataset!F538))</f>
        <v>616.1</v>
      </c>
      <c r="G538" s="6" t="str">
        <f>TRIM(Dataset!G538)</f>
        <v>124 Main St</v>
      </c>
      <c r="H538" s="6" t="str">
        <f>TRIM(Dataset!H538)</f>
        <v>Cash</v>
      </c>
      <c r="I538" s="6" t="str">
        <f>TRIM(Dataset!I538)</f>
        <v>Returned</v>
      </c>
      <c r="J538" s="6" t="str">
        <f>TRIM(Dataset!J538)</f>
        <v>TRK52508861</v>
      </c>
      <c r="K538" s="8" t="str">
        <f>TRIM(Dataset!K538)</f>
        <v>6</v>
      </c>
      <c r="L538" s="6" t="s">
        <v>4284</v>
      </c>
      <c r="M538" s="6" t="str">
        <f>TRIM(Dataset!M538)</f>
        <v>Email</v>
      </c>
      <c r="N538" s="10">
        <f>VALUE(TRIM(Dataset!N538))</f>
        <v>616.1</v>
      </c>
    </row>
    <row r="539" spans="1:14" x14ac:dyDescent="0.35">
      <c r="A539" s="6" t="str">
        <f>TRIM(Dataset!A539)</f>
        <v>ORD200537</v>
      </c>
      <c r="B539" s="4">
        <f>Dataset!B539</f>
        <v>45739</v>
      </c>
      <c r="C539" s="6" t="str">
        <f>TRIM(Dataset!C539)</f>
        <v>C68553</v>
      </c>
      <c r="D539" s="6" t="str">
        <f>TRIM(Dataset!D539)</f>
        <v>Tablet</v>
      </c>
      <c r="E539" s="13">
        <f>VALUE(TRIM(Dataset!E539))</f>
        <v>3</v>
      </c>
      <c r="F539" s="10">
        <f>VALUE(TRIM(Dataset!F539))</f>
        <v>247.47</v>
      </c>
      <c r="G539" s="6" t="str">
        <f>TRIM(Dataset!G539)</f>
        <v>385 Main St</v>
      </c>
      <c r="H539" s="6" t="str">
        <f>TRIM(Dataset!H539)</f>
        <v>Online</v>
      </c>
      <c r="I539" s="6" t="str">
        <f>TRIM(Dataset!I539)</f>
        <v>Delivered</v>
      </c>
      <c r="J539" s="6" t="str">
        <f>TRIM(Dataset!J539)</f>
        <v>TRK58218971</v>
      </c>
      <c r="K539" s="8" t="str">
        <f>TRIM(Dataset!K539)</f>
        <v>4</v>
      </c>
      <c r="L539" s="6" t="str">
        <f>Dataset!L539</f>
        <v>SAVE10</v>
      </c>
      <c r="M539" s="6" t="str">
        <f>TRIM(Dataset!M539)</f>
        <v>Facebook</v>
      </c>
      <c r="N539" s="10">
        <f>VALUE(TRIM(Dataset!N539))</f>
        <v>742.41</v>
      </c>
    </row>
    <row r="540" spans="1:14" x14ac:dyDescent="0.35">
      <c r="A540" s="6" t="str">
        <f>TRIM(Dataset!A540)</f>
        <v>ORD200538</v>
      </c>
      <c r="B540" s="4">
        <f>Dataset!B540</f>
        <v>45436</v>
      </c>
      <c r="C540" s="6" t="str">
        <f>TRIM(Dataset!C540)</f>
        <v>C61280</v>
      </c>
      <c r="D540" s="6" t="str">
        <f>TRIM(Dataset!D540)</f>
        <v>Phone</v>
      </c>
      <c r="E540" s="13">
        <f>VALUE(TRIM(Dataset!E540))</f>
        <v>3</v>
      </c>
      <c r="F540" s="10">
        <f>VALUE(TRIM(Dataset!F540))</f>
        <v>490.74</v>
      </c>
      <c r="G540" s="6" t="str">
        <f>TRIM(Dataset!G540)</f>
        <v>100 Main St</v>
      </c>
      <c r="H540" s="6" t="str">
        <f>TRIM(Dataset!H540)</f>
        <v>Cash</v>
      </c>
      <c r="I540" s="6" t="str">
        <f>TRIM(Dataset!I540)</f>
        <v>Shipped</v>
      </c>
      <c r="J540" s="6" t="str">
        <f>TRIM(Dataset!J540)</f>
        <v>TRK95487711</v>
      </c>
      <c r="K540" s="8" t="str">
        <f>TRIM(Dataset!K540)</f>
        <v>3</v>
      </c>
      <c r="L540" s="6" t="str">
        <f>Dataset!L540</f>
        <v>WINTER15</v>
      </c>
      <c r="M540" s="6" t="str">
        <f>TRIM(Dataset!M540)</f>
        <v>Email</v>
      </c>
      <c r="N540" s="10">
        <f>VALUE(TRIM(Dataset!N540))</f>
        <v>1472.22</v>
      </c>
    </row>
    <row r="541" spans="1:14" x14ac:dyDescent="0.35">
      <c r="A541" s="6" t="str">
        <f>TRIM(Dataset!A541)</f>
        <v>ORD200539</v>
      </c>
      <c r="B541" s="4">
        <f>Dataset!B541</f>
        <v>45706</v>
      </c>
      <c r="C541" s="6" t="str">
        <f>TRIM(Dataset!C541)</f>
        <v>C53277</v>
      </c>
      <c r="D541" s="6" t="str">
        <f>TRIM(Dataset!D541)</f>
        <v>Desk</v>
      </c>
      <c r="E541" s="13">
        <f>VALUE(TRIM(Dataset!E541))</f>
        <v>3</v>
      </c>
      <c r="F541" s="10">
        <f>VALUE(TRIM(Dataset!F541))</f>
        <v>531.72</v>
      </c>
      <c r="G541" s="6" t="str">
        <f>TRIM(Dataset!G541)</f>
        <v>473 Main St</v>
      </c>
      <c r="H541" s="6" t="str">
        <f>TRIM(Dataset!H541)</f>
        <v>Gift Card</v>
      </c>
      <c r="I541" s="6" t="str">
        <f>TRIM(Dataset!I541)</f>
        <v>Delivered</v>
      </c>
      <c r="J541" s="6" t="str">
        <f>TRIM(Dataset!J541)</f>
        <v>TRK17653832</v>
      </c>
      <c r="K541" s="8" t="str">
        <f>TRIM(Dataset!K541)</f>
        <v>7</v>
      </c>
      <c r="L541" s="6" t="str">
        <f>Dataset!L541</f>
        <v>SAVE10</v>
      </c>
      <c r="M541" s="6" t="str">
        <f>TRIM(Dataset!M541)</f>
        <v>Google</v>
      </c>
      <c r="N541" s="10">
        <f>VALUE(TRIM(Dataset!N541))</f>
        <v>1595.16</v>
      </c>
    </row>
    <row r="542" spans="1:14" x14ac:dyDescent="0.35">
      <c r="A542" s="6" t="str">
        <f>TRIM(Dataset!A542)</f>
        <v>ORD200540</v>
      </c>
      <c r="B542" s="4">
        <f>Dataset!B542</f>
        <v>45320</v>
      </c>
      <c r="C542" s="6" t="str">
        <f>TRIM(Dataset!C542)</f>
        <v>C87281</v>
      </c>
      <c r="D542" s="6" t="str">
        <f>TRIM(Dataset!D542)</f>
        <v>Laptop</v>
      </c>
      <c r="E542" s="13">
        <f>VALUE(TRIM(Dataset!E542))</f>
        <v>5</v>
      </c>
      <c r="F542" s="10">
        <f>VALUE(TRIM(Dataset!F542))</f>
        <v>648.65</v>
      </c>
      <c r="G542" s="6" t="str">
        <f>TRIM(Dataset!G542)</f>
        <v>852 Main St</v>
      </c>
      <c r="H542" s="6" t="str">
        <f>TRIM(Dataset!H542)</f>
        <v>Online</v>
      </c>
      <c r="I542" s="6" t="str">
        <f>TRIM(Dataset!I542)</f>
        <v>Pending</v>
      </c>
      <c r="J542" s="6" t="str">
        <f>TRIM(Dataset!J542)</f>
        <v>TRK81765057</v>
      </c>
      <c r="K542" s="8" t="str">
        <f>TRIM(Dataset!K542)</f>
        <v>7</v>
      </c>
      <c r="L542" s="6" t="s">
        <v>4284</v>
      </c>
      <c r="M542" s="6" t="str">
        <f>TRIM(Dataset!M542)</f>
        <v>Referral</v>
      </c>
      <c r="N542" s="10">
        <f>VALUE(TRIM(Dataset!N542))</f>
        <v>3243.25</v>
      </c>
    </row>
    <row r="543" spans="1:14" x14ac:dyDescent="0.35">
      <c r="A543" s="6" t="str">
        <f>TRIM(Dataset!A543)</f>
        <v>ORD200541</v>
      </c>
      <c r="B543" s="4">
        <f>Dataset!B543</f>
        <v>45145</v>
      </c>
      <c r="C543" s="6" t="str">
        <f>TRIM(Dataset!C543)</f>
        <v>C69009</v>
      </c>
      <c r="D543" s="6" t="str">
        <f>TRIM(Dataset!D543)</f>
        <v>Printer</v>
      </c>
      <c r="E543" s="13">
        <f>VALUE(TRIM(Dataset!E543))</f>
        <v>5</v>
      </c>
      <c r="F543" s="10">
        <f>VALUE(TRIM(Dataset!F543))</f>
        <v>456.06</v>
      </c>
      <c r="G543" s="6" t="str">
        <f>TRIM(Dataset!G543)</f>
        <v>879 Main St</v>
      </c>
      <c r="H543" s="6" t="str">
        <f>TRIM(Dataset!H543)</f>
        <v>Cash</v>
      </c>
      <c r="I543" s="6" t="str">
        <f>TRIM(Dataset!I543)</f>
        <v>Pending</v>
      </c>
      <c r="J543" s="6" t="str">
        <f>TRIM(Dataset!J543)</f>
        <v>TRK61295842</v>
      </c>
      <c r="K543" s="8" t="str">
        <f>TRIM(Dataset!K543)</f>
        <v>10</v>
      </c>
      <c r="L543" s="6" t="s">
        <v>4284</v>
      </c>
      <c r="M543" s="6" t="str">
        <f>TRIM(Dataset!M543)</f>
        <v>Instagram</v>
      </c>
      <c r="N543" s="10">
        <f>VALUE(TRIM(Dataset!N543))</f>
        <v>2280.3000000000002</v>
      </c>
    </row>
    <row r="544" spans="1:14" x14ac:dyDescent="0.35">
      <c r="A544" s="6" t="str">
        <f>TRIM(Dataset!A544)</f>
        <v>ORD200542</v>
      </c>
      <c r="B544" s="4">
        <f>Dataset!B544</f>
        <v>45244</v>
      </c>
      <c r="C544" s="6" t="str">
        <f>TRIM(Dataset!C544)</f>
        <v>C49726</v>
      </c>
      <c r="D544" s="6" t="str">
        <f>TRIM(Dataset!D544)</f>
        <v>Tablet</v>
      </c>
      <c r="E544" s="13">
        <f>VALUE(TRIM(Dataset!E544))</f>
        <v>1</v>
      </c>
      <c r="F544" s="10">
        <f>VALUE(TRIM(Dataset!F544))</f>
        <v>17.98</v>
      </c>
      <c r="G544" s="6" t="str">
        <f>TRIM(Dataset!G544)</f>
        <v>934 Main St</v>
      </c>
      <c r="H544" s="6" t="str">
        <f>TRIM(Dataset!H544)</f>
        <v>Cash</v>
      </c>
      <c r="I544" s="6" t="str">
        <f>TRIM(Dataset!I544)</f>
        <v>Cancelled</v>
      </c>
      <c r="J544" s="6" t="str">
        <f>TRIM(Dataset!J544)</f>
        <v>TRK20739460</v>
      </c>
      <c r="K544" s="8" t="str">
        <f>TRIM(Dataset!K544)</f>
        <v>6</v>
      </c>
      <c r="L544" s="6" t="str">
        <f>Dataset!L544</f>
        <v>FREESHIP</v>
      </c>
      <c r="M544" s="6" t="str">
        <f>TRIM(Dataset!M544)</f>
        <v>Email</v>
      </c>
      <c r="N544" s="10">
        <f>VALUE(TRIM(Dataset!N544))</f>
        <v>17.98</v>
      </c>
    </row>
    <row r="545" spans="1:14" x14ac:dyDescent="0.35">
      <c r="A545" s="6" t="str">
        <f>TRIM(Dataset!A545)</f>
        <v>ORD200543</v>
      </c>
      <c r="B545" s="4">
        <f>Dataset!B545</f>
        <v>45360</v>
      </c>
      <c r="C545" s="6" t="str">
        <f>TRIM(Dataset!C545)</f>
        <v>C37531</v>
      </c>
      <c r="D545" s="6" t="str">
        <f>TRIM(Dataset!D545)</f>
        <v>Desk</v>
      </c>
      <c r="E545" s="13">
        <f>VALUE(TRIM(Dataset!E545))</f>
        <v>5</v>
      </c>
      <c r="F545" s="10">
        <f>VALUE(TRIM(Dataset!F545))</f>
        <v>269.86</v>
      </c>
      <c r="G545" s="6" t="str">
        <f>TRIM(Dataset!G545)</f>
        <v>354 Main St</v>
      </c>
      <c r="H545" s="6" t="str">
        <f>TRIM(Dataset!H545)</f>
        <v>Cash</v>
      </c>
      <c r="I545" s="6" t="str">
        <f>TRIM(Dataset!I545)</f>
        <v>Shipped</v>
      </c>
      <c r="J545" s="6" t="str">
        <f>TRIM(Dataset!J545)</f>
        <v>TRK93877673</v>
      </c>
      <c r="K545" s="8" t="str">
        <f>TRIM(Dataset!K545)</f>
        <v>6</v>
      </c>
      <c r="L545" s="6" t="str">
        <f>Dataset!L545</f>
        <v>WINTER15</v>
      </c>
      <c r="M545" s="6" t="str">
        <f>TRIM(Dataset!M545)</f>
        <v>Facebook</v>
      </c>
      <c r="N545" s="10">
        <f>VALUE(TRIM(Dataset!N545))</f>
        <v>1349.3</v>
      </c>
    </row>
    <row r="546" spans="1:14" x14ac:dyDescent="0.35">
      <c r="A546" s="6" t="str">
        <f>TRIM(Dataset!A546)</f>
        <v>ORD200544</v>
      </c>
      <c r="B546" s="4">
        <f>Dataset!B546</f>
        <v>45361</v>
      </c>
      <c r="C546" s="6" t="str">
        <f>TRIM(Dataset!C546)</f>
        <v>C48713</v>
      </c>
      <c r="D546" s="6" t="str">
        <f>TRIM(Dataset!D546)</f>
        <v>Printer</v>
      </c>
      <c r="E546" s="13">
        <f>VALUE(TRIM(Dataset!E546))</f>
        <v>5</v>
      </c>
      <c r="F546" s="10">
        <f>VALUE(TRIM(Dataset!F546))</f>
        <v>31.96</v>
      </c>
      <c r="G546" s="6" t="str">
        <f>TRIM(Dataset!G546)</f>
        <v>373 Main St</v>
      </c>
      <c r="H546" s="6" t="str">
        <f>TRIM(Dataset!H546)</f>
        <v>Credit Card</v>
      </c>
      <c r="I546" s="6" t="str">
        <f>TRIM(Dataset!I546)</f>
        <v>Returned</v>
      </c>
      <c r="J546" s="6" t="str">
        <f>TRIM(Dataset!J546)</f>
        <v>TRK96334419</v>
      </c>
      <c r="K546" s="8" t="str">
        <f>TRIM(Dataset!K546)</f>
        <v>5</v>
      </c>
      <c r="L546" s="6" t="str">
        <f>Dataset!L546</f>
        <v>FREESHIP</v>
      </c>
      <c r="M546" s="6" t="str">
        <f>TRIM(Dataset!M546)</f>
        <v>Referral</v>
      </c>
      <c r="N546" s="10">
        <f>VALUE(TRIM(Dataset!N546))</f>
        <v>159.80000000000001</v>
      </c>
    </row>
    <row r="547" spans="1:14" x14ac:dyDescent="0.35">
      <c r="A547" s="6" t="str">
        <f>TRIM(Dataset!A547)</f>
        <v>ORD200545</v>
      </c>
      <c r="B547" s="4">
        <f>Dataset!B547</f>
        <v>45279</v>
      </c>
      <c r="C547" s="6" t="str">
        <f>TRIM(Dataset!C547)</f>
        <v>C74138</v>
      </c>
      <c r="D547" s="6" t="str">
        <f>TRIM(Dataset!D547)</f>
        <v>Monitor</v>
      </c>
      <c r="E547" s="13">
        <f>VALUE(TRIM(Dataset!E547))</f>
        <v>2</v>
      </c>
      <c r="F547" s="10">
        <f>VALUE(TRIM(Dataset!F547))</f>
        <v>98.47</v>
      </c>
      <c r="G547" s="6" t="str">
        <f>TRIM(Dataset!G547)</f>
        <v>964 Main St</v>
      </c>
      <c r="H547" s="6" t="str">
        <f>TRIM(Dataset!H547)</f>
        <v>Cash</v>
      </c>
      <c r="I547" s="6" t="str">
        <f>TRIM(Dataset!I547)</f>
        <v>Returned</v>
      </c>
      <c r="J547" s="6" t="str">
        <f>TRIM(Dataset!J547)</f>
        <v>TRK74091695</v>
      </c>
      <c r="K547" s="8" t="str">
        <f>TRIM(Dataset!K547)</f>
        <v>3</v>
      </c>
      <c r="L547" s="6" t="s">
        <v>4284</v>
      </c>
      <c r="M547" s="6" t="str">
        <f>TRIM(Dataset!M547)</f>
        <v>Instagram</v>
      </c>
      <c r="N547" s="10">
        <f>VALUE(TRIM(Dataset!N547))</f>
        <v>196.94</v>
      </c>
    </row>
    <row r="548" spans="1:14" x14ac:dyDescent="0.35">
      <c r="A548" s="6" t="str">
        <f>TRIM(Dataset!A548)</f>
        <v>ORD200546</v>
      </c>
      <c r="B548" s="4">
        <f>Dataset!B548</f>
        <v>45352</v>
      </c>
      <c r="C548" s="6" t="str">
        <f>TRIM(Dataset!C548)</f>
        <v>C82399</v>
      </c>
      <c r="D548" s="6" t="str">
        <f>TRIM(Dataset!D548)</f>
        <v>Monitor</v>
      </c>
      <c r="E548" s="13">
        <f>VALUE(TRIM(Dataset!E548))</f>
        <v>1</v>
      </c>
      <c r="F548" s="10">
        <f>VALUE(TRIM(Dataset!F548))</f>
        <v>158.68</v>
      </c>
      <c r="G548" s="6" t="str">
        <f>TRIM(Dataset!G548)</f>
        <v>928 Main St</v>
      </c>
      <c r="H548" s="6" t="str">
        <f>TRIM(Dataset!H548)</f>
        <v>Credit Card</v>
      </c>
      <c r="I548" s="6" t="str">
        <f>TRIM(Dataset!I548)</f>
        <v>Returned</v>
      </c>
      <c r="J548" s="6" t="str">
        <f>TRIM(Dataset!J548)</f>
        <v>TRK77177284</v>
      </c>
      <c r="K548" s="8" t="str">
        <f>TRIM(Dataset!K548)</f>
        <v>6</v>
      </c>
      <c r="L548" s="6" t="str">
        <f>Dataset!L548</f>
        <v>WINTER15</v>
      </c>
      <c r="M548" s="6" t="str">
        <f>TRIM(Dataset!M548)</f>
        <v>Instagram</v>
      </c>
      <c r="N548" s="10">
        <f>VALUE(TRIM(Dataset!N548))</f>
        <v>158.68</v>
      </c>
    </row>
    <row r="549" spans="1:14" x14ac:dyDescent="0.35">
      <c r="A549" s="6" t="str">
        <f>TRIM(Dataset!A549)</f>
        <v>ORD200547</v>
      </c>
      <c r="B549" s="4">
        <f>Dataset!B549</f>
        <v>45158</v>
      </c>
      <c r="C549" s="6" t="str">
        <f>TRIM(Dataset!C549)</f>
        <v>C40427</v>
      </c>
      <c r="D549" s="6" t="str">
        <f>TRIM(Dataset!D549)</f>
        <v>Phone</v>
      </c>
      <c r="E549" s="13">
        <f>VALUE(TRIM(Dataset!E549))</f>
        <v>1</v>
      </c>
      <c r="F549" s="10">
        <f>VALUE(TRIM(Dataset!F549))</f>
        <v>613.98</v>
      </c>
      <c r="G549" s="6" t="str">
        <f>TRIM(Dataset!G549)</f>
        <v>411 Main St</v>
      </c>
      <c r="H549" s="6" t="str">
        <f>TRIM(Dataset!H549)</f>
        <v>Online</v>
      </c>
      <c r="I549" s="6" t="str">
        <f>TRIM(Dataset!I549)</f>
        <v>Delivered</v>
      </c>
      <c r="J549" s="6" t="str">
        <f>TRIM(Dataset!J549)</f>
        <v>TRK25392280</v>
      </c>
      <c r="K549" s="8" t="str">
        <f>TRIM(Dataset!K549)</f>
        <v>4</v>
      </c>
      <c r="L549" s="6" t="str">
        <f>Dataset!L549</f>
        <v>FREESHIP</v>
      </c>
      <c r="M549" s="6" t="str">
        <f>TRIM(Dataset!M549)</f>
        <v>Facebook</v>
      </c>
      <c r="N549" s="10">
        <f>VALUE(TRIM(Dataset!N549))</f>
        <v>613.98</v>
      </c>
    </row>
    <row r="550" spans="1:14" x14ac:dyDescent="0.35">
      <c r="A550" s="6" t="str">
        <f>TRIM(Dataset!A550)</f>
        <v>ORD200548</v>
      </c>
      <c r="B550" s="4">
        <f>Dataset!B550</f>
        <v>45296</v>
      </c>
      <c r="C550" s="6" t="str">
        <f>TRIM(Dataset!C550)</f>
        <v>C17103</v>
      </c>
      <c r="D550" s="6" t="str">
        <f>TRIM(Dataset!D550)</f>
        <v>Printer</v>
      </c>
      <c r="E550" s="13">
        <f>VALUE(TRIM(Dataset!E550))</f>
        <v>3</v>
      </c>
      <c r="F550" s="10">
        <f>VALUE(TRIM(Dataset!F550))</f>
        <v>426.12</v>
      </c>
      <c r="G550" s="6" t="str">
        <f>TRIM(Dataset!G550)</f>
        <v>922 Main St</v>
      </c>
      <c r="H550" s="6" t="str">
        <f>TRIM(Dataset!H550)</f>
        <v>Online</v>
      </c>
      <c r="I550" s="6" t="str">
        <f>TRIM(Dataset!I550)</f>
        <v>Delivered</v>
      </c>
      <c r="J550" s="6" t="str">
        <f>TRIM(Dataset!J550)</f>
        <v>TRK64398650</v>
      </c>
      <c r="K550" s="8" t="str">
        <f>TRIM(Dataset!K550)</f>
        <v>5</v>
      </c>
      <c r="L550" s="6" t="str">
        <f>Dataset!L550</f>
        <v>WINTER15</v>
      </c>
      <c r="M550" s="6" t="str">
        <f>TRIM(Dataset!M550)</f>
        <v>Instagram</v>
      </c>
      <c r="N550" s="10">
        <f>VALUE(TRIM(Dataset!N550))</f>
        <v>1278.3599999999999</v>
      </c>
    </row>
    <row r="551" spans="1:14" x14ac:dyDescent="0.35">
      <c r="A551" s="6" t="str">
        <f>TRIM(Dataset!A551)</f>
        <v>ORD200549</v>
      </c>
      <c r="B551" s="4">
        <f>Dataset!B551</f>
        <v>45713</v>
      </c>
      <c r="C551" s="6" t="str">
        <f>TRIM(Dataset!C551)</f>
        <v>C34266</v>
      </c>
      <c r="D551" s="6" t="str">
        <f>TRIM(Dataset!D551)</f>
        <v>Monitor</v>
      </c>
      <c r="E551" s="13">
        <f>VALUE(TRIM(Dataset!E551))</f>
        <v>4</v>
      </c>
      <c r="F551" s="10">
        <f>VALUE(TRIM(Dataset!F551))</f>
        <v>629.88</v>
      </c>
      <c r="G551" s="6" t="str">
        <f>TRIM(Dataset!G551)</f>
        <v>550 Main St</v>
      </c>
      <c r="H551" s="6" t="str">
        <f>TRIM(Dataset!H551)</f>
        <v>Debit Card</v>
      </c>
      <c r="I551" s="6" t="str">
        <f>TRIM(Dataset!I551)</f>
        <v>Cancelled</v>
      </c>
      <c r="J551" s="6" t="str">
        <f>TRIM(Dataset!J551)</f>
        <v>TRK56378197</v>
      </c>
      <c r="K551" s="8" t="str">
        <f>TRIM(Dataset!K551)</f>
        <v>8</v>
      </c>
      <c r="L551" s="6" t="str">
        <f>Dataset!L551</f>
        <v>WINTER15</v>
      </c>
      <c r="M551" s="6" t="str">
        <f>TRIM(Dataset!M551)</f>
        <v>Instagram</v>
      </c>
      <c r="N551" s="10">
        <f>VALUE(TRIM(Dataset!N551))</f>
        <v>2519.52</v>
      </c>
    </row>
    <row r="552" spans="1:14" x14ac:dyDescent="0.35">
      <c r="A552" s="6" t="str">
        <f>TRIM(Dataset!A552)</f>
        <v>ORD200550</v>
      </c>
      <c r="B552" s="4">
        <f>Dataset!B552</f>
        <v>45228</v>
      </c>
      <c r="C552" s="6" t="str">
        <f>TRIM(Dataset!C552)</f>
        <v>C97485</v>
      </c>
      <c r="D552" s="6" t="str">
        <f>TRIM(Dataset!D552)</f>
        <v>Laptop</v>
      </c>
      <c r="E552" s="13">
        <f>VALUE(TRIM(Dataset!E552))</f>
        <v>4</v>
      </c>
      <c r="F552" s="10">
        <f>VALUE(TRIM(Dataset!F552))</f>
        <v>228.91</v>
      </c>
      <c r="G552" s="6" t="str">
        <f>TRIM(Dataset!G552)</f>
        <v>573 Main St</v>
      </c>
      <c r="H552" s="6" t="str">
        <f>TRIM(Dataset!H552)</f>
        <v>Cash</v>
      </c>
      <c r="I552" s="6" t="str">
        <f>TRIM(Dataset!I552)</f>
        <v>Shipped</v>
      </c>
      <c r="J552" s="6" t="str">
        <f>TRIM(Dataset!J552)</f>
        <v>TRK81794737</v>
      </c>
      <c r="K552" s="8" t="str">
        <f>TRIM(Dataset!K552)</f>
        <v>4</v>
      </c>
      <c r="L552" s="6" t="str">
        <f>Dataset!L552</f>
        <v>FREESHIP</v>
      </c>
      <c r="M552" s="6" t="str">
        <f>TRIM(Dataset!M552)</f>
        <v>Google</v>
      </c>
      <c r="N552" s="10">
        <f>VALUE(TRIM(Dataset!N552))</f>
        <v>915.64</v>
      </c>
    </row>
    <row r="553" spans="1:14" x14ac:dyDescent="0.35">
      <c r="A553" s="6" t="str">
        <f>TRIM(Dataset!A553)</f>
        <v>ORD200551</v>
      </c>
      <c r="B553" s="4">
        <f>Dataset!B553</f>
        <v>45064</v>
      </c>
      <c r="C553" s="6" t="str">
        <f>TRIM(Dataset!C553)</f>
        <v>C23947</v>
      </c>
      <c r="D553" s="6" t="str">
        <f>TRIM(Dataset!D553)</f>
        <v>Laptop</v>
      </c>
      <c r="E553" s="13">
        <f>VALUE(TRIM(Dataset!E553))</f>
        <v>1</v>
      </c>
      <c r="F553" s="10">
        <f>VALUE(TRIM(Dataset!F553))</f>
        <v>120.98</v>
      </c>
      <c r="G553" s="6" t="str">
        <f>TRIM(Dataset!G553)</f>
        <v>353 Main St</v>
      </c>
      <c r="H553" s="6" t="str">
        <f>TRIM(Dataset!H553)</f>
        <v>Debit Card</v>
      </c>
      <c r="I553" s="6" t="str">
        <f>TRIM(Dataset!I553)</f>
        <v>Delivered</v>
      </c>
      <c r="J553" s="6" t="str">
        <f>TRIM(Dataset!J553)</f>
        <v>TRK74812710</v>
      </c>
      <c r="K553" s="8" t="str">
        <f>TRIM(Dataset!K553)</f>
        <v>6</v>
      </c>
      <c r="L553" s="6" t="str">
        <f>Dataset!L553</f>
        <v>WINTER15</v>
      </c>
      <c r="M553" s="6" t="str">
        <f>TRIM(Dataset!M553)</f>
        <v>Email</v>
      </c>
      <c r="N553" s="10">
        <f>VALUE(TRIM(Dataset!N553))</f>
        <v>120.98</v>
      </c>
    </row>
    <row r="554" spans="1:14" x14ac:dyDescent="0.35">
      <c r="A554" s="6" t="str">
        <f>TRIM(Dataset!A554)</f>
        <v>ORD200552</v>
      </c>
      <c r="B554" s="4">
        <f>Dataset!B554</f>
        <v>45199</v>
      </c>
      <c r="C554" s="6" t="str">
        <f>TRIM(Dataset!C554)</f>
        <v>C21665</v>
      </c>
      <c r="D554" s="6" t="str">
        <f>TRIM(Dataset!D554)</f>
        <v>Chair</v>
      </c>
      <c r="E554" s="13">
        <f>VALUE(TRIM(Dataset!E554))</f>
        <v>4</v>
      </c>
      <c r="F554" s="10">
        <f>VALUE(TRIM(Dataset!F554))</f>
        <v>425.18</v>
      </c>
      <c r="G554" s="6" t="str">
        <f>TRIM(Dataset!G554)</f>
        <v>560 Main St</v>
      </c>
      <c r="H554" s="6" t="str">
        <f>TRIM(Dataset!H554)</f>
        <v>Online</v>
      </c>
      <c r="I554" s="6" t="str">
        <f>TRIM(Dataset!I554)</f>
        <v>Returned</v>
      </c>
      <c r="J554" s="6" t="str">
        <f>TRIM(Dataset!J554)</f>
        <v>TRK29890761</v>
      </c>
      <c r="K554" s="8" t="str">
        <f>TRIM(Dataset!K554)</f>
        <v>8</v>
      </c>
      <c r="L554" s="6" t="str">
        <f>Dataset!L554</f>
        <v>WINTER15</v>
      </c>
      <c r="M554" s="6" t="str">
        <f>TRIM(Dataset!M554)</f>
        <v>Facebook</v>
      </c>
      <c r="N554" s="10">
        <f>VALUE(TRIM(Dataset!N554))</f>
        <v>1700.72</v>
      </c>
    </row>
    <row r="555" spans="1:14" x14ac:dyDescent="0.35">
      <c r="A555" s="6" t="str">
        <f>TRIM(Dataset!A555)</f>
        <v>ORD200553</v>
      </c>
      <c r="B555" s="4">
        <f>Dataset!B555</f>
        <v>45161</v>
      </c>
      <c r="C555" s="6" t="str">
        <f>TRIM(Dataset!C555)</f>
        <v>C82550</v>
      </c>
      <c r="D555" s="6" t="str">
        <f>TRIM(Dataset!D555)</f>
        <v>Phone</v>
      </c>
      <c r="E555" s="13">
        <f>VALUE(TRIM(Dataset!E555))</f>
        <v>2</v>
      </c>
      <c r="F555" s="10">
        <f>VALUE(TRIM(Dataset!F555))</f>
        <v>333.83</v>
      </c>
      <c r="G555" s="6" t="str">
        <f>TRIM(Dataset!G555)</f>
        <v>828 Main St</v>
      </c>
      <c r="H555" s="6" t="str">
        <f>TRIM(Dataset!H555)</f>
        <v>Gift Card</v>
      </c>
      <c r="I555" s="6" t="str">
        <f>TRIM(Dataset!I555)</f>
        <v>Cancelled</v>
      </c>
      <c r="J555" s="6" t="str">
        <f>TRIM(Dataset!J555)</f>
        <v>TRK74103758</v>
      </c>
      <c r="K555" s="8" t="str">
        <f>TRIM(Dataset!K555)</f>
        <v>4</v>
      </c>
      <c r="L555" s="6" t="str">
        <f>Dataset!L555</f>
        <v>FREESHIP</v>
      </c>
      <c r="M555" s="6" t="str">
        <f>TRIM(Dataset!M555)</f>
        <v>Referral</v>
      </c>
      <c r="N555" s="10">
        <f>VALUE(TRIM(Dataset!N555))</f>
        <v>667.66</v>
      </c>
    </row>
    <row r="556" spans="1:14" x14ac:dyDescent="0.35">
      <c r="A556" s="6" t="str">
        <f>TRIM(Dataset!A556)</f>
        <v>ORD200554</v>
      </c>
      <c r="B556" s="4">
        <f>Dataset!B556</f>
        <v>45807</v>
      </c>
      <c r="C556" s="6" t="str">
        <f>TRIM(Dataset!C556)</f>
        <v>C61943</v>
      </c>
      <c r="D556" s="6" t="str">
        <f>TRIM(Dataset!D556)</f>
        <v>Laptop</v>
      </c>
      <c r="E556" s="13">
        <f>VALUE(TRIM(Dataset!E556))</f>
        <v>2</v>
      </c>
      <c r="F556" s="10">
        <f>VALUE(TRIM(Dataset!F556))</f>
        <v>492.9</v>
      </c>
      <c r="G556" s="6" t="str">
        <f>TRIM(Dataset!G556)</f>
        <v>610 Main St</v>
      </c>
      <c r="H556" s="6" t="str">
        <f>TRIM(Dataset!H556)</f>
        <v>Cash</v>
      </c>
      <c r="I556" s="6" t="str">
        <f>TRIM(Dataset!I556)</f>
        <v>Returned</v>
      </c>
      <c r="J556" s="6" t="str">
        <f>TRIM(Dataset!J556)</f>
        <v>TRK66126496</v>
      </c>
      <c r="K556" s="8" t="str">
        <f>TRIM(Dataset!K556)</f>
        <v>5</v>
      </c>
      <c r="L556" s="6" t="str">
        <f>Dataset!L556</f>
        <v>FREESHIP</v>
      </c>
      <c r="M556" s="6" t="str">
        <f>TRIM(Dataset!M556)</f>
        <v>Instagram</v>
      </c>
      <c r="N556" s="10">
        <f>VALUE(TRIM(Dataset!N556))</f>
        <v>985.8</v>
      </c>
    </row>
    <row r="557" spans="1:14" x14ac:dyDescent="0.35">
      <c r="A557" s="6" t="str">
        <f>TRIM(Dataset!A557)</f>
        <v>ORD200555</v>
      </c>
      <c r="B557" s="4">
        <f>Dataset!B557</f>
        <v>44933</v>
      </c>
      <c r="C557" s="6" t="str">
        <f>TRIM(Dataset!C557)</f>
        <v>C88933</v>
      </c>
      <c r="D557" s="6" t="str">
        <f>TRIM(Dataset!D557)</f>
        <v>Tablet</v>
      </c>
      <c r="E557" s="13">
        <f>VALUE(TRIM(Dataset!E557))</f>
        <v>1</v>
      </c>
      <c r="F557" s="10">
        <f>VALUE(TRIM(Dataset!F557))</f>
        <v>92.04</v>
      </c>
      <c r="G557" s="6" t="str">
        <f>TRIM(Dataset!G557)</f>
        <v>333 Main St</v>
      </c>
      <c r="H557" s="6" t="str">
        <f>TRIM(Dataset!H557)</f>
        <v>Cash</v>
      </c>
      <c r="I557" s="6" t="str">
        <f>TRIM(Dataset!I557)</f>
        <v>Shipped</v>
      </c>
      <c r="J557" s="6" t="str">
        <f>TRIM(Dataset!J557)</f>
        <v>TRK89306964</v>
      </c>
      <c r="K557" s="8" t="str">
        <f>TRIM(Dataset!K557)</f>
        <v>2</v>
      </c>
      <c r="L557" s="6" t="s">
        <v>4284</v>
      </c>
      <c r="M557" s="6" t="str">
        <f>TRIM(Dataset!M557)</f>
        <v>Facebook</v>
      </c>
      <c r="N557" s="10">
        <f>VALUE(TRIM(Dataset!N557))</f>
        <v>92.04</v>
      </c>
    </row>
    <row r="558" spans="1:14" x14ac:dyDescent="0.35">
      <c r="A558" s="6" t="str">
        <f>TRIM(Dataset!A558)</f>
        <v>ORD200556</v>
      </c>
      <c r="B558" s="4">
        <f>Dataset!B558</f>
        <v>44954</v>
      </c>
      <c r="C558" s="6" t="str">
        <f>TRIM(Dataset!C558)</f>
        <v>C30923</v>
      </c>
      <c r="D558" s="6" t="str">
        <f>TRIM(Dataset!D558)</f>
        <v>Laptop</v>
      </c>
      <c r="E558" s="13">
        <f>VALUE(TRIM(Dataset!E558))</f>
        <v>1</v>
      </c>
      <c r="F558" s="10">
        <f>VALUE(TRIM(Dataset!F558))</f>
        <v>654.27</v>
      </c>
      <c r="G558" s="6" t="str">
        <f>TRIM(Dataset!G558)</f>
        <v>932 Main St</v>
      </c>
      <c r="H558" s="6" t="str">
        <f>TRIM(Dataset!H558)</f>
        <v>Gift Card</v>
      </c>
      <c r="I558" s="6" t="str">
        <f>TRIM(Dataset!I558)</f>
        <v>Pending</v>
      </c>
      <c r="J558" s="6" t="str">
        <f>TRIM(Dataset!J558)</f>
        <v>TRK82609328</v>
      </c>
      <c r="K558" s="8" t="str">
        <f>TRIM(Dataset!K558)</f>
        <v>2</v>
      </c>
      <c r="L558" s="6" t="str">
        <f>Dataset!L558</f>
        <v>SAVE10</v>
      </c>
      <c r="M558" s="6" t="str">
        <f>TRIM(Dataset!M558)</f>
        <v>Facebook</v>
      </c>
      <c r="N558" s="10">
        <f>VALUE(TRIM(Dataset!N558))</f>
        <v>654.27</v>
      </c>
    </row>
    <row r="559" spans="1:14" x14ac:dyDescent="0.35">
      <c r="A559" s="6" t="str">
        <f>TRIM(Dataset!A559)</f>
        <v>ORD200557</v>
      </c>
      <c r="B559" s="4">
        <f>Dataset!B559</f>
        <v>45106</v>
      </c>
      <c r="C559" s="6" t="str">
        <f>TRIM(Dataset!C559)</f>
        <v>C56969</v>
      </c>
      <c r="D559" s="6" t="str">
        <f>TRIM(Dataset!D559)</f>
        <v>Tablet</v>
      </c>
      <c r="E559" s="13">
        <f>VALUE(TRIM(Dataset!E559))</f>
        <v>1</v>
      </c>
      <c r="F559" s="10">
        <f>VALUE(TRIM(Dataset!F559))</f>
        <v>56.2</v>
      </c>
      <c r="G559" s="6" t="str">
        <f>TRIM(Dataset!G559)</f>
        <v>130 Main St</v>
      </c>
      <c r="H559" s="6" t="str">
        <f>TRIM(Dataset!H559)</f>
        <v>Debit Card</v>
      </c>
      <c r="I559" s="6" t="str">
        <f>TRIM(Dataset!I559)</f>
        <v>Pending</v>
      </c>
      <c r="J559" s="6" t="str">
        <f>TRIM(Dataset!J559)</f>
        <v>TRK40719215</v>
      </c>
      <c r="K559" s="8" t="str">
        <f>TRIM(Dataset!K559)</f>
        <v>1</v>
      </c>
      <c r="L559" s="6" t="str">
        <f>Dataset!L559</f>
        <v>WINTER15</v>
      </c>
      <c r="M559" s="6" t="str">
        <f>TRIM(Dataset!M559)</f>
        <v>Facebook</v>
      </c>
      <c r="N559" s="10">
        <f>VALUE(TRIM(Dataset!N559))</f>
        <v>56.2</v>
      </c>
    </row>
    <row r="560" spans="1:14" x14ac:dyDescent="0.35">
      <c r="A560" s="6" t="str">
        <f>TRIM(Dataset!A560)</f>
        <v>ORD200558</v>
      </c>
      <c r="B560" s="4">
        <f>Dataset!B560</f>
        <v>45489</v>
      </c>
      <c r="C560" s="6" t="str">
        <f>TRIM(Dataset!C560)</f>
        <v>C76766</v>
      </c>
      <c r="D560" s="6" t="str">
        <f>TRIM(Dataset!D560)</f>
        <v>Phone</v>
      </c>
      <c r="E560" s="13">
        <f>VALUE(TRIM(Dataset!E560))</f>
        <v>4</v>
      </c>
      <c r="F560" s="10">
        <f>VALUE(TRIM(Dataset!F560))</f>
        <v>628.12</v>
      </c>
      <c r="G560" s="6" t="str">
        <f>TRIM(Dataset!G560)</f>
        <v>485 Main St</v>
      </c>
      <c r="H560" s="6" t="str">
        <f>TRIM(Dataset!H560)</f>
        <v>Online</v>
      </c>
      <c r="I560" s="6" t="str">
        <f>TRIM(Dataset!I560)</f>
        <v>Delivered</v>
      </c>
      <c r="J560" s="6" t="str">
        <f>TRIM(Dataset!J560)</f>
        <v>TRK32052962</v>
      </c>
      <c r="K560" s="8" t="str">
        <f>TRIM(Dataset!K560)</f>
        <v>6</v>
      </c>
      <c r="L560" s="6" t="str">
        <f>Dataset!L560</f>
        <v>WINTER15</v>
      </c>
      <c r="M560" s="6" t="str">
        <f>TRIM(Dataset!M560)</f>
        <v>Instagram</v>
      </c>
      <c r="N560" s="10">
        <f>VALUE(TRIM(Dataset!N560))</f>
        <v>2512.48</v>
      </c>
    </row>
    <row r="561" spans="1:14" x14ac:dyDescent="0.35">
      <c r="A561" s="6" t="str">
        <f>TRIM(Dataset!A561)</f>
        <v>ORD200559</v>
      </c>
      <c r="B561" s="4">
        <f>Dataset!B561</f>
        <v>45397</v>
      </c>
      <c r="C561" s="6" t="str">
        <f>TRIM(Dataset!C561)</f>
        <v>C22981</v>
      </c>
      <c r="D561" s="6" t="str">
        <f>TRIM(Dataset!D561)</f>
        <v>Desk</v>
      </c>
      <c r="E561" s="13">
        <f>VALUE(TRIM(Dataset!E561))</f>
        <v>3</v>
      </c>
      <c r="F561" s="10">
        <f>VALUE(TRIM(Dataset!F561))</f>
        <v>157.4</v>
      </c>
      <c r="G561" s="6" t="str">
        <f>TRIM(Dataset!G561)</f>
        <v>454 Main St</v>
      </c>
      <c r="H561" s="6" t="str">
        <f>TRIM(Dataset!H561)</f>
        <v>Debit Card</v>
      </c>
      <c r="I561" s="6" t="str">
        <f>TRIM(Dataset!I561)</f>
        <v>Cancelled</v>
      </c>
      <c r="J561" s="6" t="str">
        <f>TRIM(Dataset!J561)</f>
        <v>TRK10115285</v>
      </c>
      <c r="K561" s="8" t="str">
        <f>TRIM(Dataset!K561)</f>
        <v>7</v>
      </c>
      <c r="L561" s="6" t="str">
        <f>Dataset!L561</f>
        <v>WINTER15</v>
      </c>
      <c r="M561" s="6" t="str">
        <f>TRIM(Dataset!M561)</f>
        <v>Email</v>
      </c>
      <c r="N561" s="10">
        <f>VALUE(TRIM(Dataset!N561))</f>
        <v>472.2</v>
      </c>
    </row>
    <row r="562" spans="1:14" x14ac:dyDescent="0.35">
      <c r="A562" s="6" t="str">
        <f>TRIM(Dataset!A562)</f>
        <v>ORD200560</v>
      </c>
      <c r="B562" s="4">
        <f>Dataset!B562</f>
        <v>44957</v>
      </c>
      <c r="C562" s="6" t="str">
        <f>TRIM(Dataset!C562)</f>
        <v>C33634</v>
      </c>
      <c r="D562" s="6" t="str">
        <f>TRIM(Dataset!D562)</f>
        <v>Monitor</v>
      </c>
      <c r="E562" s="13">
        <f>VALUE(TRIM(Dataset!E562))</f>
        <v>4</v>
      </c>
      <c r="F562" s="10">
        <f>VALUE(TRIM(Dataset!F562))</f>
        <v>588.85</v>
      </c>
      <c r="G562" s="6" t="str">
        <f>TRIM(Dataset!G562)</f>
        <v>524 Main St</v>
      </c>
      <c r="H562" s="6" t="str">
        <f>TRIM(Dataset!H562)</f>
        <v>Gift Card</v>
      </c>
      <c r="I562" s="6" t="str">
        <f>TRIM(Dataset!I562)</f>
        <v>Pending</v>
      </c>
      <c r="J562" s="6" t="str">
        <f>TRIM(Dataset!J562)</f>
        <v>TRK93168008</v>
      </c>
      <c r="K562" s="8" t="str">
        <f>TRIM(Dataset!K562)</f>
        <v>7</v>
      </c>
      <c r="L562" s="6" t="s">
        <v>4284</v>
      </c>
      <c r="M562" s="6" t="str">
        <f>TRIM(Dataset!M562)</f>
        <v>Email</v>
      </c>
      <c r="N562" s="10">
        <f>VALUE(TRIM(Dataset!N562))</f>
        <v>2355.4</v>
      </c>
    </row>
    <row r="563" spans="1:14" x14ac:dyDescent="0.35">
      <c r="A563" s="6" t="str">
        <f>TRIM(Dataset!A563)</f>
        <v>ORD200561</v>
      </c>
      <c r="B563" s="4">
        <f>Dataset!B563</f>
        <v>44957</v>
      </c>
      <c r="C563" s="6" t="str">
        <f>TRIM(Dataset!C563)</f>
        <v>C96822</v>
      </c>
      <c r="D563" s="6" t="str">
        <f>TRIM(Dataset!D563)</f>
        <v>Printer</v>
      </c>
      <c r="E563" s="13">
        <f>VALUE(TRIM(Dataset!E563))</f>
        <v>2</v>
      </c>
      <c r="F563" s="10">
        <f>VALUE(TRIM(Dataset!F563))</f>
        <v>494.78</v>
      </c>
      <c r="G563" s="6" t="str">
        <f>TRIM(Dataset!G563)</f>
        <v>198 Main St</v>
      </c>
      <c r="H563" s="6" t="str">
        <f>TRIM(Dataset!H563)</f>
        <v>Online</v>
      </c>
      <c r="I563" s="6" t="str">
        <f>TRIM(Dataset!I563)</f>
        <v>Shipped</v>
      </c>
      <c r="J563" s="6" t="str">
        <f>TRIM(Dataset!J563)</f>
        <v>TRK89180077</v>
      </c>
      <c r="K563" s="8" t="str">
        <f>TRIM(Dataset!K563)</f>
        <v>2</v>
      </c>
      <c r="L563" s="6" t="s">
        <v>4284</v>
      </c>
      <c r="M563" s="6" t="str">
        <f>TRIM(Dataset!M563)</f>
        <v>Google</v>
      </c>
      <c r="N563" s="10">
        <f>VALUE(TRIM(Dataset!N563))</f>
        <v>989.56</v>
      </c>
    </row>
    <row r="564" spans="1:14" x14ac:dyDescent="0.35">
      <c r="A564" s="6" t="str">
        <f>TRIM(Dataset!A564)</f>
        <v>ORD200562</v>
      </c>
      <c r="B564" s="4">
        <f>Dataset!B564</f>
        <v>45205</v>
      </c>
      <c r="C564" s="6" t="str">
        <f>TRIM(Dataset!C564)</f>
        <v>C76675</v>
      </c>
      <c r="D564" s="6" t="str">
        <f>TRIM(Dataset!D564)</f>
        <v>Laptop</v>
      </c>
      <c r="E564" s="13">
        <f>VALUE(TRIM(Dataset!E564))</f>
        <v>3</v>
      </c>
      <c r="F564" s="10">
        <f>VALUE(TRIM(Dataset!F564))</f>
        <v>663.93</v>
      </c>
      <c r="G564" s="6" t="str">
        <f>TRIM(Dataset!G564)</f>
        <v>922 Main St</v>
      </c>
      <c r="H564" s="6" t="str">
        <f>TRIM(Dataset!H564)</f>
        <v>Gift Card</v>
      </c>
      <c r="I564" s="6" t="str">
        <f>TRIM(Dataset!I564)</f>
        <v>Returned</v>
      </c>
      <c r="J564" s="6" t="str">
        <f>TRIM(Dataset!J564)</f>
        <v>TRK28043915</v>
      </c>
      <c r="K564" s="8" t="str">
        <f>TRIM(Dataset!K564)</f>
        <v>6</v>
      </c>
      <c r="L564" s="6" t="str">
        <f>Dataset!L564</f>
        <v>FREESHIP</v>
      </c>
      <c r="M564" s="6" t="str">
        <f>TRIM(Dataset!M564)</f>
        <v>Email</v>
      </c>
      <c r="N564" s="10">
        <f>VALUE(TRIM(Dataset!N564))</f>
        <v>1991.79</v>
      </c>
    </row>
    <row r="565" spans="1:14" x14ac:dyDescent="0.35">
      <c r="A565" s="6" t="str">
        <f>TRIM(Dataset!A565)</f>
        <v>ORD200563</v>
      </c>
      <c r="B565" s="4">
        <f>Dataset!B565</f>
        <v>45272</v>
      </c>
      <c r="C565" s="6" t="str">
        <f>TRIM(Dataset!C565)</f>
        <v>C12039</v>
      </c>
      <c r="D565" s="6" t="str">
        <f>TRIM(Dataset!D565)</f>
        <v>Laptop</v>
      </c>
      <c r="E565" s="13">
        <f>VALUE(TRIM(Dataset!E565))</f>
        <v>1</v>
      </c>
      <c r="F565" s="10">
        <f>VALUE(TRIM(Dataset!F565))</f>
        <v>132.68</v>
      </c>
      <c r="G565" s="6" t="str">
        <f>TRIM(Dataset!G565)</f>
        <v>844 Main St</v>
      </c>
      <c r="H565" s="6" t="str">
        <f>TRIM(Dataset!H565)</f>
        <v>Debit Card</v>
      </c>
      <c r="I565" s="6" t="str">
        <f>TRIM(Dataset!I565)</f>
        <v>Returned</v>
      </c>
      <c r="J565" s="6" t="str">
        <f>TRIM(Dataset!J565)</f>
        <v>TRK68645763</v>
      </c>
      <c r="K565" s="8" t="str">
        <f>TRIM(Dataset!K565)</f>
        <v>1</v>
      </c>
      <c r="L565" s="6" t="str">
        <f>Dataset!L565</f>
        <v>SAVE10</v>
      </c>
      <c r="M565" s="6" t="str">
        <f>TRIM(Dataset!M565)</f>
        <v>Referral</v>
      </c>
      <c r="N565" s="10">
        <f>VALUE(TRIM(Dataset!N565))</f>
        <v>132.68</v>
      </c>
    </row>
    <row r="566" spans="1:14" x14ac:dyDescent="0.35">
      <c r="A566" s="6" t="str">
        <f>TRIM(Dataset!A566)</f>
        <v>ORD200564</v>
      </c>
      <c r="B566" s="4">
        <f>Dataset!B566</f>
        <v>45755</v>
      </c>
      <c r="C566" s="6" t="str">
        <f>TRIM(Dataset!C566)</f>
        <v>C93309</v>
      </c>
      <c r="D566" s="6" t="str">
        <f>TRIM(Dataset!D566)</f>
        <v>Desk</v>
      </c>
      <c r="E566" s="13">
        <f>VALUE(TRIM(Dataset!E566))</f>
        <v>5</v>
      </c>
      <c r="F566" s="10">
        <f>VALUE(TRIM(Dataset!F566))</f>
        <v>364.28</v>
      </c>
      <c r="G566" s="6" t="str">
        <f>TRIM(Dataset!G566)</f>
        <v>734 Main St</v>
      </c>
      <c r="H566" s="6" t="str">
        <f>TRIM(Dataset!H566)</f>
        <v>Credit Card</v>
      </c>
      <c r="I566" s="6" t="str">
        <f>TRIM(Dataset!I566)</f>
        <v>Cancelled</v>
      </c>
      <c r="J566" s="6" t="str">
        <f>TRIM(Dataset!J566)</f>
        <v>TRK99446987</v>
      </c>
      <c r="K566" s="8" t="str">
        <f>TRIM(Dataset!K566)</f>
        <v>5</v>
      </c>
      <c r="L566" s="6" t="str">
        <f>Dataset!L566</f>
        <v>WINTER15</v>
      </c>
      <c r="M566" s="6" t="str">
        <f>TRIM(Dataset!M566)</f>
        <v>Google</v>
      </c>
      <c r="N566" s="10">
        <f>VALUE(TRIM(Dataset!N566))</f>
        <v>1821.4</v>
      </c>
    </row>
    <row r="567" spans="1:14" x14ac:dyDescent="0.35">
      <c r="A567" s="6" t="str">
        <f>TRIM(Dataset!A567)</f>
        <v>ORD200565</v>
      </c>
      <c r="B567" s="4">
        <f>Dataset!B567</f>
        <v>45060</v>
      </c>
      <c r="C567" s="6" t="str">
        <f>TRIM(Dataset!C567)</f>
        <v>C62042</v>
      </c>
      <c r="D567" s="6" t="str">
        <f>TRIM(Dataset!D567)</f>
        <v>Tablet</v>
      </c>
      <c r="E567" s="13">
        <f>VALUE(TRIM(Dataset!E567))</f>
        <v>5</v>
      </c>
      <c r="F567" s="10">
        <f>VALUE(TRIM(Dataset!F567))</f>
        <v>307.98</v>
      </c>
      <c r="G567" s="6" t="str">
        <f>TRIM(Dataset!G567)</f>
        <v>214 Main St</v>
      </c>
      <c r="H567" s="6" t="str">
        <f>TRIM(Dataset!H567)</f>
        <v>Online</v>
      </c>
      <c r="I567" s="6" t="str">
        <f>TRIM(Dataset!I567)</f>
        <v>Pending</v>
      </c>
      <c r="J567" s="6" t="str">
        <f>TRIM(Dataset!J567)</f>
        <v>TRK42605492</v>
      </c>
      <c r="K567" s="8" t="str">
        <f>TRIM(Dataset!K567)</f>
        <v>10</v>
      </c>
      <c r="L567" s="6" t="s">
        <v>4284</v>
      </c>
      <c r="M567" s="6" t="str">
        <f>TRIM(Dataset!M567)</f>
        <v>Facebook</v>
      </c>
      <c r="N567" s="10">
        <f>VALUE(TRIM(Dataset!N567))</f>
        <v>1539.9</v>
      </c>
    </row>
    <row r="568" spans="1:14" x14ac:dyDescent="0.35">
      <c r="A568" s="6" t="str">
        <f>TRIM(Dataset!A568)</f>
        <v>ORD200566</v>
      </c>
      <c r="B568" s="4">
        <f>Dataset!B568</f>
        <v>45400</v>
      </c>
      <c r="C568" s="6" t="str">
        <f>TRIM(Dataset!C568)</f>
        <v>C83223</v>
      </c>
      <c r="D568" s="6" t="str">
        <f>TRIM(Dataset!D568)</f>
        <v>Phone</v>
      </c>
      <c r="E568" s="13">
        <f>VALUE(TRIM(Dataset!E568))</f>
        <v>4</v>
      </c>
      <c r="F568" s="10">
        <f>VALUE(TRIM(Dataset!F568))</f>
        <v>162.71</v>
      </c>
      <c r="G568" s="6" t="str">
        <f>TRIM(Dataset!G568)</f>
        <v>167 Main St</v>
      </c>
      <c r="H568" s="6" t="str">
        <f>TRIM(Dataset!H568)</f>
        <v>Cash</v>
      </c>
      <c r="I568" s="6" t="str">
        <f>TRIM(Dataset!I568)</f>
        <v>Cancelled</v>
      </c>
      <c r="J568" s="6" t="str">
        <f>TRIM(Dataset!J568)</f>
        <v>TRK54339083</v>
      </c>
      <c r="K568" s="8" t="str">
        <f>TRIM(Dataset!K568)</f>
        <v>7</v>
      </c>
      <c r="L568" s="6" t="str">
        <f>Dataset!L568</f>
        <v>FREESHIP</v>
      </c>
      <c r="M568" s="6" t="str">
        <f>TRIM(Dataset!M568)</f>
        <v>Email</v>
      </c>
      <c r="N568" s="10">
        <f>VALUE(TRIM(Dataset!N568))</f>
        <v>650.84</v>
      </c>
    </row>
    <row r="569" spans="1:14" x14ac:dyDescent="0.35">
      <c r="A569" s="6" t="str">
        <f>TRIM(Dataset!A569)</f>
        <v>ORD200567</v>
      </c>
      <c r="B569" s="4">
        <f>Dataset!B569</f>
        <v>45565</v>
      </c>
      <c r="C569" s="6" t="str">
        <f>TRIM(Dataset!C569)</f>
        <v>C92575</v>
      </c>
      <c r="D569" s="6" t="str">
        <f>TRIM(Dataset!D569)</f>
        <v>Chair</v>
      </c>
      <c r="E569" s="13">
        <f>VALUE(TRIM(Dataset!E569))</f>
        <v>5</v>
      </c>
      <c r="F569" s="10">
        <f>VALUE(TRIM(Dataset!F569))</f>
        <v>492.94</v>
      </c>
      <c r="G569" s="6" t="str">
        <f>TRIM(Dataset!G569)</f>
        <v>153 Main St</v>
      </c>
      <c r="H569" s="6" t="str">
        <f>TRIM(Dataset!H569)</f>
        <v>Cash</v>
      </c>
      <c r="I569" s="6" t="str">
        <f>TRIM(Dataset!I569)</f>
        <v>Shipped</v>
      </c>
      <c r="J569" s="6" t="str">
        <f>TRIM(Dataset!J569)</f>
        <v>TRK53579227</v>
      </c>
      <c r="K569" s="8" t="str">
        <f>TRIM(Dataset!K569)</f>
        <v>10</v>
      </c>
      <c r="L569" s="6" t="str">
        <f>Dataset!L569</f>
        <v>FREESHIP</v>
      </c>
      <c r="M569" s="6" t="str">
        <f>TRIM(Dataset!M569)</f>
        <v>Email</v>
      </c>
      <c r="N569" s="10">
        <f>VALUE(TRIM(Dataset!N569))</f>
        <v>2464.6999999999998</v>
      </c>
    </row>
    <row r="570" spans="1:14" x14ac:dyDescent="0.35">
      <c r="A570" s="6" t="str">
        <f>TRIM(Dataset!A570)</f>
        <v>ORD200568</v>
      </c>
      <c r="B570" s="4">
        <f>Dataset!B570</f>
        <v>44995</v>
      </c>
      <c r="C570" s="6" t="str">
        <f>TRIM(Dataset!C570)</f>
        <v>C29072</v>
      </c>
      <c r="D570" s="6" t="str">
        <f>TRIM(Dataset!D570)</f>
        <v>Laptop</v>
      </c>
      <c r="E570" s="13">
        <f>VALUE(TRIM(Dataset!E570))</f>
        <v>2</v>
      </c>
      <c r="F570" s="10">
        <f>VALUE(TRIM(Dataset!F570))</f>
        <v>343.99</v>
      </c>
      <c r="G570" s="6" t="str">
        <f>TRIM(Dataset!G570)</f>
        <v>312 Main St</v>
      </c>
      <c r="H570" s="6" t="str">
        <f>TRIM(Dataset!H570)</f>
        <v>Online</v>
      </c>
      <c r="I570" s="6" t="str">
        <f>TRIM(Dataset!I570)</f>
        <v>Delivered</v>
      </c>
      <c r="J570" s="6" t="str">
        <f>TRIM(Dataset!J570)</f>
        <v>TRK72334047</v>
      </c>
      <c r="K570" s="8" t="str">
        <f>TRIM(Dataset!K570)</f>
        <v>4</v>
      </c>
      <c r="L570" s="6" t="s">
        <v>4284</v>
      </c>
      <c r="M570" s="6" t="str">
        <f>TRIM(Dataset!M570)</f>
        <v>Google</v>
      </c>
      <c r="N570" s="10">
        <f>VALUE(TRIM(Dataset!N570))</f>
        <v>687.98</v>
      </c>
    </row>
    <row r="571" spans="1:14" x14ac:dyDescent="0.35">
      <c r="A571" s="6" t="str">
        <f>TRIM(Dataset!A571)</f>
        <v>ORD200569</v>
      </c>
      <c r="B571" s="4">
        <f>Dataset!B571</f>
        <v>45738</v>
      </c>
      <c r="C571" s="6" t="str">
        <f>TRIM(Dataset!C571)</f>
        <v>C25783</v>
      </c>
      <c r="D571" s="6" t="str">
        <f>TRIM(Dataset!D571)</f>
        <v>Desk</v>
      </c>
      <c r="E571" s="13">
        <f>VALUE(TRIM(Dataset!E571))</f>
        <v>5</v>
      </c>
      <c r="F571" s="10">
        <f>VALUE(TRIM(Dataset!F571))</f>
        <v>250.68</v>
      </c>
      <c r="G571" s="6" t="str">
        <f>TRIM(Dataset!G571)</f>
        <v>672 Main St</v>
      </c>
      <c r="H571" s="6" t="str">
        <f>TRIM(Dataset!H571)</f>
        <v>Cash</v>
      </c>
      <c r="I571" s="6" t="str">
        <f>TRIM(Dataset!I571)</f>
        <v>Shipped</v>
      </c>
      <c r="J571" s="6" t="str">
        <f>TRIM(Dataset!J571)</f>
        <v>TRK13289741</v>
      </c>
      <c r="K571" s="8" t="str">
        <f>TRIM(Dataset!K571)</f>
        <v>8</v>
      </c>
      <c r="L571" s="6" t="str">
        <f>Dataset!L571</f>
        <v>SAVE10</v>
      </c>
      <c r="M571" s="6" t="str">
        <f>TRIM(Dataset!M571)</f>
        <v>Instagram</v>
      </c>
      <c r="N571" s="10">
        <f>VALUE(TRIM(Dataset!N571))</f>
        <v>1253.4000000000001</v>
      </c>
    </row>
    <row r="572" spans="1:14" x14ac:dyDescent="0.35">
      <c r="A572" s="6" t="str">
        <f>TRIM(Dataset!A572)</f>
        <v>ORD200570</v>
      </c>
      <c r="B572" s="4">
        <f>Dataset!B572</f>
        <v>45653</v>
      </c>
      <c r="C572" s="6" t="str">
        <f>TRIM(Dataset!C572)</f>
        <v>C63727</v>
      </c>
      <c r="D572" s="6" t="str">
        <f>TRIM(Dataset!D572)</f>
        <v>Desk</v>
      </c>
      <c r="E572" s="13">
        <f>VALUE(TRIM(Dataset!E572))</f>
        <v>2</v>
      </c>
      <c r="F572" s="10">
        <f>VALUE(TRIM(Dataset!F572))</f>
        <v>362.14</v>
      </c>
      <c r="G572" s="6" t="str">
        <f>TRIM(Dataset!G572)</f>
        <v>122 Main St</v>
      </c>
      <c r="H572" s="6" t="str">
        <f>TRIM(Dataset!H572)</f>
        <v>Debit Card</v>
      </c>
      <c r="I572" s="6" t="str">
        <f>TRIM(Dataset!I572)</f>
        <v>Pending</v>
      </c>
      <c r="J572" s="6" t="str">
        <f>TRIM(Dataset!J572)</f>
        <v>TRK13611021</v>
      </c>
      <c r="K572" s="8" t="str">
        <f>TRIM(Dataset!K572)</f>
        <v>2</v>
      </c>
      <c r="L572" s="6" t="str">
        <f>Dataset!L572</f>
        <v>SAVE10</v>
      </c>
      <c r="M572" s="6" t="str">
        <f>TRIM(Dataset!M572)</f>
        <v>Instagram</v>
      </c>
      <c r="N572" s="10">
        <f>VALUE(TRIM(Dataset!N572))</f>
        <v>724.28</v>
      </c>
    </row>
    <row r="573" spans="1:14" x14ac:dyDescent="0.35">
      <c r="A573" s="6" t="str">
        <f>TRIM(Dataset!A573)</f>
        <v>ORD200571</v>
      </c>
      <c r="B573" s="4">
        <f>Dataset!B573</f>
        <v>45619</v>
      </c>
      <c r="C573" s="6" t="str">
        <f>TRIM(Dataset!C573)</f>
        <v>C42365</v>
      </c>
      <c r="D573" s="6" t="str">
        <f>TRIM(Dataset!D573)</f>
        <v>Tablet</v>
      </c>
      <c r="E573" s="13">
        <f>VALUE(TRIM(Dataset!E573))</f>
        <v>1</v>
      </c>
      <c r="F573" s="10">
        <f>VALUE(TRIM(Dataset!F573))</f>
        <v>214.08</v>
      </c>
      <c r="G573" s="6" t="str">
        <f>TRIM(Dataset!G573)</f>
        <v>867 Main St</v>
      </c>
      <c r="H573" s="6" t="str">
        <f>TRIM(Dataset!H573)</f>
        <v>Gift Card</v>
      </c>
      <c r="I573" s="6" t="str">
        <f>TRIM(Dataset!I573)</f>
        <v>Returned</v>
      </c>
      <c r="J573" s="6" t="str">
        <f>TRIM(Dataset!J573)</f>
        <v>TRK39563288</v>
      </c>
      <c r="K573" s="8" t="str">
        <f>TRIM(Dataset!K573)</f>
        <v>2</v>
      </c>
      <c r="L573" s="6" t="str">
        <f>Dataset!L573</f>
        <v>WINTER15</v>
      </c>
      <c r="M573" s="6" t="str">
        <f>TRIM(Dataset!M573)</f>
        <v>Google</v>
      </c>
      <c r="N573" s="10">
        <f>VALUE(TRIM(Dataset!N573))</f>
        <v>214.08</v>
      </c>
    </row>
    <row r="574" spans="1:14" x14ac:dyDescent="0.35">
      <c r="A574" s="6" t="str">
        <f>TRIM(Dataset!A574)</f>
        <v>ORD200572</v>
      </c>
      <c r="B574" s="4">
        <f>Dataset!B574</f>
        <v>45241</v>
      </c>
      <c r="C574" s="6" t="str">
        <f>TRIM(Dataset!C574)</f>
        <v>C27438</v>
      </c>
      <c r="D574" s="6" t="str">
        <f>TRIM(Dataset!D574)</f>
        <v>Printer</v>
      </c>
      <c r="E574" s="13">
        <f>VALUE(TRIM(Dataset!E574))</f>
        <v>1</v>
      </c>
      <c r="F574" s="10">
        <f>VALUE(TRIM(Dataset!F574))</f>
        <v>70.319999999999993</v>
      </c>
      <c r="G574" s="6" t="str">
        <f>TRIM(Dataset!G574)</f>
        <v>341 Main St</v>
      </c>
      <c r="H574" s="6" t="str">
        <f>TRIM(Dataset!H574)</f>
        <v>Cash</v>
      </c>
      <c r="I574" s="6" t="str">
        <f>TRIM(Dataset!I574)</f>
        <v>Returned</v>
      </c>
      <c r="J574" s="6" t="str">
        <f>TRIM(Dataset!J574)</f>
        <v>TRK69125497</v>
      </c>
      <c r="K574" s="8" t="str">
        <f>TRIM(Dataset!K574)</f>
        <v>4</v>
      </c>
      <c r="L574" s="6" t="str">
        <f>Dataset!L574</f>
        <v>WINTER15</v>
      </c>
      <c r="M574" s="6" t="str">
        <f>TRIM(Dataset!M574)</f>
        <v>Facebook</v>
      </c>
      <c r="N574" s="10">
        <f>VALUE(TRIM(Dataset!N574))</f>
        <v>70.319999999999993</v>
      </c>
    </row>
    <row r="575" spans="1:14" x14ac:dyDescent="0.35">
      <c r="A575" s="6" t="str">
        <f>TRIM(Dataset!A575)</f>
        <v>ORD200573</v>
      </c>
      <c r="B575" s="4">
        <f>Dataset!B575</f>
        <v>44951</v>
      </c>
      <c r="C575" s="6" t="str">
        <f>TRIM(Dataset!C575)</f>
        <v>C13205</v>
      </c>
      <c r="D575" s="6" t="str">
        <f>TRIM(Dataset!D575)</f>
        <v>Chair</v>
      </c>
      <c r="E575" s="13">
        <f>VALUE(TRIM(Dataset!E575))</f>
        <v>5</v>
      </c>
      <c r="F575" s="10">
        <f>VALUE(TRIM(Dataset!F575))</f>
        <v>421.42</v>
      </c>
      <c r="G575" s="6" t="str">
        <f>TRIM(Dataset!G575)</f>
        <v>522 Main St</v>
      </c>
      <c r="H575" s="6" t="str">
        <f>TRIM(Dataset!H575)</f>
        <v>Debit Card</v>
      </c>
      <c r="I575" s="6" t="str">
        <f>TRIM(Dataset!I575)</f>
        <v>Cancelled</v>
      </c>
      <c r="J575" s="6" t="str">
        <f>TRIM(Dataset!J575)</f>
        <v>TRK30686578</v>
      </c>
      <c r="K575" s="8" t="str">
        <f>TRIM(Dataset!K575)</f>
        <v>7</v>
      </c>
      <c r="L575" s="6" t="s">
        <v>4284</v>
      </c>
      <c r="M575" s="6" t="str">
        <f>TRIM(Dataset!M575)</f>
        <v>Instagram</v>
      </c>
      <c r="N575" s="10">
        <f>VALUE(TRIM(Dataset!N575))</f>
        <v>2107.1</v>
      </c>
    </row>
    <row r="576" spans="1:14" x14ac:dyDescent="0.35">
      <c r="A576" s="6" t="str">
        <f>TRIM(Dataset!A576)</f>
        <v>ORD200574</v>
      </c>
      <c r="B576" s="4">
        <f>Dataset!B576</f>
        <v>45315</v>
      </c>
      <c r="C576" s="6" t="str">
        <f>TRIM(Dataset!C576)</f>
        <v>C29685</v>
      </c>
      <c r="D576" s="6" t="str">
        <f>TRIM(Dataset!D576)</f>
        <v>Chair</v>
      </c>
      <c r="E576" s="13">
        <f>VALUE(TRIM(Dataset!E576))</f>
        <v>5</v>
      </c>
      <c r="F576" s="10">
        <f>VALUE(TRIM(Dataset!F576))</f>
        <v>384.69</v>
      </c>
      <c r="G576" s="6" t="str">
        <f>TRIM(Dataset!G576)</f>
        <v>275 Main St</v>
      </c>
      <c r="H576" s="6" t="str">
        <f>TRIM(Dataset!H576)</f>
        <v>Credit Card</v>
      </c>
      <c r="I576" s="6" t="str">
        <f>TRIM(Dataset!I576)</f>
        <v>Pending</v>
      </c>
      <c r="J576" s="6" t="str">
        <f>TRIM(Dataset!J576)</f>
        <v>TRK97733212</v>
      </c>
      <c r="K576" s="8" t="str">
        <f>TRIM(Dataset!K576)</f>
        <v>6</v>
      </c>
      <c r="L576" s="6" t="str">
        <f>Dataset!L576</f>
        <v>FREESHIP</v>
      </c>
      <c r="M576" s="6" t="str">
        <f>TRIM(Dataset!M576)</f>
        <v>Email</v>
      </c>
      <c r="N576" s="10">
        <f>VALUE(TRIM(Dataset!N576))</f>
        <v>1923.45</v>
      </c>
    </row>
    <row r="577" spans="1:14" x14ac:dyDescent="0.35">
      <c r="A577" s="6" t="str">
        <f>TRIM(Dataset!A577)</f>
        <v>ORD200575</v>
      </c>
      <c r="B577" s="4">
        <f>Dataset!B577</f>
        <v>45084</v>
      </c>
      <c r="C577" s="6" t="str">
        <f>TRIM(Dataset!C577)</f>
        <v>C74005</v>
      </c>
      <c r="D577" s="6" t="str">
        <f>TRIM(Dataset!D577)</f>
        <v>Chair</v>
      </c>
      <c r="E577" s="13">
        <f>VALUE(TRIM(Dataset!E577))</f>
        <v>5</v>
      </c>
      <c r="F577" s="10">
        <f>VALUE(TRIM(Dataset!F577))</f>
        <v>448.15</v>
      </c>
      <c r="G577" s="6" t="str">
        <f>TRIM(Dataset!G577)</f>
        <v>528 Main St</v>
      </c>
      <c r="H577" s="6" t="str">
        <f>TRIM(Dataset!H577)</f>
        <v>Gift Card</v>
      </c>
      <c r="I577" s="6" t="str">
        <f>TRIM(Dataset!I577)</f>
        <v>Returned</v>
      </c>
      <c r="J577" s="6" t="str">
        <f>TRIM(Dataset!J577)</f>
        <v>TRK61640534</v>
      </c>
      <c r="K577" s="8" t="str">
        <f>TRIM(Dataset!K577)</f>
        <v>7</v>
      </c>
      <c r="L577" s="6" t="str">
        <f>Dataset!L577</f>
        <v>SAVE10</v>
      </c>
      <c r="M577" s="6" t="str">
        <f>TRIM(Dataset!M577)</f>
        <v>Google</v>
      </c>
      <c r="N577" s="10">
        <f>VALUE(TRIM(Dataset!N577))</f>
        <v>2240.75</v>
      </c>
    </row>
    <row r="578" spans="1:14" x14ac:dyDescent="0.35">
      <c r="A578" s="6" t="str">
        <f>TRIM(Dataset!A578)</f>
        <v>ORD200576</v>
      </c>
      <c r="B578" s="4">
        <f>Dataset!B578</f>
        <v>45441</v>
      </c>
      <c r="C578" s="6" t="str">
        <f>TRIM(Dataset!C578)</f>
        <v>C14457</v>
      </c>
      <c r="D578" s="6" t="str">
        <f>TRIM(Dataset!D578)</f>
        <v>Laptop</v>
      </c>
      <c r="E578" s="13">
        <f>VALUE(TRIM(Dataset!E578))</f>
        <v>5</v>
      </c>
      <c r="F578" s="10">
        <f>VALUE(TRIM(Dataset!F578))</f>
        <v>79.08</v>
      </c>
      <c r="G578" s="6" t="str">
        <f>TRIM(Dataset!G578)</f>
        <v>747 Main St</v>
      </c>
      <c r="H578" s="6" t="str">
        <f>TRIM(Dataset!H578)</f>
        <v>Cash</v>
      </c>
      <c r="I578" s="6" t="str">
        <f>TRIM(Dataset!I578)</f>
        <v>Pending</v>
      </c>
      <c r="J578" s="6" t="str">
        <f>TRIM(Dataset!J578)</f>
        <v>TRK42517811</v>
      </c>
      <c r="K578" s="8" t="str">
        <f>TRIM(Dataset!K578)</f>
        <v>8</v>
      </c>
      <c r="L578" s="6" t="s">
        <v>4284</v>
      </c>
      <c r="M578" s="6" t="str">
        <f>TRIM(Dataset!M578)</f>
        <v>Facebook</v>
      </c>
      <c r="N578" s="10">
        <f>VALUE(TRIM(Dataset!N578))</f>
        <v>395.4</v>
      </c>
    </row>
    <row r="579" spans="1:14" x14ac:dyDescent="0.35">
      <c r="A579" s="6" t="str">
        <f>TRIM(Dataset!A579)</f>
        <v>ORD200577</v>
      </c>
      <c r="B579" s="4">
        <f>Dataset!B579</f>
        <v>44948</v>
      </c>
      <c r="C579" s="6" t="str">
        <f>TRIM(Dataset!C579)</f>
        <v>C77046</v>
      </c>
      <c r="D579" s="6" t="str">
        <f>TRIM(Dataset!D579)</f>
        <v>Tablet</v>
      </c>
      <c r="E579" s="13">
        <f>VALUE(TRIM(Dataset!E579))</f>
        <v>4</v>
      </c>
      <c r="F579" s="10">
        <f>VALUE(TRIM(Dataset!F579))</f>
        <v>185.41</v>
      </c>
      <c r="G579" s="6" t="str">
        <f>TRIM(Dataset!G579)</f>
        <v>967 Main St</v>
      </c>
      <c r="H579" s="6" t="str">
        <f>TRIM(Dataset!H579)</f>
        <v>Online</v>
      </c>
      <c r="I579" s="6" t="str">
        <f>TRIM(Dataset!I579)</f>
        <v>Returned</v>
      </c>
      <c r="J579" s="6" t="str">
        <f>TRIM(Dataset!J579)</f>
        <v>TRK44401497</v>
      </c>
      <c r="K579" s="8" t="str">
        <f>TRIM(Dataset!K579)</f>
        <v>9</v>
      </c>
      <c r="L579" s="6" t="str">
        <f>Dataset!L579</f>
        <v>WINTER15</v>
      </c>
      <c r="M579" s="6" t="str">
        <f>TRIM(Dataset!M579)</f>
        <v>Google</v>
      </c>
      <c r="N579" s="10">
        <f>VALUE(TRIM(Dataset!N579))</f>
        <v>741.64</v>
      </c>
    </row>
    <row r="580" spans="1:14" x14ac:dyDescent="0.35">
      <c r="A580" s="6" t="str">
        <f>TRIM(Dataset!A580)</f>
        <v>ORD200578</v>
      </c>
      <c r="B580" s="4">
        <f>Dataset!B580</f>
        <v>45575</v>
      </c>
      <c r="C580" s="6" t="str">
        <f>TRIM(Dataset!C580)</f>
        <v>C50415</v>
      </c>
      <c r="D580" s="6" t="str">
        <f>TRIM(Dataset!D580)</f>
        <v>Monitor</v>
      </c>
      <c r="E580" s="13">
        <f>VALUE(TRIM(Dataset!E580))</f>
        <v>5</v>
      </c>
      <c r="F580" s="10">
        <f>VALUE(TRIM(Dataset!F580))</f>
        <v>566.07000000000005</v>
      </c>
      <c r="G580" s="6" t="str">
        <f>TRIM(Dataset!G580)</f>
        <v>587 Main St</v>
      </c>
      <c r="H580" s="6" t="str">
        <f>TRIM(Dataset!H580)</f>
        <v>Credit Card</v>
      </c>
      <c r="I580" s="6" t="str">
        <f>TRIM(Dataset!I580)</f>
        <v>Delivered</v>
      </c>
      <c r="J580" s="6" t="str">
        <f>TRIM(Dataset!J580)</f>
        <v>TRK41345634</v>
      </c>
      <c r="K580" s="8" t="str">
        <f>TRIM(Dataset!K580)</f>
        <v>6</v>
      </c>
      <c r="L580" s="6" t="str">
        <f>Dataset!L580</f>
        <v>SAVE10</v>
      </c>
      <c r="M580" s="6" t="str">
        <f>TRIM(Dataset!M580)</f>
        <v>Instagram</v>
      </c>
      <c r="N580" s="10">
        <f>VALUE(TRIM(Dataset!N580))</f>
        <v>2830.35</v>
      </c>
    </row>
    <row r="581" spans="1:14" x14ac:dyDescent="0.35">
      <c r="A581" s="6" t="str">
        <f>TRIM(Dataset!A581)</f>
        <v>ORD200579</v>
      </c>
      <c r="B581" s="4">
        <f>Dataset!B581</f>
        <v>45081</v>
      </c>
      <c r="C581" s="6" t="str">
        <f>TRIM(Dataset!C581)</f>
        <v>C73999</v>
      </c>
      <c r="D581" s="6" t="str">
        <f>TRIM(Dataset!D581)</f>
        <v>Tablet</v>
      </c>
      <c r="E581" s="13">
        <f>VALUE(TRIM(Dataset!E581))</f>
        <v>2</v>
      </c>
      <c r="F581" s="10">
        <f>VALUE(TRIM(Dataset!F581))</f>
        <v>187.88</v>
      </c>
      <c r="G581" s="6" t="str">
        <f>TRIM(Dataset!G581)</f>
        <v>413 Main St</v>
      </c>
      <c r="H581" s="6" t="str">
        <f>TRIM(Dataset!H581)</f>
        <v>Online</v>
      </c>
      <c r="I581" s="6" t="str">
        <f>TRIM(Dataset!I581)</f>
        <v>Shipped</v>
      </c>
      <c r="J581" s="6" t="str">
        <f>TRIM(Dataset!J581)</f>
        <v>TRK67919507</v>
      </c>
      <c r="K581" s="8" t="str">
        <f>TRIM(Dataset!K581)</f>
        <v>4</v>
      </c>
      <c r="L581" s="6" t="str">
        <f>Dataset!L581</f>
        <v>WINTER15</v>
      </c>
      <c r="M581" s="6" t="str">
        <f>TRIM(Dataset!M581)</f>
        <v>Facebook</v>
      </c>
      <c r="N581" s="10">
        <f>VALUE(TRIM(Dataset!N581))</f>
        <v>375.76</v>
      </c>
    </row>
    <row r="582" spans="1:14" x14ac:dyDescent="0.35">
      <c r="A582" s="6" t="str">
        <f>TRIM(Dataset!A582)</f>
        <v>ORD200580</v>
      </c>
      <c r="B582" s="4">
        <f>Dataset!B582</f>
        <v>45244</v>
      </c>
      <c r="C582" s="6" t="str">
        <f>TRIM(Dataset!C582)</f>
        <v>C71076</v>
      </c>
      <c r="D582" s="6" t="str">
        <f>TRIM(Dataset!D582)</f>
        <v>Monitor</v>
      </c>
      <c r="E582" s="13">
        <f>VALUE(TRIM(Dataset!E582))</f>
        <v>2</v>
      </c>
      <c r="F582" s="10">
        <f>VALUE(TRIM(Dataset!F582))</f>
        <v>255.99</v>
      </c>
      <c r="G582" s="6" t="str">
        <f>TRIM(Dataset!G582)</f>
        <v>340 Main St</v>
      </c>
      <c r="H582" s="6" t="str">
        <f>TRIM(Dataset!H582)</f>
        <v>Credit Card</v>
      </c>
      <c r="I582" s="6" t="str">
        <f>TRIM(Dataset!I582)</f>
        <v>Delivered</v>
      </c>
      <c r="J582" s="6" t="str">
        <f>TRIM(Dataset!J582)</f>
        <v>TRK65148292</v>
      </c>
      <c r="K582" s="8" t="str">
        <f>TRIM(Dataset!K582)</f>
        <v>4</v>
      </c>
      <c r="L582" s="6" t="str">
        <f>Dataset!L582</f>
        <v>SAVE10</v>
      </c>
      <c r="M582" s="6" t="str">
        <f>TRIM(Dataset!M582)</f>
        <v>Instagram</v>
      </c>
      <c r="N582" s="10">
        <f>VALUE(TRIM(Dataset!N582))</f>
        <v>511.98</v>
      </c>
    </row>
    <row r="583" spans="1:14" x14ac:dyDescent="0.35">
      <c r="A583" s="6" t="str">
        <f>TRIM(Dataset!A583)</f>
        <v>ORD200581</v>
      </c>
      <c r="B583" s="4">
        <f>Dataset!B583</f>
        <v>45607</v>
      </c>
      <c r="C583" s="6" t="str">
        <f>TRIM(Dataset!C583)</f>
        <v>C44674</v>
      </c>
      <c r="D583" s="6" t="str">
        <f>TRIM(Dataset!D583)</f>
        <v>Laptop</v>
      </c>
      <c r="E583" s="13">
        <f>VALUE(TRIM(Dataset!E583))</f>
        <v>1</v>
      </c>
      <c r="F583" s="10">
        <f>VALUE(TRIM(Dataset!F583))</f>
        <v>627.34</v>
      </c>
      <c r="G583" s="6" t="str">
        <f>TRIM(Dataset!G583)</f>
        <v>942 Main St</v>
      </c>
      <c r="H583" s="6" t="str">
        <f>TRIM(Dataset!H583)</f>
        <v>Online</v>
      </c>
      <c r="I583" s="6" t="str">
        <f>TRIM(Dataset!I583)</f>
        <v>Delivered</v>
      </c>
      <c r="J583" s="6" t="str">
        <f>TRIM(Dataset!J583)</f>
        <v>TRK87158684</v>
      </c>
      <c r="K583" s="8" t="str">
        <f>TRIM(Dataset!K583)</f>
        <v>1</v>
      </c>
      <c r="L583" s="6" t="s">
        <v>4284</v>
      </c>
      <c r="M583" s="6" t="str">
        <f>TRIM(Dataset!M583)</f>
        <v>Referral</v>
      </c>
      <c r="N583" s="10">
        <f>VALUE(TRIM(Dataset!N583))</f>
        <v>627.34</v>
      </c>
    </row>
    <row r="584" spans="1:14" x14ac:dyDescent="0.35">
      <c r="A584" s="6" t="str">
        <f>TRIM(Dataset!A584)</f>
        <v>ORD200582</v>
      </c>
      <c r="B584" s="4">
        <f>Dataset!B584</f>
        <v>45341</v>
      </c>
      <c r="C584" s="6" t="str">
        <f>TRIM(Dataset!C584)</f>
        <v>C15228</v>
      </c>
      <c r="D584" s="6" t="str">
        <f>TRIM(Dataset!D584)</f>
        <v>Tablet</v>
      </c>
      <c r="E584" s="13">
        <f>VALUE(TRIM(Dataset!E584))</f>
        <v>3</v>
      </c>
      <c r="F584" s="10">
        <f>VALUE(TRIM(Dataset!F584))</f>
        <v>474.14</v>
      </c>
      <c r="G584" s="6" t="str">
        <f>TRIM(Dataset!G584)</f>
        <v>558 Main St</v>
      </c>
      <c r="H584" s="6" t="str">
        <f>TRIM(Dataset!H584)</f>
        <v>Gift Card</v>
      </c>
      <c r="I584" s="6" t="str">
        <f>TRIM(Dataset!I584)</f>
        <v>Shipped</v>
      </c>
      <c r="J584" s="6" t="str">
        <f>TRIM(Dataset!J584)</f>
        <v>TRK33860620</v>
      </c>
      <c r="K584" s="8" t="str">
        <f>TRIM(Dataset!K584)</f>
        <v>8</v>
      </c>
      <c r="L584" s="6" t="str">
        <f>Dataset!L584</f>
        <v>WINTER15</v>
      </c>
      <c r="M584" s="6" t="str">
        <f>TRIM(Dataset!M584)</f>
        <v>Google</v>
      </c>
      <c r="N584" s="10">
        <f>VALUE(TRIM(Dataset!N584))</f>
        <v>1422.42</v>
      </c>
    </row>
    <row r="585" spans="1:14" x14ac:dyDescent="0.35">
      <c r="A585" s="6" t="str">
        <f>TRIM(Dataset!A585)</f>
        <v>ORD200583</v>
      </c>
      <c r="B585" s="4">
        <f>Dataset!B585</f>
        <v>45823</v>
      </c>
      <c r="C585" s="6" t="str">
        <f>TRIM(Dataset!C585)</f>
        <v>C27072</v>
      </c>
      <c r="D585" s="6" t="str">
        <f>TRIM(Dataset!D585)</f>
        <v>Chair</v>
      </c>
      <c r="E585" s="13">
        <f>VALUE(TRIM(Dataset!E585))</f>
        <v>3</v>
      </c>
      <c r="F585" s="10">
        <f>VALUE(TRIM(Dataset!F585))</f>
        <v>154.37</v>
      </c>
      <c r="G585" s="6" t="str">
        <f>TRIM(Dataset!G585)</f>
        <v>996 Main St</v>
      </c>
      <c r="H585" s="6" t="str">
        <f>TRIM(Dataset!H585)</f>
        <v>Gift Card</v>
      </c>
      <c r="I585" s="6" t="str">
        <f>TRIM(Dataset!I585)</f>
        <v>Delivered</v>
      </c>
      <c r="J585" s="6" t="str">
        <f>TRIM(Dataset!J585)</f>
        <v>TRK29750379</v>
      </c>
      <c r="K585" s="8" t="str">
        <f>TRIM(Dataset!K585)</f>
        <v>4</v>
      </c>
      <c r="L585" s="6" t="s">
        <v>4284</v>
      </c>
      <c r="M585" s="6" t="str">
        <f>TRIM(Dataset!M585)</f>
        <v>Instagram</v>
      </c>
      <c r="N585" s="10">
        <f>VALUE(TRIM(Dataset!N585))</f>
        <v>463.11</v>
      </c>
    </row>
    <row r="586" spans="1:14" x14ac:dyDescent="0.35">
      <c r="A586" s="6" t="str">
        <f>TRIM(Dataset!A586)</f>
        <v>ORD200584</v>
      </c>
      <c r="B586" s="4">
        <f>Dataset!B586</f>
        <v>45737</v>
      </c>
      <c r="C586" s="6" t="str">
        <f>TRIM(Dataset!C586)</f>
        <v>C15257</v>
      </c>
      <c r="D586" s="6" t="str">
        <f>TRIM(Dataset!D586)</f>
        <v>Chair</v>
      </c>
      <c r="E586" s="13">
        <f>VALUE(TRIM(Dataset!E586))</f>
        <v>4</v>
      </c>
      <c r="F586" s="10">
        <f>VALUE(TRIM(Dataset!F586))</f>
        <v>145.05000000000001</v>
      </c>
      <c r="G586" s="6" t="str">
        <f>TRIM(Dataset!G586)</f>
        <v>626 Main St</v>
      </c>
      <c r="H586" s="6" t="str">
        <f>TRIM(Dataset!H586)</f>
        <v>Online</v>
      </c>
      <c r="I586" s="6" t="str">
        <f>TRIM(Dataset!I586)</f>
        <v>Delivered</v>
      </c>
      <c r="J586" s="6" t="str">
        <f>TRIM(Dataset!J586)</f>
        <v>TRK28779938</v>
      </c>
      <c r="K586" s="8" t="str">
        <f>TRIM(Dataset!K586)</f>
        <v>6</v>
      </c>
      <c r="L586" s="6" t="str">
        <f>Dataset!L586</f>
        <v>SAVE10</v>
      </c>
      <c r="M586" s="6" t="str">
        <f>TRIM(Dataset!M586)</f>
        <v>Google</v>
      </c>
      <c r="N586" s="10">
        <f>VALUE(TRIM(Dataset!N586))</f>
        <v>580.20000000000005</v>
      </c>
    </row>
    <row r="587" spans="1:14" x14ac:dyDescent="0.35">
      <c r="A587" s="6" t="str">
        <f>TRIM(Dataset!A587)</f>
        <v>ORD200585</v>
      </c>
      <c r="B587" s="4">
        <f>Dataset!B587</f>
        <v>45158</v>
      </c>
      <c r="C587" s="6" t="str">
        <f>TRIM(Dataset!C587)</f>
        <v>C91486</v>
      </c>
      <c r="D587" s="6" t="str">
        <f>TRIM(Dataset!D587)</f>
        <v>Tablet</v>
      </c>
      <c r="E587" s="13">
        <f>VALUE(TRIM(Dataset!E587))</f>
        <v>4</v>
      </c>
      <c r="F587" s="10">
        <f>VALUE(TRIM(Dataset!F587))</f>
        <v>67.08</v>
      </c>
      <c r="G587" s="6" t="str">
        <f>TRIM(Dataset!G587)</f>
        <v>907 Main St</v>
      </c>
      <c r="H587" s="6" t="str">
        <f>TRIM(Dataset!H587)</f>
        <v>Cash</v>
      </c>
      <c r="I587" s="6" t="str">
        <f>TRIM(Dataset!I587)</f>
        <v>Returned</v>
      </c>
      <c r="J587" s="6" t="str">
        <f>TRIM(Dataset!J587)</f>
        <v>TRK79617136</v>
      </c>
      <c r="K587" s="8" t="str">
        <f>TRIM(Dataset!K587)</f>
        <v>8</v>
      </c>
      <c r="L587" s="6" t="str">
        <f>Dataset!L587</f>
        <v>WINTER15</v>
      </c>
      <c r="M587" s="6" t="str">
        <f>TRIM(Dataset!M587)</f>
        <v>Google</v>
      </c>
      <c r="N587" s="10">
        <f>VALUE(TRIM(Dataset!N587))</f>
        <v>268.32</v>
      </c>
    </row>
    <row r="588" spans="1:14" x14ac:dyDescent="0.35">
      <c r="A588" s="6" t="str">
        <f>TRIM(Dataset!A588)</f>
        <v>ORD200586</v>
      </c>
      <c r="B588" s="4">
        <f>Dataset!B588</f>
        <v>45606</v>
      </c>
      <c r="C588" s="6" t="str">
        <f>TRIM(Dataset!C588)</f>
        <v>C17389</v>
      </c>
      <c r="D588" s="6" t="str">
        <f>TRIM(Dataset!D588)</f>
        <v>Monitor</v>
      </c>
      <c r="E588" s="13">
        <f>VALUE(TRIM(Dataset!E588))</f>
        <v>1</v>
      </c>
      <c r="F588" s="10">
        <f>VALUE(TRIM(Dataset!F588))</f>
        <v>522.08000000000004</v>
      </c>
      <c r="G588" s="6" t="str">
        <f>TRIM(Dataset!G588)</f>
        <v>905 Main St</v>
      </c>
      <c r="H588" s="6" t="str">
        <f>TRIM(Dataset!H588)</f>
        <v>Gift Card</v>
      </c>
      <c r="I588" s="6" t="str">
        <f>TRIM(Dataset!I588)</f>
        <v>Returned</v>
      </c>
      <c r="J588" s="6" t="str">
        <f>TRIM(Dataset!J588)</f>
        <v>TRK98857880</v>
      </c>
      <c r="K588" s="8" t="str">
        <f>TRIM(Dataset!K588)</f>
        <v>5</v>
      </c>
      <c r="L588" s="6" t="str">
        <f>Dataset!L588</f>
        <v>FREESHIP</v>
      </c>
      <c r="M588" s="6" t="str">
        <f>TRIM(Dataset!M588)</f>
        <v>Referral</v>
      </c>
      <c r="N588" s="10">
        <f>VALUE(TRIM(Dataset!N588))</f>
        <v>522.08000000000004</v>
      </c>
    </row>
    <row r="589" spans="1:14" x14ac:dyDescent="0.35">
      <c r="A589" s="6" t="str">
        <f>TRIM(Dataset!A589)</f>
        <v>ORD200587</v>
      </c>
      <c r="B589" s="4">
        <f>Dataset!B589</f>
        <v>45089</v>
      </c>
      <c r="C589" s="6" t="str">
        <f>TRIM(Dataset!C589)</f>
        <v>C18820</v>
      </c>
      <c r="D589" s="6" t="str">
        <f>TRIM(Dataset!D589)</f>
        <v>Monitor</v>
      </c>
      <c r="E589" s="13">
        <f>VALUE(TRIM(Dataset!E589))</f>
        <v>5</v>
      </c>
      <c r="F589" s="10">
        <f>VALUE(TRIM(Dataset!F589))</f>
        <v>514.6</v>
      </c>
      <c r="G589" s="6" t="str">
        <f>TRIM(Dataset!G589)</f>
        <v>347 Main St</v>
      </c>
      <c r="H589" s="6" t="str">
        <f>TRIM(Dataset!H589)</f>
        <v>Gift Card</v>
      </c>
      <c r="I589" s="6" t="str">
        <f>TRIM(Dataset!I589)</f>
        <v>Delivered</v>
      </c>
      <c r="J589" s="6" t="str">
        <f>TRIM(Dataset!J589)</f>
        <v>TRK91547425</v>
      </c>
      <c r="K589" s="8" t="str">
        <f>TRIM(Dataset!K589)</f>
        <v>10</v>
      </c>
      <c r="L589" s="6" t="str">
        <f>Dataset!L589</f>
        <v>FREESHIP</v>
      </c>
      <c r="M589" s="6" t="str">
        <f>TRIM(Dataset!M589)</f>
        <v>Instagram</v>
      </c>
      <c r="N589" s="10">
        <f>VALUE(TRIM(Dataset!N589))</f>
        <v>2573</v>
      </c>
    </row>
    <row r="590" spans="1:14" x14ac:dyDescent="0.35">
      <c r="A590" s="6" t="str">
        <f>TRIM(Dataset!A590)</f>
        <v>ORD200588</v>
      </c>
      <c r="B590" s="4">
        <f>Dataset!B590</f>
        <v>45636</v>
      </c>
      <c r="C590" s="6" t="str">
        <f>TRIM(Dataset!C590)</f>
        <v>C61849</v>
      </c>
      <c r="D590" s="6" t="str">
        <f>TRIM(Dataset!D590)</f>
        <v>Monitor</v>
      </c>
      <c r="E590" s="13">
        <f>VALUE(TRIM(Dataset!E590))</f>
        <v>4</v>
      </c>
      <c r="F590" s="10">
        <f>VALUE(TRIM(Dataset!F590))</f>
        <v>577.82000000000005</v>
      </c>
      <c r="G590" s="6" t="str">
        <f>TRIM(Dataset!G590)</f>
        <v>811 Main St</v>
      </c>
      <c r="H590" s="6" t="str">
        <f>TRIM(Dataset!H590)</f>
        <v>Credit Card</v>
      </c>
      <c r="I590" s="6" t="str">
        <f>TRIM(Dataset!I590)</f>
        <v>Delivered</v>
      </c>
      <c r="J590" s="6" t="str">
        <f>TRIM(Dataset!J590)</f>
        <v>TRK47613918</v>
      </c>
      <c r="K590" s="8" t="str">
        <f>TRIM(Dataset!K590)</f>
        <v>9</v>
      </c>
      <c r="L590" s="6" t="s">
        <v>4284</v>
      </c>
      <c r="M590" s="6" t="str">
        <f>TRIM(Dataset!M590)</f>
        <v>Google</v>
      </c>
      <c r="N590" s="10">
        <f>VALUE(TRIM(Dataset!N590))</f>
        <v>2311.2800000000002</v>
      </c>
    </row>
    <row r="591" spans="1:14" x14ac:dyDescent="0.35">
      <c r="A591" s="6" t="str">
        <f>TRIM(Dataset!A591)</f>
        <v>ORD200589</v>
      </c>
      <c r="B591" s="4">
        <f>Dataset!B591</f>
        <v>45698</v>
      </c>
      <c r="C591" s="6" t="str">
        <f>TRIM(Dataset!C591)</f>
        <v>C84041</v>
      </c>
      <c r="D591" s="6" t="str">
        <f>TRIM(Dataset!D591)</f>
        <v>Laptop</v>
      </c>
      <c r="E591" s="13">
        <f>VALUE(TRIM(Dataset!E591))</f>
        <v>2</v>
      </c>
      <c r="F591" s="10">
        <f>VALUE(TRIM(Dataset!F591))</f>
        <v>500.8</v>
      </c>
      <c r="G591" s="6" t="str">
        <f>TRIM(Dataset!G591)</f>
        <v>900 Main St</v>
      </c>
      <c r="H591" s="6" t="str">
        <f>TRIM(Dataset!H591)</f>
        <v>Cash</v>
      </c>
      <c r="I591" s="6" t="str">
        <f>TRIM(Dataset!I591)</f>
        <v>Delivered</v>
      </c>
      <c r="J591" s="6" t="str">
        <f>TRIM(Dataset!J591)</f>
        <v>TRK84920444</v>
      </c>
      <c r="K591" s="8" t="str">
        <f>TRIM(Dataset!K591)</f>
        <v>3</v>
      </c>
      <c r="L591" s="6" t="str">
        <f>Dataset!L591</f>
        <v>FREESHIP</v>
      </c>
      <c r="M591" s="6" t="str">
        <f>TRIM(Dataset!M591)</f>
        <v>Referral</v>
      </c>
      <c r="N591" s="10">
        <f>VALUE(TRIM(Dataset!N591))</f>
        <v>1001.6</v>
      </c>
    </row>
    <row r="592" spans="1:14" x14ac:dyDescent="0.35">
      <c r="A592" s="6" t="str">
        <f>TRIM(Dataset!A592)</f>
        <v>ORD200590</v>
      </c>
      <c r="B592" s="4">
        <f>Dataset!B592</f>
        <v>45179</v>
      </c>
      <c r="C592" s="6" t="str">
        <f>TRIM(Dataset!C592)</f>
        <v>C55757</v>
      </c>
      <c r="D592" s="6" t="str">
        <f>TRIM(Dataset!D592)</f>
        <v>Printer</v>
      </c>
      <c r="E592" s="13">
        <f>VALUE(TRIM(Dataset!E592))</f>
        <v>2</v>
      </c>
      <c r="F592" s="10">
        <f>VALUE(TRIM(Dataset!F592))</f>
        <v>461.13</v>
      </c>
      <c r="G592" s="6" t="str">
        <f>TRIM(Dataset!G592)</f>
        <v>175 Main St</v>
      </c>
      <c r="H592" s="6" t="str">
        <f>TRIM(Dataset!H592)</f>
        <v>Gift Card</v>
      </c>
      <c r="I592" s="6" t="str">
        <f>TRIM(Dataset!I592)</f>
        <v>Returned</v>
      </c>
      <c r="J592" s="6" t="str">
        <f>TRIM(Dataset!J592)</f>
        <v>TRK27356242</v>
      </c>
      <c r="K592" s="8" t="str">
        <f>TRIM(Dataset!K592)</f>
        <v>4</v>
      </c>
      <c r="L592" s="6" t="s">
        <v>4284</v>
      </c>
      <c r="M592" s="6" t="str">
        <f>TRIM(Dataset!M592)</f>
        <v>Email</v>
      </c>
      <c r="N592" s="10">
        <f>VALUE(TRIM(Dataset!N592))</f>
        <v>922.26</v>
      </c>
    </row>
    <row r="593" spans="1:14" x14ac:dyDescent="0.35">
      <c r="A593" s="6" t="str">
        <f>TRIM(Dataset!A593)</f>
        <v>ORD200591</v>
      </c>
      <c r="B593" s="4">
        <f>Dataset!B593</f>
        <v>45614</v>
      </c>
      <c r="C593" s="6" t="str">
        <f>TRIM(Dataset!C593)</f>
        <v>C18187</v>
      </c>
      <c r="D593" s="6" t="str">
        <f>TRIM(Dataset!D593)</f>
        <v>Laptop</v>
      </c>
      <c r="E593" s="13">
        <f>VALUE(TRIM(Dataset!E593))</f>
        <v>1</v>
      </c>
      <c r="F593" s="10">
        <f>VALUE(TRIM(Dataset!F593))</f>
        <v>605.28</v>
      </c>
      <c r="G593" s="6" t="str">
        <f>TRIM(Dataset!G593)</f>
        <v>470 Main St</v>
      </c>
      <c r="H593" s="6" t="str">
        <f>TRIM(Dataset!H593)</f>
        <v>Gift Card</v>
      </c>
      <c r="I593" s="6" t="str">
        <f>TRIM(Dataset!I593)</f>
        <v>Shipped</v>
      </c>
      <c r="J593" s="6" t="str">
        <f>TRIM(Dataset!J593)</f>
        <v>TRK50528185</v>
      </c>
      <c r="K593" s="8" t="str">
        <f>TRIM(Dataset!K593)</f>
        <v>3</v>
      </c>
      <c r="L593" s="6" t="str">
        <f>Dataset!L593</f>
        <v>FREESHIP</v>
      </c>
      <c r="M593" s="6" t="str">
        <f>TRIM(Dataset!M593)</f>
        <v>Referral</v>
      </c>
      <c r="N593" s="10">
        <f>VALUE(TRIM(Dataset!N593))</f>
        <v>605.28</v>
      </c>
    </row>
    <row r="594" spans="1:14" x14ac:dyDescent="0.35">
      <c r="A594" s="6" t="str">
        <f>TRIM(Dataset!A594)</f>
        <v>ORD200592</v>
      </c>
      <c r="B594" s="4">
        <f>Dataset!B594</f>
        <v>45405</v>
      </c>
      <c r="C594" s="6" t="str">
        <f>TRIM(Dataset!C594)</f>
        <v>C42306</v>
      </c>
      <c r="D594" s="6" t="str">
        <f>TRIM(Dataset!D594)</f>
        <v>Phone</v>
      </c>
      <c r="E594" s="13">
        <f>VALUE(TRIM(Dataset!E594))</f>
        <v>3</v>
      </c>
      <c r="F594" s="10">
        <f>VALUE(TRIM(Dataset!F594))</f>
        <v>204.27</v>
      </c>
      <c r="G594" s="6" t="str">
        <f>TRIM(Dataset!G594)</f>
        <v>938 Main St</v>
      </c>
      <c r="H594" s="6" t="str">
        <f>TRIM(Dataset!H594)</f>
        <v>Online</v>
      </c>
      <c r="I594" s="6" t="str">
        <f>TRIM(Dataset!I594)</f>
        <v>Returned</v>
      </c>
      <c r="J594" s="6" t="str">
        <f>TRIM(Dataset!J594)</f>
        <v>TRK15499648</v>
      </c>
      <c r="K594" s="8" t="str">
        <f>TRIM(Dataset!K594)</f>
        <v>4</v>
      </c>
      <c r="L594" s="6" t="s">
        <v>4284</v>
      </c>
      <c r="M594" s="6" t="str">
        <f>TRIM(Dataset!M594)</f>
        <v>Google</v>
      </c>
      <c r="N594" s="10">
        <f>VALUE(TRIM(Dataset!N594))</f>
        <v>612.80999999999995</v>
      </c>
    </row>
    <row r="595" spans="1:14" x14ac:dyDescent="0.35">
      <c r="A595" s="6" t="str">
        <f>TRIM(Dataset!A595)</f>
        <v>ORD200593</v>
      </c>
      <c r="B595" s="4">
        <f>Dataset!B595</f>
        <v>45140</v>
      </c>
      <c r="C595" s="6" t="str">
        <f>TRIM(Dataset!C595)</f>
        <v>C51024</v>
      </c>
      <c r="D595" s="6" t="str">
        <f>TRIM(Dataset!D595)</f>
        <v>Monitor</v>
      </c>
      <c r="E595" s="13">
        <f>VALUE(TRIM(Dataset!E595))</f>
        <v>1</v>
      </c>
      <c r="F595" s="10">
        <f>VALUE(TRIM(Dataset!F595))</f>
        <v>489.8</v>
      </c>
      <c r="G595" s="6" t="str">
        <f>TRIM(Dataset!G595)</f>
        <v>636 Main St</v>
      </c>
      <c r="H595" s="6" t="str">
        <f>TRIM(Dataset!H595)</f>
        <v>Gift Card</v>
      </c>
      <c r="I595" s="6" t="str">
        <f>TRIM(Dataset!I595)</f>
        <v>Shipped</v>
      </c>
      <c r="J595" s="6" t="str">
        <f>TRIM(Dataset!J595)</f>
        <v>TRK31375086</v>
      </c>
      <c r="K595" s="8" t="str">
        <f>TRIM(Dataset!K595)</f>
        <v>4</v>
      </c>
      <c r="L595" s="6" t="str">
        <f>Dataset!L595</f>
        <v>FREESHIP</v>
      </c>
      <c r="M595" s="6" t="str">
        <f>TRIM(Dataset!M595)</f>
        <v>Facebook</v>
      </c>
      <c r="N595" s="10">
        <f>VALUE(TRIM(Dataset!N595))</f>
        <v>489.8</v>
      </c>
    </row>
    <row r="596" spans="1:14" x14ac:dyDescent="0.35">
      <c r="A596" s="6" t="str">
        <f>TRIM(Dataset!A596)</f>
        <v>ORD200594</v>
      </c>
      <c r="B596" s="4">
        <f>Dataset!B596</f>
        <v>45343</v>
      </c>
      <c r="C596" s="6" t="str">
        <f>TRIM(Dataset!C596)</f>
        <v>C40140</v>
      </c>
      <c r="D596" s="6" t="str">
        <f>TRIM(Dataset!D596)</f>
        <v>Phone</v>
      </c>
      <c r="E596" s="13">
        <f>VALUE(TRIM(Dataset!E596))</f>
        <v>5</v>
      </c>
      <c r="F596" s="10">
        <f>VALUE(TRIM(Dataset!F596))</f>
        <v>72.64</v>
      </c>
      <c r="G596" s="6" t="str">
        <f>TRIM(Dataset!G596)</f>
        <v>598 Main St</v>
      </c>
      <c r="H596" s="6" t="str">
        <f>TRIM(Dataset!H596)</f>
        <v>Credit Card</v>
      </c>
      <c r="I596" s="6" t="str">
        <f>TRIM(Dataset!I596)</f>
        <v>Cancelled</v>
      </c>
      <c r="J596" s="6" t="str">
        <f>TRIM(Dataset!J596)</f>
        <v>TRK12671989</v>
      </c>
      <c r="K596" s="8" t="str">
        <f>TRIM(Dataset!K596)</f>
        <v>7</v>
      </c>
      <c r="L596" s="6" t="s">
        <v>4284</v>
      </c>
      <c r="M596" s="6" t="str">
        <f>TRIM(Dataset!M596)</f>
        <v>Email</v>
      </c>
      <c r="N596" s="10">
        <f>VALUE(TRIM(Dataset!N596))</f>
        <v>363.2</v>
      </c>
    </row>
    <row r="597" spans="1:14" x14ac:dyDescent="0.35">
      <c r="A597" s="6" t="str">
        <f>TRIM(Dataset!A597)</f>
        <v>ORD200595</v>
      </c>
      <c r="B597" s="4">
        <f>Dataset!B597</f>
        <v>45667</v>
      </c>
      <c r="C597" s="6" t="str">
        <f>TRIM(Dataset!C597)</f>
        <v>C72596</v>
      </c>
      <c r="D597" s="6" t="str">
        <f>TRIM(Dataset!D597)</f>
        <v>Printer</v>
      </c>
      <c r="E597" s="13">
        <f>VALUE(TRIM(Dataset!E597))</f>
        <v>2</v>
      </c>
      <c r="F597" s="10">
        <f>VALUE(TRIM(Dataset!F597))</f>
        <v>385.16</v>
      </c>
      <c r="G597" s="6" t="str">
        <f>TRIM(Dataset!G597)</f>
        <v>491 Main St</v>
      </c>
      <c r="H597" s="6" t="str">
        <f>TRIM(Dataset!H597)</f>
        <v>Online</v>
      </c>
      <c r="I597" s="6" t="str">
        <f>TRIM(Dataset!I597)</f>
        <v>Pending</v>
      </c>
      <c r="J597" s="6" t="str">
        <f>TRIM(Dataset!J597)</f>
        <v>TRK83870446</v>
      </c>
      <c r="K597" s="8" t="str">
        <f>TRIM(Dataset!K597)</f>
        <v>7</v>
      </c>
      <c r="L597" s="6" t="str">
        <f>Dataset!L597</f>
        <v>SAVE10</v>
      </c>
      <c r="M597" s="6" t="str">
        <f>TRIM(Dataset!M597)</f>
        <v>Email</v>
      </c>
      <c r="N597" s="10">
        <f>VALUE(TRIM(Dataset!N597))</f>
        <v>770.32</v>
      </c>
    </row>
    <row r="598" spans="1:14" x14ac:dyDescent="0.35">
      <c r="A598" s="6" t="str">
        <f>TRIM(Dataset!A598)</f>
        <v>ORD200596</v>
      </c>
      <c r="B598" s="4">
        <f>Dataset!B598</f>
        <v>45089</v>
      </c>
      <c r="C598" s="6" t="str">
        <f>TRIM(Dataset!C598)</f>
        <v>C91805</v>
      </c>
      <c r="D598" s="6" t="str">
        <f>TRIM(Dataset!D598)</f>
        <v>Desk</v>
      </c>
      <c r="E598" s="13">
        <f>VALUE(TRIM(Dataset!E598))</f>
        <v>3</v>
      </c>
      <c r="F598" s="10">
        <f>VALUE(TRIM(Dataset!F598))</f>
        <v>606.41</v>
      </c>
      <c r="G598" s="6" t="str">
        <f>TRIM(Dataset!G598)</f>
        <v>653 Main St</v>
      </c>
      <c r="H598" s="6" t="str">
        <f>TRIM(Dataset!H598)</f>
        <v>Debit Card</v>
      </c>
      <c r="I598" s="6" t="str">
        <f>TRIM(Dataset!I598)</f>
        <v>Returned</v>
      </c>
      <c r="J598" s="6" t="str">
        <f>TRIM(Dataset!J598)</f>
        <v>TRK34504030</v>
      </c>
      <c r="K598" s="8" t="str">
        <f>TRIM(Dataset!K598)</f>
        <v>7</v>
      </c>
      <c r="L598" s="6" t="str">
        <f>Dataset!L598</f>
        <v>FREESHIP</v>
      </c>
      <c r="M598" s="6" t="str">
        <f>TRIM(Dataset!M598)</f>
        <v>Facebook</v>
      </c>
      <c r="N598" s="10">
        <f>VALUE(TRIM(Dataset!N598))</f>
        <v>1819.23</v>
      </c>
    </row>
    <row r="599" spans="1:14" x14ac:dyDescent="0.35">
      <c r="A599" s="6" t="str">
        <f>TRIM(Dataset!A599)</f>
        <v>ORD200597</v>
      </c>
      <c r="B599" s="4">
        <f>Dataset!B599</f>
        <v>45621</v>
      </c>
      <c r="C599" s="6" t="str">
        <f>TRIM(Dataset!C599)</f>
        <v>C40538</v>
      </c>
      <c r="D599" s="6" t="str">
        <f>TRIM(Dataset!D599)</f>
        <v>Desk</v>
      </c>
      <c r="E599" s="13">
        <f>VALUE(TRIM(Dataset!E599))</f>
        <v>2</v>
      </c>
      <c r="F599" s="10">
        <f>VALUE(TRIM(Dataset!F599))</f>
        <v>211.82</v>
      </c>
      <c r="G599" s="6" t="str">
        <f>TRIM(Dataset!G599)</f>
        <v>700 Main St</v>
      </c>
      <c r="H599" s="6" t="str">
        <f>TRIM(Dataset!H599)</f>
        <v>Gift Card</v>
      </c>
      <c r="I599" s="6" t="str">
        <f>TRIM(Dataset!I599)</f>
        <v>Cancelled</v>
      </c>
      <c r="J599" s="6" t="str">
        <f>TRIM(Dataset!J599)</f>
        <v>TRK29821356</v>
      </c>
      <c r="K599" s="8" t="str">
        <f>TRIM(Dataset!K599)</f>
        <v>4</v>
      </c>
      <c r="L599" s="6" t="str">
        <f>Dataset!L599</f>
        <v>WINTER15</v>
      </c>
      <c r="M599" s="6" t="str">
        <f>TRIM(Dataset!M599)</f>
        <v>Email</v>
      </c>
      <c r="N599" s="10">
        <f>VALUE(TRIM(Dataset!N599))</f>
        <v>423.64</v>
      </c>
    </row>
    <row r="600" spans="1:14" x14ac:dyDescent="0.35">
      <c r="A600" s="6" t="str">
        <f>TRIM(Dataset!A600)</f>
        <v>ORD200598</v>
      </c>
      <c r="B600" s="4">
        <f>Dataset!B600</f>
        <v>45408</v>
      </c>
      <c r="C600" s="6" t="str">
        <f>TRIM(Dataset!C600)</f>
        <v>C60329</v>
      </c>
      <c r="D600" s="6" t="str">
        <f>TRIM(Dataset!D600)</f>
        <v>Desk</v>
      </c>
      <c r="E600" s="13">
        <f>VALUE(TRIM(Dataset!E600))</f>
        <v>5</v>
      </c>
      <c r="F600" s="10">
        <f>VALUE(TRIM(Dataset!F600))</f>
        <v>495.35</v>
      </c>
      <c r="G600" s="6" t="str">
        <f>TRIM(Dataset!G600)</f>
        <v>826 Main St</v>
      </c>
      <c r="H600" s="6" t="str">
        <f>TRIM(Dataset!H600)</f>
        <v>Credit Card</v>
      </c>
      <c r="I600" s="6" t="str">
        <f>TRIM(Dataset!I600)</f>
        <v>Pending</v>
      </c>
      <c r="J600" s="6" t="str">
        <f>TRIM(Dataset!J600)</f>
        <v>TRK59069987</v>
      </c>
      <c r="K600" s="8" t="str">
        <f>TRIM(Dataset!K600)</f>
        <v>5</v>
      </c>
      <c r="L600" s="6" t="s">
        <v>4284</v>
      </c>
      <c r="M600" s="6" t="str">
        <f>TRIM(Dataset!M600)</f>
        <v>Facebook</v>
      </c>
      <c r="N600" s="10">
        <f>VALUE(TRIM(Dataset!N600))</f>
        <v>2476.75</v>
      </c>
    </row>
    <row r="601" spans="1:14" x14ac:dyDescent="0.35">
      <c r="A601" s="6" t="str">
        <f>TRIM(Dataset!A601)</f>
        <v>ORD200599</v>
      </c>
      <c r="B601" s="4">
        <f>Dataset!B601</f>
        <v>45107</v>
      </c>
      <c r="C601" s="6" t="str">
        <f>TRIM(Dataset!C601)</f>
        <v>C28740</v>
      </c>
      <c r="D601" s="6" t="str">
        <f>TRIM(Dataset!D601)</f>
        <v>Chair</v>
      </c>
      <c r="E601" s="13">
        <f>VALUE(TRIM(Dataset!E601))</f>
        <v>3</v>
      </c>
      <c r="F601" s="10">
        <f>VALUE(TRIM(Dataset!F601))</f>
        <v>556.99</v>
      </c>
      <c r="G601" s="6" t="str">
        <f>TRIM(Dataset!G601)</f>
        <v>123 Main St</v>
      </c>
      <c r="H601" s="6" t="str">
        <f>TRIM(Dataset!H601)</f>
        <v>Online</v>
      </c>
      <c r="I601" s="6" t="str">
        <f>TRIM(Dataset!I601)</f>
        <v>Cancelled</v>
      </c>
      <c r="J601" s="6" t="str">
        <f>TRIM(Dataset!J601)</f>
        <v>TRK33642221</v>
      </c>
      <c r="K601" s="8" t="str">
        <f>TRIM(Dataset!K601)</f>
        <v>4</v>
      </c>
      <c r="L601" s="6" t="str">
        <f>Dataset!L601</f>
        <v>FREESHIP</v>
      </c>
      <c r="M601" s="6" t="str">
        <f>TRIM(Dataset!M601)</f>
        <v>Facebook</v>
      </c>
      <c r="N601" s="10">
        <f>VALUE(TRIM(Dataset!N601))</f>
        <v>1670.97</v>
      </c>
    </row>
    <row r="602" spans="1:14" x14ac:dyDescent="0.35">
      <c r="A602" s="6" t="str">
        <f>TRIM(Dataset!A602)</f>
        <v>ORD200600</v>
      </c>
      <c r="B602" s="4">
        <f>Dataset!B602</f>
        <v>45072</v>
      </c>
      <c r="C602" s="6" t="str">
        <f>TRIM(Dataset!C602)</f>
        <v>C87051</v>
      </c>
      <c r="D602" s="6" t="str">
        <f>TRIM(Dataset!D602)</f>
        <v>Printer</v>
      </c>
      <c r="E602" s="13">
        <f>VALUE(TRIM(Dataset!E602))</f>
        <v>1</v>
      </c>
      <c r="F602" s="10">
        <f>VALUE(TRIM(Dataset!F602))</f>
        <v>72.31</v>
      </c>
      <c r="G602" s="6" t="str">
        <f>TRIM(Dataset!G602)</f>
        <v>460 Main St</v>
      </c>
      <c r="H602" s="6" t="str">
        <f>TRIM(Dataset!H602)</f>
        <v>Gift Card</v>
      </c>
      <c r="I602" s="6" t="str">
        <f>TRIM(Dataset!I602)</f>
        <v>Cancelled</v>
      </c>
      <c r="J602" s="6" t="str">
        <f>TRIM(Dataset!J602)</f>
        <v>TRK82056333</v>
      </c>
      <c r="K602" s="8" t="str">
        <f>TRIM(Dataset!K602)</f>
        <v>1</v>
      </c>
      <c r="L602" s="6" t="str">
        <f>Dataset!L602</f>
        <v>FREESHIP</v>
      </c>
      <c r="M602" s="6" t="str">
        <f>TRIM(Dataset!M602)</f>
        <v>Facebook</v>
      </c>
      <c r="N602" s="10">
        <f>VALUE(TRIM(Dataset!N602))</f>
        <v>72.31</v>
      </c>
    </row>
    <row r="603" spans="1:14" x14ac:dyDescent="0.35">
      <c r="A603" s="6" t="str">
        <f>TRIM(Dataset!A603)</f>
        <v>ORD200601</v>
      </c>
      <c r="B603" s="4">
        <f>Dataset!B603</f>
        <v>45201</v>
      </c>
      <c r="C603" s="6" t="str">
        <f>TRIM(Dataset!C603)</f>
        <v>C12479</v>
      </c>
      <c r="D603" s="6" t="str">
        <f>TRIM(Dataset!D603)</f>
        <v>Monitor</v>
      </c>
      <c r="E603" s="13">
        <f>VALUE(TRIM(Dataset!E603))</f>
        <v>5</v>
      </c>
      <c r="F603" s="10">
        <f>VALUE(TRIM(Dataset!F603))</f>
        <v>24.82</v>
      </c>
      <c r="G603" s="6" t="str">
        <f>TRIM(Dataset!G603)</f>
        <v>529 Main St</v>
      </c>
      <c r="H603" s="6" t="str">
        <f>TRIM(Dataset!H603)</f>
        <v>Credit Card</v>
      </c>
      <c r="I603" s="6" t="str">
        <f>TRIM(Dataset!I603)</f>
        <v>Shipped</v>
      </c>
      <c r="J603" s="6" t="str">
        <f>TRIM(Dataset!J603)</f>
        <v>TRK73935314</v>
      </c>
      <c r="K603" s="8" t="str">
        <f>TRIM(Dataset!K603)</f>
        <v>10</v>
      </c>
      <c r="L603" s="6" t="s">
        <v>4284</v>
      </c>
      <c r="M603" s="6" t="str">
        <f>TRIM(Dataset!M603)</f>
        <v>Referral</v>
      </c>
      <c r="N603" s="10">
        <f>VALUE(TRIM(Dataset!N603))</f>
        <v>124.1</v>
      </c>
    </row>
    <row r="604" spans="1:14" x14ac:dyDescent="0.35">
      <c r="A604" s="6" t="str">
        <f>TRIM(Dataset!A604)</f>
        <v>ORD200602</v>
      </c>
      <c r="B604" s="4">
        <f>Dataset!B604</f>
        <v>45356</v>
      </c>
      <c r="C604" s="6" t="str">
        <f>TRIM(Dataset!C604)</f>
        <v>C35852</v>
      </c>
      <c r="D604" s="6" t="str">
        <f>TRIM(Dataset!D604)</f>
        <v>Tablet</v>
      </c>
      <c r="E604" s="13">
        <f>VALUE(TRIM(Dataset!E604))</f>
        <v>4</v>
      </c>
      <c r="F604" s="10">
        <f>VALUE(TRIM(Dataset!F604))</f>
        <v>26.04</v>
      </c>
      <c r="G604" s="6" t="str">
        <f>TRIM(Dataset!G604)</f>
        <v>982 Main St</v>
      </c>
      <c r="H604" s="6" t="str">
        <f>TRIM(Dataset!H604)</f>
        <v>Online</v>
      </c>
      <c r="I604" s="6" t="str">
        <f>TRIM(Dataset!I604)</f>
        <v>Pending</v>
      </c>
      <c r="J604" s="6" t="str">
        <f>TRIM(Dataset!J604)</f>
        <v>TRK64660134</v>
      </c>
      <c r="K604" s="8" t="str">
        <f>TRIM(Dataset!K604)</f>
        <v>5</v>
      </c>
      <c r="L604" s="6" t="str">
        <f>Dataset!L604</f>
        <v>SAVE10</v>
      </c>
      <c r="M604" s="6" t="str">
        <f>TRIM(Dataset!M604)</f>
        <v>Instagram</v>
      </c>
      <c r="N604" s="10">
        <f>VALUE(TRIM(Dataset!N604))</f>
        <v>104.16</v>
      </c>
    </row>
    <row r="605" spans="1:14" x14ac:dyDescent="0.35">
      <c r="A605" s="6" t="str">
        <f>TRIM(Dataset!A605)</f>
        <v>ORD200603</v>
      </c>
      <c r="B605" s="4">
        <f>Dataset!B605</f>
        <v>45569</v>
      </c>
      <c r="C605" s="6" t="str">
        <f>TRIM(Dataset!C605)</f>
        <v>C26223</v>
      </c>
      <c r="D605" s="6" t="str">
        <f>TRIM(Dataset!D605)</f>
        <v>Tablet</v>
      </c>
      <c r="E605" s="13">
        <f>VALUE(TRIM(Dataset!E605))</f>
        <v>1</v>
      </c>
      <c r="F605" s="10">
        <f>VALUE(TRIM(Dataset!F605))</f>
        <v>657.07</v>
      </c>
      <c r="G605" s="6" t="str">
        <f>TRIM(Dataset!G605)</f>
        <v>800 Main St</v>
      </c>
      <c r="H605" s="6" t="str">
        <f>TRIM(Dataset!H605)</f>
        <v>Cash</v>
      </c>
      <c r="I605" s="6" t="str">
        <f>TRIM(Dataset!I605)</f>
        <v>Pending</v>
      </c>
      <c r="J605" s="6" t="str">
        <f>TRIM(Dataset!J605)</f>
        <v>TRK50900547</v>
      </c>
      <c r="K605" s="8" t="str">
        <f>TRIM(Dataset!K605)</f>
        <v>4</v>
      </c>
      <c r="L605" s="6" t="str">
        <f>Dataset!L605</f>
        <v>SAVE10</v>
      </c>
      <c r="M605" s="6" t="str">
        <f>TRIM(Dataset!M605)</f>
        <v>Google</v>
      </c>
      <c r="N605" s="10">
        <f>VALUE(TRIM(Dataset!N605))</f>
        <v>657.07</v>
      </c>
    </row>
    <row r="606" spans="1:14" x14ac:dyDescent="0.35">
      <c r="A606" s="6" t="str">
        <f>TRIM(Dataset!A606)</f>
        <v>ORD200604</v>
      </c>
      <c r="B606" s="4">
        <f>Dataset!B606</f>
        <v>45830</v>
      </c>
      <c r="C606" s="6" t="str">
        <f>TRIM(Dataset!C606)</f>
        <v>C99214</v>
      </c>
      <c r="D606" s="6" t="str">
        <f>TRIM(Dataset!D606)</f>
        <v>Chair</v>
      </c>
      <c r="E606" s="13">
        <f>VALUE(TRIM(Dataset!E606))</f>
        <v>3</v>
      </c>
      <c r="F606" s="10">
        <f>VALUE(TRIM(Dataset!F606))</f>
        <v>32.619999999999997</v>
      </c>
      <c r="G606" s="6" t="str">
        <f>TRIM(Dataset!G606)</f>
        <v>252 Main St</v>
      </c>
      <c r="H606" s="6" t="str">
        <f>TRIM(Dataset!H606)</f>
        <v>Debit Card</v>
      </c>
      <c r="I606" s="6" t="str">
        <f>TRIM(Dataset!I606)</f>
        <v>Delivered</v>
      </c>
      <c r="J606" s="6" t="str">
        <f>TRIM(Dataset!J606)</f>
        <v>TRK81368481</v>
      </c>
      <c r="K606" s="8" t="str">
        <f>TRIM(Dataset!K606)</f>
        <v>6</v>
      </c>
      <c r="L606" s="6" t="s">
        <v>4284</v>
      </c>
      <c r="M606" s="6" t="str">
        <f>TRIM(Dataset!M606)</f>
        <v>Facebook</v>
      </c>
      <c r="N606" s="10">
        <f>VALUE(TRIM(Dataset!N606))</f>
        <v>97.86</v>
      </c>
    </row>
    <row r="607" spans="1:14" x14ac:dyDescent="0.35">
      <c r="A607" s="6" t="str">
        <f>TRIM(Dataset!A607)</f>
        <v>ORD200605</v>
      </c>
      <c r="B607" s="4">
        <f>Dataset!B607</f>
        <v>45422</v>
      </c>
      <c r="C607" s="6" t="str">
        <f>TRIM(Dataset!C607)</f>
        <v>C49605</v>
      </c>
      <c r="D607" s="6" t="str">
        <f>TRIM(Dataset!D607)</f>
        <v>Monitor</v>
      </c>
      <c r="E607" s="13">
        <f>VALUE(TRIM(Dataset!E607))</f>
        <v>2</v>
      </c>
      <c r="F607" s="10">
        <f>VALUE(TRIM(Dataset!F607))</f>
        <v>228.91</v>
      </c>
      <c r="G607" s="6" t="str">
        <f>TRIM(Dataset!G607)</f>
        <v>892 Main St</v>
      </c>
      <c r="H607" s="6" t="str">
        <f>TRIM(Dataset!H607)</f>
        <v>Debit Card</v>
      </c>
      <c r="I607" s="6" t="str">
        <f>TRIM(Dataset!I607)</f>
        <v>Shipped</v>
      </c>
      <c r="J607" s="6" t="str">
        <f>TRIM(Dataset!J607)</f>
        <v>TRK95620066</v>
      </c>
      <c r="K607" s="8" t="str">
        <f>TRIM(Dataset!K607)</f>
        <v>4</v>
      </c>
      <c r="L607" s="6" t="str">
        <f>Dataset!L607</f>
        <v>SAVE10</v>
      </c>
      <c r="M607" s="6" t="str">
        <f>TRIM(Dataset!M607)</f>
        <v>Referral</v>
      </c>
      <c r="N607" s="10">
        <f>VALUE(TRIM(Dataset!N607))</f>
        <v>457.82</v>
      </c>
    </row>
    <row r="608" spans="1:14" x14ac:dyDescent="0.35">
      <c r="A608" s="6" t="str">
        <f>TRIM(Dataset!A608)</f>
        <v>ORD200606</v>
      </c>
      <c r="B608" s="4">
        <f>Dataset!B608</f>
        <v>45602</v>
      </c>
      <c r="C608" s="6" t="str">
        <f>TRIM(Dataset!C608)</f>
        <v>C85018</v>
      </c>
      <c r="D608" s="6" t="str">
        <f>TRIM(Dataset!D608)</f>
        <v>Laptop</v>
      </c>
      <c r="E608" s="13">
        <f>VALUE(TRIM(Dataset!E608))</f>
        <v>3</v>
      </c>
      <c r="F608" s="10">
        <f>VALUE(TRIM(Dataset!F608))</f>
        <v>274.75</v>
      </c>
      <c r="G608" s="6" t="str">
        <f>TRIM(Dataset!G608)</f>
        <v>783 Main St</v>
      </c>
      <c r="H608" s="6" t="str">
        <f>TRIM(Dataset!H608)</f>
        <v>Cash</v>
      </c>
      <c r="I608" s="6" t="str">
        <f>TRIM(Dataset!I608)</f>
        <v>Cancelled</v>
      </c>
      <c r="J608" s="6" t="str">
        <f>TRIM(Dataset!J608)</f>
        <v>TRK54128886</v>
      </c>
      <c r="K608" s="8" t="str">
        <f>TRIM(Dataset!K608)</f>
        <v>3</v>
      </c>
      <c r="L608" s="6" t="str">
        <f>Dataset!L608</f>
        <v>SAVE10</v>
      </c>
      <c r="M608" s="6" t="str">
        <f>TRIM(Dataset!M608)</f>
        <v>Google</v>
      </c>
      <c r="N608" s="10">
        <f>VALUE(TRIM(Dataset!N608))</f>
        <v>824.25</v>
      </c>
    </row>
    <row r="609" spans="1:14" x14ac:dyDescent="0.35">
      <c r="A609" s="6" t="str">
        <f>TRIM(Dataset!A609)</f>
        <v>ORD200607</v>
      </c>
      <c r="B609" s="4">
        <f>Dataset!B609</f>
        <v>45808</v>
      </c>
      <c r="C609" s="6" t="str">
        <f>TRIM(Dataset!C609)</f>
        <v>C96434</v>
      </c>
      <c r="D609" s="6" t="str">
        <f>TRIM(Dataset!D609)</f>
        <v>Printer</v>
      </c>
      <c r="E609" s="13">
        <f>VALUE(TRIM(Dataset!E609))</f>
        <v>4</v>
      </c>
      <c r="F609" s="10">
        <f>VALUE(TRIM(Dataset!F609))</f>
        <v>634.04999999999995</v>
      </c>
      <c r="G609" s="6" t="str">
        <f>TRIM(Dataset!G609)</f>
        <v>282 Main St</v>
      </c>
      <c r="H609" s="6" t="str">
        <f>TRIM(Dataset!H609)</f>
        <v>Cash</v>
      </c>
      <c r="I609" s="6" t="str">
        <f>TRIM(Dataset!I609)</f>
        <v>Shipped</v>
      </c>
      <c r="J609" s="6" t="str">
        <f>TRIM(Dataset!J609)</f>
        <v>TRK56730647</v>
      </c>
      <c r="K609" s="8" t="str">
        <f>TRIM(Dataset!K609)</f>
        <v>6</v>
      </c>
      <c r="L609" s="6" t="str">
        <f>Dataset!L609</f>
        <v>SAVE10</v>
      </c>
      <c r="M609" s="6" t="str">
        <f>TRIM(Dataset!M609)</f>
        <v>Google</v>
      </c>
      <c r="N609" s="10">
        <f>VALUE(TRIM(Dataset!N609))</f>
        <v>2536.1999999999998</v>
      </c>
    </row>
    <row r="610" spans="1:14" x14ac:dyDescent="0.35">
      <c r="A610" s="6" t="str">
        <f>TRIM(Dataset!A610)</f>
        <v>ORD200608</v>
      </c>
      <c r="B610" s="4">
        <f>Dataset!B610</f>
        <v>45497</v>
      </c>
      <c r="C610" s="6" t="str">
        <f>TRIM(Dataset!C610)</f>
        <v>C32956</v>
      </c>
      <c r="D610" s="6" t="str">
        <f>TRIM(Dataset!D610)</f>
        <v>Laptop</v>
      </c>
      <c r="E610" s="13">
        <f>VALUE(TRIM(Dataset!E610))</f>
        <v>5</v>
      </c>
      <c r="F610" s="10">
        <f>VALUE(TRIM(Dataset!F610))</f>
        <v>543.16</v>
      </c>
      <c r="G610" s="6" t="str">
        <f>TRIM(Dataset!G610)</f>
        <v>788 Main St</v>
      </c>
      <c r="H610" s="6" t="str">
        <f>TRIM(Dataset!H610)</f>
        <v>Online</v>
      </c>
      <c r="I610" s="6" t="str">
        <f>TRIM(Dataset!I610)</f>
        <v>Cancelled</v>
      </c>
      <c r="J610" s="6" t="str">
        <f>TRIM(Dataset!J610)</f>
        <v>TRK73140103</v>
      </c>
      <c r="K610" s="8" t="str">
        <f>TRIM(Dataset!K610)</f>
        <v>6</v>
      </c>
      <c r="L610" s="6" t="str">
        <f>Dataset!L610</f>
        <v>SAVE10</v>
      </c>
      <c r="M610" s="6" t="str">
        <f>TRIM(Dataset!M610)</f>
        <v>Instagram</v>
      </c>
      <c r="N610" s="10">
        <f>VALUE(TRIM(Dataset!N610))</f>
        <v>2715.8</v>
      </c>
    </row>
    <row r="611" spans="1:14" x14ac:dyDescent="0.35">
      <c r="A611" s="6" t="str">
        <f>TRIM(Dataset!A611)</f>
        <v>ORD200609</v>
      </c>
      <c r="B611" s="4">
        <f>Dataset!B611</f>
        <v>45684</v>
      </c>
      <c r="C611" s="6" t="str">
        <f>TRIM(Dataset!C611)</f>
        <v>C41137</v>
      </c>
      <c r="D611" s="6" t="str">
        <f>TRIM(Dataset!D611)</f>
        <v>Chair</v>
      </c>
      <c r="E611" s="13">
        <f>VALUE(TRIM(Dataset!E611))</f>
        <v>3</v>
      </c>
      <c r="F611" s="10">
        <f>VALUE(TRIM(Dataset!F611))</f>
        <v>449.13</v>
      </c>
      <c r="G611" s="6" t="str">
        <f>TRIM(Dataset!G611)</f>
        <v>809 Main St</v>
      </c>
      <c r="H611" s="6" t="str">
        <f>TRIM(Dataset!H611)</f>
        <v>Cash</v>
      </c>
      <c r="I611" s="6" t="str">
        <f>TRIM(Dataset!I611)</f>
        <v>Returned</v>
      </c>
      <c r="J611" s="6" t="str">
        <f>TRIM(Dataset!J611)</f>
        <v>TRK52732162</v>
      </c>
      <c r="K611" s="8" t="str">
        <f>TRIM(Dataset!K611)</f>
        <v>5</v>
      </c>
      <c r="L611" s="6" t="str">
        <f>Dataset!L611</f>
        <v>WINTER15</v>
      </c>
      <c r="M611" s="6" t="str">
        <f>TRIM(Dataset!M611)</f>
        <v>Referral</v>
      </c>
      <c r="N611" s="10">
        <f>VALUE(TRIM(Dataset!N611))</f>
        <v>1347.39</v>
      </c>
    </row>
    <row r="612" spans="1:14" x14ac:dyDescent="0.35">
      <c r="A612" s="6" t="str">
        <f>TRIM(Dataset!A612)</f>
        <v>ORD200610</v>
      </c>
      <c r="B612" s="4">
        <f>Dataset!B612</f>
        <v>45459</v>
      </c>
      <c r="C612" s="6" t="str">
        <f>TRIM(Dataset!C612)</f>
        <v>C60361</v>
      </c>
      <c r="D612" s="6" t="str">
        <f>TRIM(Dataset!D612)</f>
        <v>Desk</v>
      </c>
      <c r="E612" s="13">
        <f>VALUE(TRIM(Dataset!E612))</f>
        <v>5</v>
      </c>
      <c r="F612" s="10">
        <f>VALUE(TRIM(Dataset!F612))</f>
        <v>389.62</v>
      </c>
      <c r="G612" s="6" t="str">
        <f>TRIM(Dataset!G612)</f>
        <v>623 Main St</v>
      </c>
      <c r="H612" s="6" t="str">
        <f>TRIM(Dataset!H612)</f>
        <v>Cash</v>
      </c>
      <c r="I612" s="6" t="str">
        <f>TRIM(Dataset!I612)</f>
        <v>Returned</v>
      </c>
      <c r="J612" s="6" t="str">
        <f>TRIM(Dataset!J612)</f>
        <v>TRK83566924</v>
      </c>
      <c r="K612" s="8" t="str">
        <f>TRIM(Dataset!K612)</f>
        <v>7</v>
      </c>
      <c r="L612" s="6" t="str">
        <f>Dataset!L612</f>
        <v>FREESHIP</v>
      </c>
      <c r="M612" s="6" t="str">
        <f>TRIM(Dataset!M612)</f>
        <v>Facebook</v>
      </c>
      <c r="N612" s="10">
        <f>VALUE(TRIM(Dataset!N612))</f>
        <v>1948.1</v>
      </c>
    </row>
    <row r="613" spans="1:14" x14ac:dyDescent="0.35">
      <c r="A613" s="6" t="str">
        <f>TRIM(Dataset!A613)</f>
        <v>ORD200611</v>
      </c>
      <c r="B613" s="4">
        <f>Dataset!B613</f>
        <v>45037</v>
      </c>
      <c r="C613" s="6" t="str">
        <f>TRIM(Dataset!C613)</f>
        <v>C36688</v>
      </c>
      <c r="D613" s="6" t="str">
        <f>TRIM(Dataset!D613)</f>
        <v>Desk</v>
      </c>
      <c r="E613" s="13">
        <f>VALUE(TRIM(Dataset!E613))</f>
        <v>1</v>
      </c>
      <c r="F613" s="10">
        <f>VALUE(TRIM(Dataset!F613))</f>
        <v>305.17</v>
      </c>
      <c r="G613" s="6" t="str">
        <f>TRIM(Dataset!G613)</f>
        <v>700 Main St</v>
      </c>
      <c r="H613" s="6" t="str">
        <f>TRIM(Dataset!H613)</f>
        <v>Gift Card</v>
      </c>
      <c r="I613" s="6" t="str">
        <f>TRIM(Dataset!I613)</f>
        <v>Returned</v>
      </c>
      <c r="J613" s="6" t="str">
        <f>TRIM(Dataset!J613)</f>
        <v>TRK35720426</v>
      </c>
      <c r="K613" s="8" t="str">
        <f>TRIM(Dataset!K613)</f>
        <v>3</v>
      </c>
      <c r="L613" s="6" t="str">
        <f>Dataset!L613</f>
        <v>WINTER15</v>
      </c>
      <c r="M613" s="6" t="str">
        <f>TRIM(Dataset!M613)</f>
        <v>Referral</v>
      </c>
      <c r="N613" s="10">
        <f>VALUE(TRIM(Dataset!N613))</f>
        <v>305.17</v>
      </c>
    </row>
    <row r="614" spans="1:14" x14ac:dyDescent="0.35">
      <c r="A614" s="6" t="str">
        <f>TRIM(Dataset!A614)</f>
        <v>ORD200612</v>
      </c>
      <c r="B614" s="4">
        <f>Dataset!B614</f>
        <v>45079</v>
      </c>
      <c r="C614" s="6" t="str">
        <f>TRIM(Dataset!C614)</f>
        <v>C51811</v>
      </c>
      <c r="D614" s="6" t="str">
        <f>TRIM(Dataset!D614)</f>
        <v>Chair</v>
      </c>
      <c r="E614" s="13">
        <f>VALUE(TRIM(Dataset!E614))</f>
        <v>3</v>
      </c>
      <c r="F614" s="10">
        <f>VALUE(TRIM(Dataset!F614))</f>
        <v>445.12</v>
      </c>
      <c r="G614" s="6" t="str">
        <f>TRIM(Dataset!G614)</f>
        <v>339 Main St</v>
      </c>
      <c r="H614" s="6" t="str">
        <f>TRIM(Dataset!H614)</f>
        <v>Gift Card</v>
      </c>
      <c r="I614" s="6" t="str">
        <f>TRIM(Dataset!I614)</f>
        <v>Cancelled</v>
      </c>
      <c r="J614" s="6" t="str">
        <f>TRIM(Dataset!J614)</f>
        <v>TRK82377939</v>
      </c>
      <c r="K614" s="8" t="str">
        <f>TRIM(Dataset!K614)</f>
        <v>8</v>
      </c>
      <c r="L614" s="6" t="s">
        <v>4284</v>
      </c>
      <c r="M614" s="6" t="str">
        <f>TRIM(Dataset!M614)</f>
        <v>Google</v>
      </c>
      <c r="N614" s="10">
        <f>VALUE(TRIM(Dataset!N614))</f>
        <v>1335.36</v>
      </c>
    </row>
    <row r="615" spans="1:14" x14ac:dyDescent="0.35">
      <c r="A615" s="6" t="str">
        <f>TRIM(Dataset!A615)</f>
        <v>ORD200613</v>
      </c>
      <c r="B615" s="4">
        <f>Dataset!B615</f>
        <v>45645</v>
      </c>
      <c r="C615" s="6" t="str">
        <f>TRIM(Dataset!C615)</f>
        <v>C62405</v>
      </c>
      <c r="D615" s="6" t="str">
        <f>TRIM(Dataset!D615)</f>
        <v>Laptop</v>
      </c>
      <c r="E615" s="13">
        <f>VALUE(TRIM(Dataset!E615))</f>
        <v>2</v>
      </c>
      <c r="F615" s="10">
        <f>VALUE(TRIM(Dataset!F615))</f>
        <v>230.36</v>
      </c>
      <c r="G615" s="6" t="str">
        <f>TRIM(Dataset!G615)</f>
        <v>154 Main St</v>
      </c>
      <c r="H615" s="6" t="str">
        <f>TRIM(Dataset!H615)</f>
        <v>Online</v>
      </c>
      <c r="I615" s="6" t="str">
        <f>TRIM(Dataset!I615)</f>
        <v>Returned</v>
      </c>
      <c r="J615" s="6" t="str">
        <f>TRIM(Dataset!J615)</f>
        <v>TRK14721763</v>
      </c>
      <c r="K615" s="8" t="str">
        <f>TRIM(Dataset!K615)</f>
        <v>4</v>
      </c>
      <c r="L615" s="6" t="str">
        <f>Dataset!L615</f>
        <v>WINTER15</v>
      </c>
      <c r="M615" s="6" t="str">
        <f>TRIM(Dataset!M615)</f>
        <v>Email</v>
      </c>
      <c r="N615" s="10">
        <f>VALUE(TRIM(Dataset!N615))</f>
        <v>460.72</v>
      </c>
    </row>
    <row r="616" spans="1:14" x14ac:dyDescent="0.35">
      <c r="A616" s="6" t="str">
        <f>TRIM(Dataset!A616)</f>
        <v>ORD200614</v>
      </c>
      <c r="B616" s="4">
        <f>Dataset!B616</f>
        <v>45359</v>
      </c>
      <c r="C616" s="6" t="str">
        <f>TRIM(Dataset!C616)</f>
        <v>C77363</v>
      </c>
      <c r="D616" s="6" t="str">
        <f>TRIM(Dataset!D616)</f>
        <v>Phone</v>
      </c>
      <c r="E616" s="13">
        <f>VALUE(TRIM(Dataset!E616))</f>
        <v>1</v>
      </c>
      <c r="F616" s="10">
        <f>VALUE(TRIM(Dataset!F616))</f>
        <v>96.81</v>
      </c>
      <c r="G616" s="6" t="str">
        <f>TRIM(Dataset!G616)</f>
        <v>807 Main St</v>
      </c>
      <c r="H616" s="6" t="str">
        <f>TRIM(Dataset!H616)</f>
        <v>Gift Card</v>
      </c>
      <c r="I616" s="6" t="str">
        <f>TRIM(Dataset!I616)</f>
        <v>Cancelled</v>
      </c>
      <c r="J616" s="6" t="str">
        <f>TRIM(Dataset!J616)</f>
        <v>TRK12439827</v>
      </c>
      <c r="K616" s="8" t="str">
        <f>TRIM(Dataset!K616)</f>
        <v>3</v>
      </c>
      <c r="L616" s="6" t="s">
        <v>4284</v>
      </c>
      <c r="M616" s="6" t="str">
        <f>TRIM(Dataset!M616)</f>
        <v>Referral</v>
      </c>
      <c r="N616" s="10">
        <f>VALUE(TRIM(Dataset!N616))</f>
        <v>96.81</v>
      </c>
    </row>
    <row r="617" spans="1:14" x14ac:dyDescent="0.35">
      <c r="A617" s="6" t="str">
        <f>TRIM(Dataset!A617)</f>
        <v>ORD200615</v>
      </c>
      <c r="B617" s="4">
        <f>Dataset!B617</f>
        <v>45723</v>
      </c>
      <c r="C617" s="6" t="str">
        <f>TRIM(Dataset!C617)</f>
        <v>C97218</v>
      </c>
      <c r="D617" s="6" t="str">
        <f>TRIM(Dataset!D617)</f>
        <v>Monitor</v>
      </c>
      <c r="E617" s="13">
        <f>VALUE(TRIM(Dataset!E617))</f>
        <v>5</v>
      </c>
      <c r="F617" s="10">
        <f>VALUE(TRIM(Dataset!F617))</f>
        <v>460.14</v>
      </c>
      <c r="G617" s="6" t="str">
        <f>TRIM(Dataset!G617)</f>
        <v>252 Main St</v>
      </c>
      <c r="H617" s="6" t="str">
        <f>TRIM(Dataset!H617)</f>
        <v>Credit Card</v>
      </c>
      <c r="I617" s="6" t="str">
        <f>TRIM(Dataset!I617)</f>
        <v>Returned</v>
      </c>
      <c r="J617" s="6" t="str">
        <f>TRIM(Dataset!J617)</f>
        <v>TRK52632065</v>
      </c>
      <c r="K617" s="8" t="str">
        <f>TRIM(Dataset!K617)</f>
        <v>10</v>
      </c>
      <c r="L617" s="6" t="str">
        <f>Dataset!L617</f>
        <v>WINTER15</v>
      </c>
      <c r="M617" s="6" t="str">
        <f>TRIM(Dataset!M617)</f>
        <v>Facebook</v>
      </c>
      <c r="N617" s="10">
        <f>VALUE(TRIM(Dataset!N617))</f>
        <v>2300.6999999999998</v>
      </c>
    </row>
    <row r="618" spans="1:14" x14ac:dyDescent="0.35">
      <c r="A618" s="6" t="str">
        <f>TRIM(Dataset!A618)</f>
        <v>ORD200616</v>
      </c>
      <c r="B618" s="4">
        <f>Dataset!B618</f>
        <v>45582</v>
      </c>
      <c r="C618" s="6" t="str">
        <f>TRIM(Dataset!C618)</f>
        <v>C43919</v>
      </c>
      <c r="D618" s="6" t="str">
        <f>TRIM(Dataset!D618)</f>
        <v>Tablet</v>
      </c>
      <c r="E618" s="13">
        <f>VALUE(TRIM(Dataset!E618))</f>
        <v>3</v>
      </c>
      <c r="F618" s="10">
        <f>VALUE(TRIM(Dataset!F618))</f>
        <v>601.6</v>
      </c>
      <c r="G618" s="6" t="str">
        <f>TRIM(Dataset!G618)</f>
        <v>984 Main St</v>
      </c>
      <c r="H618" s="6" t="str">
        <f>TRIM(Dataset!H618)</f>
        <v>Credit Card</v>
      </c>
      <c r="I618" s="6" t="str">
        <f>TRIM(Dataset!I618)</f>
        <v>Cancelled</v>
      </c>
      <c r="J618" s="6" t="str">
        <f>TRIM(Dataset!J618)</f>
        <v>TRK73113192</v>
      </c>
      <c r="K618" s="8" t="str">
        <f>TRIM(Dataset!K618)</f>
        <v>7</v>
      </c>
      <c r="L618" s="6" t="str">
        <f>Dataset!L618</f>
        <v>SAVE10</v>
      </c>
      <c r="M618" s="6" t="str">
        <f>TRIM(Dataset!M618)</f>
        <v>Facebook</v>
      </c>
      <c r="N618" s="10">
        <f>VALUE(TRIM(Dataset!N618))</f>
        <v>1804.8</v>
      </c>
    </row>
    <row r="619" spans="1:14" x14ac:dyDescent="0.35">
      <c r="A619" s="6" t="str">
        <f>TRIM(Dataset!A619)</f>
        <v>ORD200617</v>
      </c>
      <c r="B619" s="4">
        <f>Dataset!B619</f>
        <v>45330</v>
      </c>
      <c r="C619" s="6" t="str">
        <f>TRIM(Dataset!C619)</f>
        <v>C57093</v>
      </c>
      <c r="D619" s="6" t="str">
        <f>TRIM(Dataset!D619)</f>
        <v>Tablet</v>
      </c>
      <c r="E619" s="13">
        <f>VALUE(TRIM(Dataset!E619))</f>
        <v>3</v>
      </c>
      <c r="F619" s="10">
        <f>VALUE(TRIM(Dataset!F619))</f>
        <v>184.47</v>
      </c>
      <c r="G619" s="6" t="str">
        <f>TRIM(Dataset!G619)</f>
        <v>834 Main St</v>
      </c>
      <c r="H619" s="6" t="str">
        <f>TRIM(Dataset!H619)</f>
        <v>Online</v>
      </c>
      <c r="I619" s="6" t="str">
        <f>TRIM(Dataset!I619)</f>
        <v>Cancelled</v>
      </c>
      <c r="J619" s="6" t="str">
        <f>TRIM(Dataset!J619)</f>
        <v>TRK75469057</v>
      </c>
      <c r="K619" s="8" t="str">
        <f>TRIM(Dataset!K619)</f>
        <v>4</v>
      </c>
      <c r="L619" s="6" t="s">
        <v>4284</v>
      </c>
      <c r="M619" s="6" t="str">
        <f>TRIM(Dataset!M619)</f>
        <v>Referral</v>
      </c>
      <c r="N619" s="10">
        <f>VALUE(TRIM(Dataset!N619))</f>
        <v>553.41</v>
      </c>
    </row>
    <row r="620" spans="1:14" x14ac:dyDescent="0.35">
      <c r="A620" s="6" t="str">
        <f>TRIM(Dataset!A620)</f>
        <v>ORD200618</v>
      </c>
      <c r="B620" s="4">
        <f>Dataset!B620</f>
        <v>45538</v>
      </c>
      <c r="C620" s="6" t="str">
        <f>TRIM(Dataset!C620)</f>
        <v>C50565</v>
      </c>
      <c r="D620" s="6" t="str">
        <f>TRIM(Dataset!D620)</f>
        <v>Tablet</v>
      </c>
      <c r="E620" s="13">
        <f>VALUE(TRIM(Dataset!E620))</f>
        <v>1</v>
      </c>
      <c r="F620" s="10">
        <f>VALUE(TRIM(Dataset!F620))</f>
        <v>411.34</v>
      </c>
      <c r="G620" s="6" t="str">
        <f>TRIM(Dataset!G620)</f>
        <v>399 Main St</v>
      </c>
      <c r="H620" s="6" t="str">
        <f>TRIM(Dataset!H620)</f>
        <v>Debit Card</v>
      </c>
      <c r="I620" s="6" t="str">
        <f>TRIM(Dataset!I620)</f>
        <v>Returned</v>
      </c>
      <c r="J620" s="6" t="str">
        <f>TRIM(Dataset!J620)</f>
        <v>TRK97981418</v>
      </c>
      <c r="K620" s="8" t="str">
        <f>TRIM(Dataset!K620)</f>
        <v>5</v>
      </c>
      <c r="L620" s="6" t="s">
        <v>4284</v>
      </c>
      <c r="M620" s="6" t="str">
        <f>TRIM(Dataset!M620)</f>
        <v>Instagram</v>
      </c>
      <c r="N620" s="10">
        <f>VALUE(TRIM(Dataset!N620))</f>
        <v>411.34</v>
      </c>
    </row>
    <row r="621" spans="1:14" x14ac:dyDescent="0.35">
      <c r="A621" s="6" t="str">
        <f>TRIM(Dataset!A621)</f>
        <v>ORD200619</v>
      </c>
      <c r="B621" s="4">
        <f>Dataset!B621</f>
        <v>45489</v>
      </c>
      <c r="C621" s="6" t="str">
        <f>TRIM(Dataset!C621)</f>
        <v>C38845</v>
      </c>
      <c r="D621" s="6" t="str">
        <f>TRIM(Dataset!D621)</f>
        <v>Laptop</v>
      </c>
      <c r="E621" s="13">
        <f>VALUE(TRIM(Dataset!E621))</f>
        <v>1</v>
      </c>
      <c r="F621" s="10">
        <f>VALUE(TRIM(Dataset!F621))</f>
        <v>532.89</v>
      </c>
      <c r="G621" s="6" t="str">
        <f>TRIM(Dataset!G621)</f>
        <v>764 Main St</v>
      </c>
      <c r="H621" s="6" t="str">
        <f>TRIM(Dataset!H621)</f>
        <v>Gift Card</v>
      </c>
      <c r="I621" s="6" t="str">
        <f>TRIM(Dataset!I621)</f>
        <v>Pending</v>
      </c>
      <c r="J621" s="6" t="str">
        <f>TRIM(Dataset!J621)</f>
        <v>TRK47637374</v>
      </c>
      <c r="K621" s="8" t="str">
        <f>TRIM(Dataset!K621)</f>
        <v>2</v>
      </c>
      <c r="L621" s="6" t="s">
        <v>4284</v>
      </c>
      <c r="M621" s="6" t="str">
        <f>TRIM(Dataset!M621)</f>
        <v>Referral</v>
      </c>
      <c r="N621" s="10">
        <f>VALUE(TRIM(Dataset!N621))</f>
        <v>532.89</v>
      </c>
    </row>
    <row r="622" spans="1:14" x14ac:dyDescent="0.35">
      <c r="A622" s="6" t="str">
        <f>TRIM(Dataset!A622)</f>
        <v>ORD200620</v>
      </c>
      <c r="B622" s="4">
        <f>Dataset!B622</f>
        <v>45378</v>
      </c>
      <c r="C622" s="6" t="str">
        <f>TRIM(Dataset!C622)</f>
        <v>C84834</v>
      </c>
      <c r="D622" s="6" t="str">
        <f>TRIM(Dataset!D622)</f>
        <v>Tablet</v>
      </c>
      <c r="E622" s="13">
        <f>VALUE(TRIM(Dataset!E622))</f>
        <v>3</v>
      </c>
      <c r="F622" s="10">
        <f>VALUE(TRIM(Dataset!F622))</f>
        <v>136.34</v>
      </c>
      <c r="G622" s="6" t="str">
        <f>TRIM(Dataset!G622)</f>
        <v>866 Main St</v>
      </c>
      <c r="H622" s="6" t="str">
        <f>TRIM(Dataset!H622)</f>
        <v>Debit Card</v>
      </c>
      <c r="I622" s="6" t="str">
        <f>TRIM(Dataset!I622)</f>
        <v>Returned</v>
      </c>
      <c r="J622" s="6" t="str">
        <f>TRIM(Dataset!J622)</f>
        <v>TRK90136001</v>
      </c>
      <c r="K622" s="8" t="str">
        <f>TRIM(Dataset!K622)</f>
        <v>8</v>
      </c>
      <c r="L622" s="6" t="str">
        <f>Dataset!L622</f>
        <v>SAVE10</v>
      </c>
      <c r="M622" s="6" t="str">
        <f>TRIM(Dataset!M622)</f>
        <v>Referral</v>
      </c>
      <c r="N622" s="10">
        <f>VALUE(TRIM(Dataset!N622))</f>
        <v>409.02</v>
      </c>
    </row>
    <row r="623" spans="1:14" x14ac:dyDescent="0.35">
      <c r="A623" s="6" t="str">
        <f>TRIM(Dataset!A623)</f>
        <v>ORD200621</v>
      </c>
      <c r="B623" s="4">
        <f>Dataset!B623</f>
        <v>45221</v>
      </c>
      <c r="C623" s="6" t="str">
        <f>TRIM(Dataset!C623)</f>
        <v>C37455</v>
      </c>
      <c r="D623" s="6" t="str">
        <f>TRIM(Dataset!D623)</f>
        <v>Phone</v>
      </c>
      <c r="E623" s="13">
        <f>VALUE(TRIM(Dataset!E623))</f>
        <v>5</v>
      </c>
      <c r="F623" s="10">
        <f>VALUE(TRIM(Dataset!F623))</f>
        <v>476.01</v>
      </c>
      <c r="G623" s="6" t="str">
        <f>TRIM(Dataset!G623)</f>
        <v>146 Main St</v>
      </c>
      <c r="H623" s="6" t="str">
        <f>TRIM(Dataset!H623)</f>
        <v>Credit Card</v>
      </c>
      <c r="I623" s="6" t="str">
        <f>TRIM(Dataset!I623)</f>
        <v>Delivered</v>
      </c>
      <c r="J623" s="6" t="str">
        <f>TRIM(Dataset!J623)</f>
        <v>TRK82685594</v>
      </c>
      <c r="K623" s="8" t="str">
        <f>TRIM(Dataset!K623)</f>
        <v>7</v>
      </c>
      <c r="L623" s="6" t="str">
        <f>Dataset!L623</f>
        <v>WINTER15</v>
      </c>
      <c r="M623" s="6" t="str">
        <f>TRIM(Dataset!M623)</f>
        <v>Google</v>
      </c>
      <c r="N623" s="10">
        <f>VALUE(TRIM(Dataset!N623))</f>
        <v>2380.0500000000002</v>
      </c>
    </row>
    <row r="624" spans="1:14" x14ac:dyDescent="0.35">
      <c r="A624" s="6" t="str">
        <f>TRIM(Dataset!A624)</f>
        <v>ORD200622</v>
      </c>
      <c r="B624" s="4">
        <f>Dataset!B624</f>
        <v>45598</v>
      </c>
      <c r="C624" s="6" t="str">
        <f>TRIM(Dataset!C624)</f>
        <v>C27078</v>
      </c>
      <c r="D624" s="6" t="str">
        <f>TRIM(Dataset!D624)</f>
        <v>Desk</v>
      </c>
      <c r="E624" s="13">
        <f>VALUE(TRIM(Dataset!E624))</f>
        <v>5</v>
      </c>
      <c r="F624" s="10">
        <f>VALUE(TRIM(Dataset!F624))</f>
        <v>236.38</v>
      </c>
      <c r="G624" s="6" t="str">
        <f>TRIM(Dataset!G624)</f>
        <v>128 Main St</v>
      </c>
      <c r="H624" s="6" t="str">
        <f>TRIM(Dataset!H624)</f>
        <v>Credit Card</v>
      </c>
      <c r="I624" s="6" t="str">
        <f>TRIM(Dataset!I624)</f>
        <v>Returned</v>
      </c>
      <c r="J624" s="6" t="str">
        <f>TRIM(Dataset!J624)</f>
        <v>TRK89314307</v>
      </c>
      <c r="K624" s="8" t="str">
        <f>TRIM(Dataset!K624)</f>
        <v>7</v>
      </c>
      <c r="L624" s="6" t="s">
        <v>4284</v>
      </c>
      <c r="M624" s="6" t="str">
        <f>TRIM(Dataset!M624)</f>
        <v>Facebook</v>
      </c>
      <c r="N624" s="10">
        <f>VALUE(TRIM(Dataset!N624))</f>
        <v>1181.9000000000001</v>
      </c>
    </row>
    <row r="625" spans="1:14" x14ac:dyDescent="0.35">
      <c r="A625" s="6" t="str">
        <f>TRIM(Dataset!A625)</f>
        <v>ORD200623</v>
      </c>
      <c r="B625" s="4">
        <f>Dataset!B625</f>
        <v>45093</v>
      </c>
      <c r="C625" s="6" t="str">
        <f>TRIM(Dataset!C625)</f>
        <v>C91941</v>
      </c>
      <c r="D625" s="6" t="str">
        <f>TRIM(Dataset!D625)</f>
        <v>Printer</v>
      </c>
      <c r="E625" s="13">
        <f>VALUE(TRIM(Dataset!E625))</f>
        <v>3</v>
      </c>
      <c r="F625" s="10">
        <f>VALUE(TRIM(Dataset!F625))</f>
        <v>396</v>
      </c>
      <c r="G625" s="6" t="str">
        <f>TRIM(Dataset!G625)</f>
        <v>269 Main St</v>
      </c>
      <c r="H625" s="6" t="str">
        <f>TRIM(Dataset!H625)</f>
        <v>Gift Card</v>
      </c>
      <c r="I625" s="6" t="str">
        <f>TRIM(Dataset!I625)</f>
        <v>Cancelled</v>
      </c>
      <c r="J625" s="6" t="str">
        <f>TRIM(Dataset!J625)</f>
        <v>TRK21330732</v>
      </c>
      <c r="K625" s="8" t="str">
        <f>TRIM(Dataset!K625)</f>
        <v>4</v>
      </c>
      <c r="L625" s="6" t="str">
        <f>Dataset!L625</f>
        <v>FREESHIP</v>
      </c>
      <c r="M625" s="6" t="str">
        <f>TRIM(Dataset!M625)</f>
        <v>Instagram</v>
      </c>
      <c r="N625" s="10">
        <f>VALUE(TRIM(Dataset!N625))</f>
        <v>1188</v>
      </c>
    </row>
    <row r="626" spans="1:14" x14ac:dyDescent="0.35">
      <c r="A626" s="6" t="str">
        <f>TRIM(Dataset!A626)</f>
        <v>ORD200624</v>
      </c>
      <c r="B626" s="4">
        <f>Dataset!B626</f>
        <v>45307</v>
      </c>
      <c r="C626" s="6" t="str">
        <f>TRIM(Dataset!C626)</f>
        <v>C25967</v>
      </c>
      <c r="D626" s="6" t="str">
        <f>TRIM(Dataset!D626)</f>
        <v>Tablet</v>
      </c>
      <c r="E626" s="13">
        <f>VALUE(TRIM(Dataset!E626))</f>
        <v>5</v>
      </c>
      <c r="F626" s="10">
        <f>VALUE(TRIM(Dataset!F626))</f>
        <v>341.96</v>
      </c>
      <c r="G626" s="6" t="str">
        <f>TRIM(Dataset!G626)</f>
        <v>747 Main St</v>
      </c>
      <c r="H626" s="6" t="str">
        <f>TRIM(Dataset!H626)</f>
        <v>Debit Card</v>
      </c>
      <c r="I626" s="6" t="str">
        <f>TRIM(Dataset!I626)</f>
        <v>Delivered</v>
      </c>
      <c r="J626" s="6" t="str">
        <f>TRIM(Dataset!J626)</f>
        <v>TRK88559278</v>
      </c>
      <c r="K626" s="8" t="str">
        <f>TRIM(Dataset!K626)</f>
        <v>6</v>
      </c>
      <c r="L626" s="6" t="s">
        <v>4284</v>
      </c>
      <c r="M626" s="6" t="str">
        <f>TRIM(Dataset!M626)</f>
        <v>Email</v>
      </c>
      <c r="N626" s="10">
        <f>VALUE(TRIM(Dataset!N626))</f>
        <v>1709.8</v>
      </c>
    </row>
    <row r="627" spans="1:14" x14ac:dyDescent="0.35">
      <c r="A627" s="6" t="str">
        <f>TRIM(Dataset!A627)</f>
        <v>ORD200625</v>
      </c>
      <c r="B627" s="4">
        <f>Dataset!B627</f>
        <v>45193</v>
      </c>
      <c r="C627" s="6" t="str">
        <f>TRIM(Dataset!C627)</f>
        <v>C22123</v>
      </c>
      <c r="D627" s="6" t="str">
        <f>TRIM(Dataset!D627)</f>
        <v>Tablet</v>
      </c>
      <c r="E627" s="13">
        <f>VALUE(TRIM(Dataset!E627))</f>
        <v>1</v>
      </c>
      <c r="F627" s="10">
        <f>VALUE(TRIM(Dataset!F627))</f>
        <v>672.89</v>
      </c>
      <c r="G627" s="6" t="str">
        <f>TRIM(Dataset!G627)</f>
        <v>519 Main St</v>
      </c>
      <c r="H627" s="6" t="str">
        <f>TRIM(Dataset!H627)</f>
        <v>Credit Card</v>
      </c>
      <c r="I627" s="6" t="str">
        <f>TRIM(Dataset!I627)</f>
        <v>Pending</v>
      </c>
      <c r="J627" s="6" t="str">
        <f>TRIM(Dataset!J627)</f>
        <v>TRK43250279</v>
      </c>
      <c r="K627" s="8" t="str">
        <f>TRIM(Dataset!K627)</f>
        <v>1</v>
      </c>
      <c r="L627" s="6" t="str">
        <f>Dataset!L627</f>
        <v>WINTER15</v>
      </c>
      <c r="M627" s="6" t="str">
        <f>TRIM(Dataset!M627)</f>
        <v>Email</v>
      </c>
      <c r="N627" s="10">
        <f>VALUE(TRIM(Dataset!N627))</f>
        <v>672.89</v>
      </c>
    </row>
    <row r="628" spans="1:14" x14ac:dyDescent="0.35">
      <c r="A628" s="6" t="str">
        <f>TRIM(Dataset!A628)</f>
        <v>ORD200626</v>
      </c>
      <c r="B628" s="4">
        <f>Dataset!B628</f>
        <v>45352</v>
      </c>
      <c r="C628" s="6" t="str">
        <f>TRIM(Dataset!C628)</f>
        <v>C45671</v>
      </c>
      <c r="D628" s="6" t="str">
        <f>TRIM(Dataset!D628)</f>
        <v>Tablet</v>
      </c>
      <c r="E628" s="13">
        <f>VALUE(TRIM(Dataset!E628))</f>
        <v>2</v>
      </c>
      <c r="F628" s="10">
        <f>VALUE(TRIM(Dataset!F628))</f>
        <v>657.48</v>
      </c>
      <c r="G628" s="6" t="str">
        <f>TRIM(Dataset!G628)</f>
        <v>769 Main St</v>
      </c>
      <c r="H628" s="6" t="str">
        <f>TRIM(Dataset!H628)</f>
        <v>Online</v>
      </c>
      <c r="I628" s="6" t="str">
        <f>TRIM(Dataset!I628)</f>
        <v>Shipped</v>
      </c>
      <c r="J628" s="6" t="str">
        <f>TRIM(Dataset!J628)</f>
        <v>TRK18179773</v>
      </c>
      <c r="K628" s="8" t="str">
        <f>TRIM(Dataset!K628)</f>
        <v>5</v>
      </c>
      <c r="L628" s="6" t="str">
        <f>Dataset!L628</f>
        <v>SAVE10</v>
      </c>
      <c r="M628" s="6" t="str">
        <f>TRIM(Dataset!M628)</f>
        <v>Referral</v>
      </c>
      <c r="N628" s="10">
        <f>VALUE(TRIM(Dataset!N628))</f>
        <v>1314.96</v>
      </c>
    </row>
    <row r="629" spans="1:14" x14ac:dyDescent="0.35">
      <c r="A629" s="6" t="str">
        <f>TRIM(Dataset!A629)</f>
        <v>ORD200627</v>
      </c>
      <c r="B629" s="4">
        <f>Dataset!B629</f>
        <v>45144</v>
      </c>
      <c r="C629" s="6" t="str">
        <f>TRIM(Dataset!C629)</f>
        <v>C53334</v>
      </c>
      <c r="D629" s="6" t="str">
        <f>TRIM(Dataset!D629)</f>
        <v>Chair</v>
      </c>
      <c r="E629" s="13">
        <f>VALUE(TRIM(Dataset!E629))</f>
        <v>3</v>
      </c>
      <c r="F629" s="10">
        <f>VALUE(TRIM(Dataset!F629))</f>
        <v>498.68</v>
      </c>
      <c r="G629" s="6" t="str">
        <f>TRIM(Dataset!G629)</f>
        <v>879 Main St</v>
      </c>
      <c r="H629" s="6" t="str">
        <f>TRIM(Dataset!H629)</f>
        <v>Online</v>
      </c>
      <c r="I629" s="6" t="str">
        <f>TRIM(Dataset!I629)</f>
        <v>Returned</v>
      </c>
      <c r="J629" s="6" t="str">
        <f>TRIM(Dataset!J629)</f>
        <v>TRK31724421</v>
      </c>
      <c r="K629" s="8" t="str">
        <f>TRIM(Dataset!K629)</f>
        <v>4</v>
      </c>
      <c r="L629" s="6" t="str">
        <f>Dataset!L629</f>
        <v>FREESHIP</v>
      </c>
      <c r="M629" s="6" t="str">
        <f>TRIM(Dataset!M629)</f>
        <v>Email</v>
      </c>
      <c r="N629" s="10">
        <f>VALUE(TRIM(Dataset!N629))</f>
        <v>1496.04</v>
      </c>
    </row>
    <row r="630" spans="1:14" x14ac:dyDescent="0.35">
      <c r="A630" s="6" t="str">
        <f>TRIM(Dataset!A630)</f>
        <v>ORD200628</v>
      </c>
      <c r="B630" s="4">
        <f>Dataset!B630</f>
        <v>45011</v>
      </c>
      <c r="C630" s="6" t="str">
        <f>TRIM(Dataset!C630)</f>
        <v>C18717</v>
      </c>
      <c r="D630" s="6" t="str">
        <f>TRIM(Dataset!D630)</f>
        <v>Printer</v>
      </c>
      <c r="E630" s="13">
        <f>VALUE(TRIM(Dataset!E630))</f>
        <v>5</v>
      </c>
      <c r="F630" s="10">
        <f>VALUE(TRIM(Dataset!F630))</f>
        <v>558.63</v>
      </c>
      <c r="G630" s="6" t="str">
        <f>TRIM(Dataset!G630)</f>
        <v>861 Main St</v>
      </c>
      <c r="H630" s="6" t="str">
        <f>TRIM(Dataset!H630)</f>
        <v>Cash</v>
      </c>
      <c r="I630" s="6" t="str">
        <f>TRIM(Dataset!I630)</f>
        <v>Pending</v>
      </c>
      <c r="J630" s="6" t="str">
        <f>TRIM(Dataset!J630)</f>
        <v>TRK58568806</v>
      </c>
      <c r="K630" s="8" t="str">
        <f>TRIM(Dataset!K630)</f>
        <v>8</v>
      </c>
      <c r="L630" s="6" t="str">
        <f>Dataset!L630</f>
        <v>FREESHIP</v>
      </c>
      <c r="M630" s="6" t="str">
        <f>TRIM(Dataset!M630)</f>
        <v>Referral</v>
      </c>
      <c r="N630" s="10">
        <f>VALUE(TRIM(Dataset!N630))</f>
        <v>2793.15</v>
      </c>
    </row>
    <row r="631" spans="1:14" x14ac:dyDescent="0.35">
      <c r="A631" s="6" t="str">
        <f>TRIM(Dataset!A631)</f>
        <v>ORD200629</v>
      </c>
      <c r="B631" s="4">
        <f>Dataset!B631</f>
        <v>45114</v>
      </c>
      <c r="C631" s="6" t="str">
        <f>TRIM(Dataset!C631)</f>
        <v>C50137</v>
      </c>
      <c r="D631" s="6" t="str">
        <f>TRIM(Dataset!D631)</f>
        <v>Phone</v>
      </c>
      <c r="E631" s="13">
        <f>VALUE(TRIM(Dataset!E631))</f>
        <v>3</v>
      </c>
      <c r="F631" s="10">
        <f>VALUE(TRIM(Dataset!F631))</f>
        <v>19.73</v>
      </c>
      <c r="G631" s="6" t="str">
        <f>TRIM(Dataset!G631)</f>
        <v>840 Main St</v>
      </c>
      <c r="H631" s="6" t="str">
        <f>TRIM(Dataset!H631)</f>
        <v>Online</v>
      </c>
      <c r="I631" s="6" t="str">
        <f>TRIM(Dataset!I631)</f>
        <v>Pending</v>
      </c>
      <c r="J631" s="6" t="str">
        <f>TRIM(Dataset!J631)</f>
        <v>TRK91836131</v>
      </c>
      <c r="K631" s="8" t="str">
        <f>TRIM(Dataset!K631)</f>
        <v>3</v>
      </c>
      <c r="L631" s="6" t="s">
        <v>4284</v>
      </c>
      <c r="M631" s="6" t="str">
        <f>TRIM(Dataset!M631)</f>
        <v>Referral</v>
      </c>
      <c r="N631" s="10">
        <f>VALUE(TRIM(Dataset!N631))</f>
        <v>59.19</v>
      </c>
    </row>
    <row r="632" spans="1:14" x14ac:dyDescent="0.35">
      <c r="A632" s="6" t="str">
        <f>TRIM(Dataset!A632)</f>
        <v>ORD200630</v>
      </c>
      <c r="B632" s="4">
        <f>Dataset!B632</f>
        <v>45100</v>
      </c>
      <c r="C632" s="6" t="str">
        <f>TRIM(Dataset!C632)</f>
        <v>C51481</v>
      </c>
      <c r="D632" s="6" t="str">
        <f>TRIM(Dataset!D632)</f>
        <v>Monitor</v>
      </c>
      <c r="E632" s="13">
        <f>VALUE(TRIM(Dataset!E632))</f>
        <v>5</v>
      </c>
      <c r="F632" s="10">
        <f>VALUE(TRIM(Dataset!F632))</f>
        <v>248.84</v>
      </c>
      <c r="G632" s="6" t="str">
        <f>TRIM(Dataset!G632)</f>
        <v>140 Main St</v>
      </c>
      <c r="H632" s="6" t="str">
        <f>TRIM(Dataset!H632)</f>
        <v>Debit Card</v>
      </c>
      <c r="I632" s="6" t="str">
        <f>TRIM(Dataset!I632)</f>
        <v>Cancelled</v>
      </c>
      <c r="J632" s="6" t="str">
        <f>TRIM(Dataset!J632)</f>
        <v>TRK33437701</v>
      </c>
      <c r="K632" s="8" t="str">
        <f>TRIM(Dataset!K632)</f>
        <v>10</v>
      </c>
      <c r="L632" s="6" t="s">
        <v>4284</v>
      </c>
      <c r="M632" s="6" t="str">
        <f>TRIM(Dataset!M632)</f>
        <v>Instagram</v>
      </c>
      <c r="N632" s="10">
        <f>VALUE(TRIM(Dataset!N632))</f>
        <v>1244.2</v>
      </c>
    </row>
    <row r="633" spans="1:14" x14ac:dyDescent="0.35">
      <c r="A633" s="6" t="str">
        <f>TRIM(Dataset!A633)</f>
        <v>ORD200631</v>
      </c>
      <c r="B633" s="4">
        <f>Dataset!B633</f>
        <v>45535</v>
      </c>
      <c r="C633" s="6" t="str">
        <f>TRIM(Dataset!C633)</f>
        <v>C99128</v>
      </c>
      <c r="D633" s="6" t="str">
        <f>TRIM(Dataset!D633)</f>
        <v>Chair</v>
      </c>
      <c r="E633" s="13">
        <f>VALUE(TRIM(Dataset!E633))</f>
        <v>3</v>
      </c>
      <c r="F633" s="10">
        <f>VALUE(TRIM(Dataset!F633))</f>
        <v>46.11</v>
      </c>
      <c r="G633" s="6" t="str">
        <f>TRIM(Dataset!G633)</f>
        <v>360 Main St</v>
      </c>
      <c r="H633" s="6" t="str">
        <f>TRIM(Dataset!H633)</f>
        <v>Gift Card</v>
      </c>
      <c r="I633" s="6" t="str">
        <f>TRIM(Dataset!I633)</f>
        <v>Returned</v>
      </c>
      <c r="J633" s="6" t="str">
        <f>TRIM(Dataset!J633)</f>
        <v>TRK32426808</v>
      </c>
      <c r="K633" s="8" t="str">
        <f>TRIM(Dataset!K633)</f>
        <v>5</v>
      </c>
      <c r="L633" s="6" t="str">
        <f>Dataset!L633</f>
        <v>WINTER15</v>
      </c>
      <c r="M633" s="6" t="str">
        <f>TRIM(Dataset!M633)</f>
        <v>Referral</v>
      </c>
      <c r="N633" s="10">
        <f>VALUE(TRIM(Dataset!N633))</f>
        <v>138.33000000000001</v>
      </c>
    </row>
    <row r="634" spans="1:14" x14ac:dyDescent="0.35">
      <c r="A634" s="6" t="str">
        <f>TRIM(Dataset!A634)</f>
        <v>ORD200632</v>
      </c>
      <c r="B634" s="4">
        <f>Dataset!B634</f>
        <v>45048</v>
      </c>
      <c r="C634" s="6" t="str">
        <f>TRIM(Dataset!C634)</f>
        <v>C67260</v>
      </c>
      <c r="D634" s="6" t="str">
        <f>TRIM(Dataset!D634)</f>
        <v>Laptop</v>
      </c>
      <c r="E634" s="13">
        <f>VALUE(TRIM(Dataset!E634))</f>
        <v>5</v>
      </c>
      <c r="F634" s="10">
        <f>VALUE(TRIM(Dataset!F634))</f>
        <v>678.16</v>
      </c>
      <c r="G634" s="6" t="str">
        <f>TRIM(Dataset!G634)</f>
        <v>463 Main St</v>
      </c>
      <c r="H634" s="6" t="str">
        <f>TRIM(Dataset!H634)</f>
        <v>Gift Card</v>
      </c>
      <c r="I634" s="6" t="str">
        <f>TRIM(Dataset!I634)</f>
        <v>Delivered</v>
      </c>
      <c r="J634" s="6" t="str">
        <f>TRIM(Dataset!J634)</f>
        <v>TRK38229104</v>
      </c>
      <c r="K634" s="8" t="str">
        <f>TRIM(Dataset!K634)</f>
        <v>7</v>
      </c>
      <c r="L634" s="6" t="str">
        <f>Dataset!L634</f>
        <v>WINTER15</v>
      </c>
      <c r="M634" s="6" t="str">
        <f>TRIM(Dataset!M634)</f>
        <v>Facebook</v>
      </c>
      <c r="N634" s="10">
        <f>VALUE(TRIM(Dataset!N634))</f>
        <v>3390.8</v>
      </c>
    </row>
    <row r="635" spans="1:14" x14ac:dyDescent="0.35">
      <c r="A635" s="6" t="str">
        <f>TRIM(Dataset!A635)</f>
        <v>ORD200633</v>
      </c>
      <c r="B635" s="4">
        <f>Dataset!B635</f>
        <v>45392</v>
      </c>
      <c r="C635" s="6" t="str">
        <f>TRIM(Dataset!C635)</f>
        <v>C79533</v>
      </c>
      <c r="D635" s="6" t="str">
        <f>TRIM(Dataset!D635)</f>
        <v>Laptop</v>
      </c>
      <c r="E635" s="13">
        <f>VALUE(TRIM(Dataset!E635))</f>
        <v>5</v>
      </c>
      <c r="F635" s="10">
        <f>VALUE(TRIM(Dataset!F635))</f>
        <v>601.72</v>
      </c>
      <c r="G635" s="6" t="str">
        <f>TRIM(Dataset!G635)</f>
        <v>921 Main St</v>
      </c>
      <c r="H635" s="6" t="str">
        <f>TRIM(Dataset!H635)</f>
        <v>Gift Card</v>
      </c>
      <c r="I635" s="6" t="str">
        <f>TRIM(Dataset!I635)</f>
        <v>Cancelled</v>
      </c>
      <c r="J635" s="6" t="str">
        <f>TRIM(Dataset!J635)</f>
        <v>TRK54711422</v>
      </c>
      <c r="K635" s="8" t="str">
        <f>TRIM(Dataset!K635)</f>
        <v>5</v>
      </c>
      <c r="L635" s="6" t="str">
        <f>Dataset!L635</f>
        <v>WINTER15</v>
      </c>
      <c r="M635" s="6" t="str">
        <f>TRIM(Dataset!M635)</f>
        <v>Instagram</v>
      </c>
      <c r="N635" s="10">
        <f>VALUE(TRIM(Dataset!N635))</f>
        <v>3008.6</v>
      </c>
    </row>
    <row r="636" spans="1:14" x14ac:dyDescent="0.35">
      <c r="A636" s="6" t="str">
        <f>TRIM(Dataset!A636)</f>
        <v>ORD200634</v>
      </c>
      <c r="B636" s="4">
        <f>Dataset!B636</f>
        <v>45407</v>
      </c>
      <c r="C636" s="6" t="str">
        <f>TRIM(Dataset!C636)</f>
        <v>C66906</v>
      </c>
      <c r="D636" s="6" t="str">
        <f>TRIM(Dataset!D636)</f>
        <v>Printer</v>
      </c>
      <c r="E636" s="13">
        <f>VALUE(TRIM(Dataset!E636))</f>
        <v>2</v>
      </c>
      <c r="F636" s="10">
        <f>VALUE(TRIM(Dataset!F636))</f>
        <v>259.32</v>
      </c>
      <c r="G636" s="6" t="str">
        <f>TRIM(Dataset!G636)</f>
        <v>117 Main St</v>
      </c>
      <c r="H636" s="6" t="str">
        <f>TRIM(Dataset!H636)</f>
        <v>Gift Card</v>
      </c>
      <c r="I636" s="6" t="str">
        <f>TRIM(Dataset!I636)</f>
        <v>Delivered</v>
      </c>
      <c r="J636" s="6" t="str">
        <f>TRIM(Dataset!J636)</f>
        <v>TRK31633755</v>
      </c>
      <c r="K636" s="8" t="str">
        <f>TRIM(Dataset!K636)</f>
        <v>2</v>
      </c>
      <c r="L636" s="6" t="str">
        <f>Dataset!L636</f>
        <v>WINTER15</v>
      </c>
      <c r="M636" s="6" t="str">
        <f>TRIM(Dataset!M636)</f>
        <v>Referral</v>
      </c>
      <c r="N636" s="10">
        <f>VALUE(TRIM(Dataset!N636))</f>
        <v>518.64</v>
      </c>
    </row>
    <row r="637" spans="1:14" x14ac:dyDescent="0.35">
      <c r="A637" s="6" t="str">
        <f>TRIM(Dataset!A637)</f>
        <v>ORD200635</v>
      </c>
      <c r="B637" s="4">
        <f>Dataset!B637</f>
        <v>45273</v>
      </c>
      <c r="C637" s="6" t="str">
        <f>TRIM(Dataset!C637)</f>
        <v>C12818</v>
      </c>
      <c r="D637" s="6" t="str">
        <f>TRIM(Dataset!D637)</f>
        <v>Chair</v>
      </c>
      <c r="E637" s="13">
        <f>VALUE(TRIM(Dataset!E637))</f>
        <v>3</v>
      </c>
      <c r="F637" s="10">
        <f>VALUE(TRIM(Dataset!F637))</f>
        <v>63.68</v>
      </c>
      <c r="G637" s="6" t="str">
        <f>TRIM(Dataset!G637)</f>
        <v>434 Main St</v>
      </c>
      <c r="H637" s="6" t="str">
        <f>TRIM(Dataset!H637)</f>
        <v>Cash</v>
      </c>
      <c r="I637" s="6" t="str">
        <f>TRIM(Dataset!I637)</f>
        <v>Returned</v>
      </c>
      <c r="J637" s="6" t="str">
        <f>TRIM(Dataset!J637)</f>
        <v>TRK40879983</v>
      </c>
      <c r="K637" s="8" t="str">
        <f>TRIM(Dataset!K637)</f>
        <v>6</v>
      </c>
      <c r="L637" s="6" t="s">
        <v>4284</v>
      </c>
      <c r="M637" s="6" t="str">
        <f>TRIM(Dataset!M637)</f>
        <v>Facebook</v>
      </c>
      <c r="N637" s="10">
        <f>VALUE(TRIM(Dataset!N637))</f>
        <v>191.04</v>
      </c>
    </row>
    <row r="638" spans="1:14" x14ac:dyDescent="0.35">
      <c r="A638" s="6" t="str">
        <f>TRIM(Dataset!A638)</f>
        <v>ORD200636</v>
      </c>
      <c r="B638" s="4">
        <f>Dataset!B638</f>
        <v>45204</v>
      </c>
      <c r="C638" s="6" t="str">
        <f>TRIM(Dataset!C638)</f>
        <v>C60384</v>
      </c>
      <c r="D638" s="6" t="str">
        <f>TRIM(Dataset!D638)</f>
        <v>Laptop</v>
      </c>
      <c r="E638" s="13">
        <f>VALUE(TRIM(Dataset!E638))</f>
        <v>4</v>
      </c>
      <c r="F638" s="10">
        <f>VALUE(TRIM(Dataset!F638))</f>
        <v>371.07</v>
      </c>
      <c r="G638" s="6" t="str">
        <f>TRIM(Dataset!G638)</f>
        <v>336 Main St</v>
      </c>
      <c r="H638" s="6" t="str">
        <f>TRIM(Dataset!H638)</f>
        <v>Cash</v>
      </c>
      <c r="I638" s="6" t="str">
        <f>TRIM(Dataset!I638)</f>
        <v>Cancelled</v>
      </c>
      <c r="J638" s="6" t="str">
        <f>TRIM(Dataset!J638)</f>
        <v>TRK92080037</v>
      </c>
      <c r="K638" s="8" t="str">
        <f>TRIM(Dataset!K638)</f>
        <v>7</v>
      </c>
      <c r="L638" s="6" t="str">
        <f>Dataset!L638</f>
        <v>WINTER15</v>
      </c>
      <c r="M638" s="6" t="str">
        <f>TRIM(Dataset!M638)</f>
        <v>Facebook</v>
      </c>
      <c r="N638" s="10">
        <f>VALUE(TRIM(Dataset!N638))</f>
        <v>1484.28</v>
      </c>
    </row>
    <row r="639" spans="1:14" x14ac:dyDescent="0.35">
      <c r="A639" s="6" t="str">
        <f>TRIM(Dataset!A639)</f>
        <v>ORD200637</v>
      </c>
      <c r="B639" s="4">
        <f>Dataset!B639</f>
        <v>45564</v>
      </c>
      <c r="C639" s="6" t="str">
        <f>TRIM(Dataset!C639)</f>
        <v>C92294</v>
      </c>
      <c r="D639" s="6" t="str">
        <f>TRIM(Dataset!D639)</f>
        <v>Chair</v>
      </c>
      <c r="E639" s="13">
        <f>VALUE(TRIM(Dataset!E639))</f>
        <v>4</v>
      </c>
      <c r="F639" s="10">
        <f>VALUE(TRIM(Dataset!F639))</f>
        <v>306.35000000000002</v>
      </c>
      <c r="G639" s="6" t="str">
        <f>TRIM(Dataset!G639)</f>
        <v>784 Main St</v>
      </c>
      <c r="H639" s="6" t="str">
        <f>TRIM(Dataset!H639)</f>
        <v>Gift Card</v>
      </c>
      <c r="I639" s="6" t="str">
        <f>TRIM(Dataset!I639)</f>
        <v>Shipped</v>
      </c>
      <c r="J639" s="6" t="str">
        <f>TRIM(Dataset!J639)</f>
        <v>TRK23585765</v>
      </c>
      <c r="K639" s="8" t="str">
        <f>TRIM(Dataset!K639)</f>
        <v>7</v>
      </c>
      <c r="L639" s="6" t="str">
        <f>Dataset!L639</f>
        <v>WINTER15</v>
      </c>
      <c r="M639" s="6" t="str">
        <f>TRIM(Dataset!M639)</f>
        <v>Referral</v>
      </c>
      <c r="N639" s="10">
        <f>VALUE(TRIM(Dataset!N639))</f>
        <v>1225.4000000000001</v>
      </c>
    </row>
    <row r="640" spans="1:14" x14ac:dyDescent="0.35">
      <c r="A640" s="6" t="str">
        <f>TRIM(Dataset!A640)</f>
        <v>ORD200638</v>
      </c>
      <c r="B640" s="4">
        <f>Dataset!B640</f>
        <v>45214</v>
      </c>
      <c r="C640" s="6" t="str">
        <f>TRIM(Dataset!C640)</f>
        <v>C66840</v>
      </c>
      <c r="D640" s="6" t="str">
        <f>TRIM(Dataset!D640)</f>
        <v>Tablet</v>
      </c>
      <c r="E640" s="13">
        <f>VALUE(TRIM(Dataset!E640))</f>
        <v>4</v>
      </c>
      <c r="F640" s="10">
        <f>VALUE(TRIM(Dataset!F640))</f>
        <v>578.27</v>
      </c>
      <c r="G640" s="6" t="str">
        <f>TRIM(Dataset!G640)</f>
        <v>547 Main St</v>
      </c>
      <c r="H640" s="6" t="str">
        <f>TRIM(Dataset!H640)</f>
        <v>Online</v>
      </c>
      <c r="I640" s="6" t="str">
        <f>TRIM(Dataset!I640)</f>
        <v>Delivered</v>
      </c>
      <c r="J640" s="6" t="str">
        <f>TRIM(Dataset!J640)</f>
        <v>TRK76929637</v>
      </c>
      <c r="K640" s="8" t="str">
        <f>TRIM(Dataset!K640)</f>
        <v>9</v>
      </c>
      <c r="L640" s="6" t="str">
        <f>Dataset!L640</f>
        <v>WINTER15</v>
      </c>
      <c r="M640" s="6" t="str">
        <f>TRIM(Dataset!M640)</f>
        <v>Email</v>
      </c>
      <c r="N640" s="10">
        <f>VALUE(TRIM(Dataset!N640))</f>
        <v>2313.08</v>
      </c>
    </row>
    <row r="641" spans="1:14" x14ac:dyDescent="0.35">
      <c r="A641" s="6" t="str">
        <f>TRIM(Dataset!A641)</f>
        <v>ORD200639</v>
      </c>
      <c r="B641" s="4">
        <f>Dataset!B641</f>
        <v>44946</v>
      </c>
      <c r="C641" s="6" t="str">
        <f>TRIM(Dataset!C641)</f>
        <v>C22534</v>
      </c>
      <c r="D641" s="6" t="str">
        <f>TRIM(Dataset!D641)</f>
        <v>Chair</v>
      </c>
      <c r="E641" s="13">
        <f>VALUE(TRIM(Dataset!E641))</f>
        <v>1</v>
      </c>
      <c r="F641" s="10">
        <f>VALUE(TRIM(Dataset!F641))</f>
        <v>529.19000000000005</v>
      </c>
      <c r="G641" s="6" t="str">
        <f>TRIM(Dataset!G641)</f>
        <v>391 Main St</v>
      </c>
      <c r="H641" s="6" t="str">
        <f>TRIM(Dataset!H641)</f>
        <v>Cash</v>
      </c>
      <c r="I641" s="6" t="str">
        <f>TRIM(Dataset!I641)</f>
        <v>Cancelled</v>
      </c>
      <c r="J641" s="6" t="str">
        <f>TRIM(Dataset!J641)</f>
        <v>TRK17415798</v>
      </c>
      <c r="K641" s="8" t="str">
        <f>TRIM(Dataset!K641)</f>
        <v>5</v>
      </c>
      <c r="L641" s="6" t="s">
        <v>4284</v>
      </c>
      <c r="M641" s="6" t="str">
        <f>TRIM(Dataset!M641)</f>
        <v>Referral</v>
      </c>
      <c r="N641" s="10">
        <f>VALUE(TRIM(Dataset!N641))</f>
        <v>529.19000000000005</v>
      </c>
    </row>
    <row r="642" spans="1:14" x14ac:dyDescent="0.35">
      <c r="A642" s="6" t="str">
        <f>TRIM(Dataset!A642)</f>
        <v>ORD200640</v>
      </c>
      <c r="B642" s="4">
        <f>Dataset!B642</f>
        <v>45349</v>
      </c>
      <c r="C642" s="6" t="str">
        <f>TRIM(Dataset!C642)</f>
        <v>C46509</v>
      </c>
      <c r="D642" s="6" t="str">
        <f>TRIM(Dataset!D642)</f>
        <v>Chair</v>
      </c>
      <c r="E642" s="13">
        <f>VALUE(TRIM(Dataset!E642))</f>
        <v>2</v>
      </c>
      <c r="F642" s="10">
        <f>VALUE(TRIM(Dataset!F642))</f>
        <v>587.49</v>
      </c>
      <c r="G642" s="6" t="str">
        <f>TRIM(Dataset!G642)</f>
        <v>647 Main St</v>
      </c>
      <c r="H642" s="6" t="str">
        <f>TRIM(Dataset!H642)</f>
        <v>Gift Card</v>
      </c>
      <c r="I642" s="6" t="str">
        <f>TRIM(Dataset!I642)</f>
        <v>Returned</v>
      </c>
      <c r="J642" s="6" t="str">
        <f>TRIM(Dataset!J642)</f>
        <v>TRK24241664</v>
      </c>
      <c r="K642" s="8" t="str">
        <f>TRIM(Dataset!K642)</f>
        <v>6</v>
      </c>
      <c r="L642" s="6" t="str">
        <f>Dataset!L642</f>
        <v>SAVE10</v>
      </c>
      <c r="M642" s="6" t="str">
        <f>TRIM(Dataset!M642)</f>
        <v>Referral</v>
      </c>
      <c r="N642" s="10">
        <f>VALUE(TRIM(Dataset!N642))</f>
        <v>1174.98</v>
      </c>
    </row>
    <row r="643" spans="1:14" x14ac:dyDescent="0.35">
      <c r="A643" s="6" t="str">
        <f>TRIM(Dataset!A643)</f>
        <v>ORD200641</v>
      </c>
      <c r="B643" s="4">
        <f>Dataset!B643</f>
        <v>45473</v>
      </c>
      <c r="C643" s="6" t="str">
        <f>TRIM(Dataset!C643)</f>
        <v>C71680</v>
      </c>
      <c r="D643" s="6" t="str">
        <f>TRIM(Dataset!D643)</f>
        <v>Printer</v>
      </c>
      <c r="E643" s="13">
        <f>VALUE(TRIM(Dataset!E643))</f>
        <v>4</v>
      </c>
      <c r="F643" s="10">
        <f>VALUE(TRIM(Dataset!F643))</f>
        <v>567.57000000000005</v>
      </c>
      <c r="G643" s="6" t="str">
        <f>TRIM(Dataset!G643)</f>
        <v>814 Main St</v>
      </c>
      <c r="H643" s="6" t="str">
        <f>TRIM(Dataset!H643)</f>
        <v>Debit Card</v>
      </c>
      <c r="I643" s="6" t="str">
        <f>TRIM(Dataset!I643)</f>
        <v>Pending</v>
      </c>
      <c r="J643" s="6" t="str">
        <f>TRIM(Dataset!J643)</f>
        <v>TRK47386650</v>
      </c>
      <c r="K643" s="8" t="str">
        <f>TRIM(Dataset!K643)</f>
        <v>9</v>
      </c>
      <c r="L643" s="6" t="str">
        <f>Dataset!L643</f>
        <v>WINTER15</v>
      </c>
      <c r="M643" s="6" t="str">
        <f>TRIM(Dataset!M643)</f>
        <v>Google</v>
      </c>
      <c r="N643" s="10">
        <f>VALUE(TRIM(Dataset!N643))</f>
        <v>2270.2800000000002</v>
      </c>
    </row>
    <row r="644" spans="1:14" x14ac:dyDescent="0.35">
      <c r="A644" s="6" t="str">
        <f>TRIM(Dataset!A644)</f>
        <v>ORD200642</v>
      </c>
      <c r="B644" s="4">
        <f>Dataset!B644</f>
        <v>45411</v>
      </c>
      <c r="C644" s="6" t="str">
        <f>TRIM(Dataset!C644)</f>
        <v>C15063</v>
      </c>
      <c r="D644" s="6" t="str">
        <f>TRIM(Dataset!D644)</f>
        <v>Chair</v>
      </c>
      <c r="E644" s="13">
        <f>VALUE(TRIM(Dataset!E644))</f>
        <v>5</v>
      </c>
      <c r="F644" s="10">
        <f>VALUE(TRIM(Dataset!F644))</f>
        <v>85.22</v>
      </c>
      <c r="G644" s="6" t="str">
        <f>TRIM(Dataset!G644)</f>
        <v>527 Main St</v>
      </c>
      <c r="H644" s="6" t="str">
        <f>TRIM(Dataset!H644)</f>
        <v>Credit Card</v>
      </c>
      <c r="I644" s="6" t="str">
        <f>TRIM(Dataset!I644)</f>
        <v>Cancelled</v>
      </c>
      <c r="J644" s="6" t="str">
        <f>TRIM(Dataset!J644)</f>
        <v>TRK10329390</v>
      </c>
      <c r="K644" s="8" t="str">
        <f>TRIM(Dataset!K644)</f>
        <v>7</v>
      </c>
      <c r="L644" s="6" t="str">
        <f>Dataset!L644</f>
        <v>FREESHIP</v>
      </c>
      <c r="M644" s="6" t="str">
        <f>TRIM(Dataset!M644)</f>
        <v>Email</v>
      </c>
      <c r="N644" s="10">
        <f>VALUE(TRIM(Dataset!N644))</f>
        <v>426.1</v>
      </c>
    </row>
    <row r="645" spans="1:14" x14ac:dyDescent="0.35">
      <c r="A645" s="6" t="str">
        <f>TRIM(Dataset!A645)</f>
        <v>ORD200643</v>
      </c>
      <c r="B645" s="4">
        <f>Dataset!B645</f>
        <v>45530</v>
      </c>
      <c r="C645" s="6" t="str">
        <f>TRIM(Dataset!C645)</f>
        <v>C77122</v>
      </c>
      <c r="D645" s="6" t="str">
        <f>TRIM(Dataset!D645)</f>
        <v>Laptop</v>
      </c>
      <c r="E645" s="13">
        <f>VALUE(TRIM(Dataset!E645))</f>
        <v>1</v>
      </c>
      <c r="F645" s="10">
        <f>VALUE(TRIM(Dataset!F645))</f>
        <v>438.37</v>
      </c>
      <c r="G645" s="6" t="str">
        <f>TRIM(Dataset!G645)</f>
        <v>647 Main St</v>
      </c>
      <c r="H645" s="6" t="str">
        <f>TRIM(Dataset!H645)</f>
        <v>Cash</v>
      </c>
      <c r="I645" s="6" t="str">
        <f>TRIM(Dataset!I645)</f>
        <v>Cancelled</v>
      </c>
      <c r="J645" s="6" t="str">
        <f>TRIM(Dataset!J645)</f>
        <v>TRK75814880</v>
      </c>
      <c r="K645" s="8" t="str">
        <f>TRIM(Dataset!K645)</f>
        <v>4</v>
      </c>
      <c r="L645" s="6" t="str">
        <f>Dataset!L645</f>
        <v>SAVE10</v>
      </c>
      <c r="M645" s="6" t="str">
        <f>TRIM(Dataset!M645)</f>
        <v>Referral</v>
      </c>
      <c r="N645" s="10">
        <f>VALUE(TRIM(Dataset!N645))</f>
        <v>438.37</v>
      </c>
    </row>
    <row r="646" spans="1:14" x14ac:dyDescent="0.35">
      <c r="A646" s="6" t="str">
        <f>TRIM(Dataset!A646)</f>
        <v>ORD200644</v>
      </c>
      <c r="B646" s="4">
        <f>Dataset!B646</f>
        <v>45245</v>
      </c>
      <c r="C646" s="6" t="str">
        <f>TRIM(Dataset!C646)</f>
        <v>C86524</v>
      </c>
      <c r="D646" s="6" t="str">
        <f>TRIM(Dataset!D646)</f>
        <v>Chair</v>
      </c>
      <c r="E646" s="13">
        <f>VALUE(TRIM(Dataset!E646))</f>
        <v>2</v>
      </c>
      <c r="F646" s="10">
        <f>VALUE(TRIM(Dataset!F646))</f>
        <v>366.23</v>
      </c>
      <c r="G646" s="6" t="str">
        <f>TRIM(Dataset!G646)</f>
        <v>961 Main St</v>
      </c>
      <c r="H646" s="6" t="str">
        <f>TRIM(Dataset!H646)</f>
        <v>Cash</v>
      </c>
      <c r="I646" s="6" t="str">
        <f>TRIM(Dataset!I646)</f>
        <v>Shipped</v>
      </c>
      <c r="J646" s="6" t="str">
        <f>TRIM(Dataset!J646)</f>
        <v>TRK62490506</v>
      </c>
      <c r="K646" s="8" t="str">
        <f>TRIM(Dataset!K646)</f>
        <v>2</v>
      </c>
      <c r="L646" s="6" t="str">
        <f>Dataset!L646</f>
        <v>WINTER15</v>
      </c>
      <c r="M646" s="6" t="str">
        <f>TRIM(Dataset!M646)</f>
        <v>Email</v>
      </c>
      <c r="N646" s="10">
        <f>VALUE(TRIM(Dataset!N646))</f>
        <v>732.46</v>
      </c>
    </row>
    <row r="647" spans="1:14" x14ac:dyDescent="0.35">
      <c r="A647" s="6" t="str">
        <f>TRIM(Dataset!A647)</f>
        <v>ORD200645</v>
      </c>
      <c r="B647" s="4">
        <f>Dataset!B647</f>
        <v>44928</v>
      </c>
      <c r="C647" s="6" t="str">
        <f>TRIM(Dataset!C647)</f>
        <v>C82990</v>
      </c>
      <c r="D647" s="6" t="str">
        <f>TRIM(Dataset!D647)</f>
        <v>Laptop</v>
      </c>
      <c r="E647" s="13">
        <f>VALUE(TRIM(Dataset!E647))</f>
        <v>2</v>
      </c>
      <c r="F647" s="10">
        <f>VALUE(TRIM(Dataset!F647))</f>
        <v>150.05000000000001</v>
      </c>
      <c r="G647" s="6" t="str">
        <f>TRIM(Dataset!G647)</f>
        <v>727 Main St</v>
      </c>
      <c r="H647" s="6" t="str">
        <f>TRIM(Dataset!H647)</f>
        <v>Credit Card</v>
      </c>
      <c r="I647" s="6" t="str">
        <f>TRIM(Dataset!I647)</f>
        <v>Cancelled</v>
      </c>
      <c r="J647" s="6" t="str">
        <f>TRIM(Dataset!J647)</f>
        <v>TRK68574801</v>
      </c>
      <c r="K647" s="8" t="str">
        <f>TRIM(Dataset!K647)</f>
        <v>4</v>
      </c>
      <c r="L647" s="6" t="str">
        <f>Dataset!L647</f>
        <v>SAVE10</v>
      </c>
      <c r="M647" s="6" t="str">
        <f>TRIM(Dataset!M647)</f>
        <v>Facebook</v>
      </c>
      <c r="N647" s="10">
        <f>VALUE(TRIM(Dataset!N647))</f>
        <v>300.10000000000002</v>
      </c>
    </row>
    <row r="648" spans="1:14" x14ac:dyDescent="0.35">
      <c r="A648" s="6" t="str">
        <f>TRIM(Dataset!A648)</f>
        <v>ORD200646</v>
      </c>
      <c r="B648" s="4">
        <f>Dataset!B648</f>
        <v>45226</v>
      </c>
      <c r="C648" s="6" t="str">
        <f>TRIM(Dataset!C648)</f>
        <v>C98761</v>
      </c>
      <c r="D648" s="6" t="str">
        <f>TRIM(Dataset!D648)</f>
        <v>Chair</v>
      </c>
      <c r="E648" s="13">
        <f>VALUE(TRIM(Dataset!E648))</f>
        <v>4</v>
      </c>
      <c r="F648" s="10">
        <f>VALUE(TRIM(Dataset!F648))</f>
        <v>498.51</v>
      </c>
      <c r="G648" s="6" t="str">
        <f>TRIM(Dataset!G648)</f>
        <v>804 Main St</v>
      </c>
      <c r="H648" s="6" t="str">
        <f>TRIM(Dataset!H648)</f>
        <v>Debit Card</v>
      </c>
      <c r="I648" s="6" t="str">
        <f>TRIM(Dataset!I648)</f>
        <v>Shipped</v>
      </c>
      <c r="J648" s="6" t="str">
        <f>TRIM(Dataset!J648)</f>
        <v>TRK43262630</v>
      </c>
      <c r="K648" s="8" t="str">
        <f>TRIM(Dataset!K648)</f>
        <v>4</v>
      </c>
      <c r="L648" s="6" t="str">
        <f>Dataset!L648</f>
        <v>SAVE10</v>
      </c>
      <c r="M648" s="6" t="str">
        <f>TRIM(Dataset!M648)</f>
        <v>Google</v>
      </c>
      <c r="N648" s="10">
        <f>VALUE(TRIM(Dataset!N648))</f>
        <v>1994.04</v>
      </c>
    </row>
    <row r="649" spans="1:14" x14ac:dyDescent="0.35">
      <c r="A649" s="6" t="str">
        <f>TRIM(Dataset!A649)</f>
        <v>ORD200647</v>
      </c>
      <c r="B649" s="4">
        <f>Dataset!B649</f>
        <v>45771</v>
      </c>
      <c r="C649" s="6" t="str">
        <f>TRIM(Dataset!C649)</f>
        <v>C54409</v>
      </c>
      <c r="D649" s="6" t="str">
        <f>TRIM(Dataset!D649)</f>
        <v>Desk</v>
      </c>
      <c r="E649" s="13">
        <f>VALUE(TRIM(Dataset!E649))</f>
        <v>3</v>
      </c>
      <c r="F649" s="10">
        <f>VALUE(TRIM(Dataset!F649))</f>
        <v>339.39</v>
      </c>
      <c r="G649" s="6" t="str">
        <f>TRIM(Dataset!G649)</f>
        <v>667 Main St</v>
      </c>
      <c r="H649" s="6" t="str">
        <f>TRIM(Dataset!H649)</f>
        <v>Cash</v>
      </c>
      <c r="I649" s="6" t="str">
        <f>TRIM(Dataset!I649)</f>
        <v>Returned</v>
      </c>
      <c r="J649" s="6" t="str">
        <f>TRIM(Dataset!J649)</f>
        <v>TRK67671316</v>
      </c>
      <c r="K649" s="8" t="str">
        <f>TRIM(Dataset!K649)</f>
        <v>7</v>
      </c>
      <c r="L649" s="6" t="str">
        <f>Dataset!L649</f>
        <v>FREESHIP</v>
      </c>
      <c r="M649" s="6" t="str">
        <f>TRIM(Dataset!M649)</f>
        <v>Google</v>
      </c>
      <c r="N649" s="10">
        <f>VALUE(TRIM(Dataset!N649))</f>
        <v>1018.17</v>
      </c>
    </row>
    <row r="650" spans="1:14" x14ac:dyDescent="0.35">
      <c r="A650" s="6" t="str">
        <f>TRIM(Dataset!A650)</f>
        <v>ORD200648</v>
      </c>
      <c r="B650" s="4">
        <f>Dataset!B650</f>
        <v>45675</v>
      </c>
      <c r="C650" s="6" t="str">
        <f>TRIM(Dataset!C650)</f>
        <v>C89674</v>
      </c>
      <c r="D650" s="6" t="str">
        <f>TRIM(Dataset!D650)</f>
        <v>Monitor</v>
      </c>
      <c r="E650" s="13">
        <f>VALUE(TRIM(Dataset!E650))</f>
        <v>2</v>
      </c>
      <c r="F650" s="10">
        <f>VALUE(TRIM(Dataset!F650))</f>
        <v>575.83000000000004</v>
      </c>
      <c r="G650" s="6" t="str">
        <f>TRIM(Dataset!G650)</f>
        <v>182 Main St</v>
      </c>
      <c r="H650" s="6" t="str">
        <f>TRIM(Dataset!H650)</f>
        <v>Online</v>
      </c>
      <c r="I650" s="6" t="str">
        <f>TRIM(Dataset!I650)</f>
        <v>Delivered</v>
      </c>
      <c r="J650" s="6" t="str">
        <f>TRIM(Dataset!J650)</f>
        <v>TRK45902512</v>
      </c>
      <c r="K650" s="8" t="str">
        <f>TRIM(Dataset!K650)</f>
        <v>3</v>
      </c>
      <c r="L650" s="6" t="str">
        <f>Dataset!L650</f>
        <v>WINTER15</v>
      </c>
      <c r="M650" s="6" t="str">
        <f>TRIM(Dataset!M650)</f>
        <v>Referral</v>
      </c>
      <c r="N650" s="10">
        <f>VALUE(TRIM(Dataset!N650))</f>
        <v>1151.6600000000001</v>
      </c>
    </row>
    <row r="651" spans="1:14" x14ac:dyDescent="0.35">
      <c r="A651" s="6" t="str">
        <f>TRIM(Dataset!A651)</f>
        <v>ORD200649</v>
      </c>
      <c r="B651" s="4">
        <f>Dataset!B651</f>
        <v>45283</v>
      </c>
      <c r="C651" s="6" t="str">
        <f>TRIM(Dataset!C651)</f>
        <v>C45899</v>
      </c>
      <c r="D651" s="6" t="str">
        <f>TRIM(Dataset!D651)</f>
        <v>Monitor</v>
      </c>
      <c r="E651" s="13">
        <f>VALUE(TRIM(Dataset!E651))</f>
        <v>2</v>
      </c>
      <c r="F651" s="10">
        <f>VALUE(TRIM(Dataset!F651))</f>
        <v>642.98</v>
      </c>
      <c r="G651" s="6" t="str">
        <f>TRIM(Dataset!G651)</f>
        <v>153 Main St</v>
      </c>
      <c r="H651" s="6" t="str">
        <f>TRIM(Dataset!H651)</f>
        <v>Debit Card</v>
      </c>
      <c r="I651" s="6" t="str">
        <f>TRIM(Dataset!I651)</f>
        <v>Returned</v>
      </c>
      <c r="J651" s="6" t="str">
        <f>TRIM(Dataset!J651)</f>
        <v>TRK32932093</v>
      </c>
      <c r="K651" s="8" t="str">
        <f>TRIM(Dataset!K651)</f>
        <v>7</v>
      </c>
      <c r="L651" s="6" t="str">
        <f>Dataset!L651</f>
        <v>FREESHIP</v>
      </c>
      <c r="M651" s="6" t="str">
        <f>TRIM(Dataset!M651)</f>
        <v>Email</v>
      </c>
      <c r="N651" s="10">
        <f>VALUE(TRIM(Dataset!N651))</f>
        <v>1285.96</v>
      </c>
    </row>
    <row r="652" spans="1:14" x14ac:dyDescent="0.35">
      <c r="A652" s="6" t="str">
        <f>TRIM(Dataset!A652)</f>
        <v>ORD200650</v>
      </c>
      <c r="B652" s="4">
        <f>Dataset!B652</f>
        <v>45064</v>
      </c>
      <c r="C652" s="6" t="str">
        <f>TRIM(Dataset!C652)</f>
        <v>C74499</v>
      </c>
      <c r="D652" s="6" t="str">
        <f>TRIM(Dataset!D652)</f>
        <v>Desk</v>
      </c>
      <c r="E652" s="13">
        <f>VALUE(TRIM(Dataset!E652))</f>
        <v>2</v>
      </c>
      <c r="F652" s="10">
        <f>VALUE(TRIM(Dataset!F652))</f>
        <v>372.23</v>
      </c>
      <c r="G652" s="6" t="str">
        <f>TRIM(Dataset!G652)</f>
        <v>518 Main St</v>
      </c>
      <c r="H652" s="6" t="str">
        <f>TRIM(Dataset!H652)</f>
        <v>Gift Card</v>
      </c>
      <c r="I652" s="6" t="str">
        <f>TRIM(Dataset!I652)</f>
        <v>Delivered</v>
      </c>
      <c r="J652" s="6" t="str">
        <f>TRIM(Dataset!J652)</f>
        <v>TRK93767278</v>
      </c>
      <c r="K652" s="8" t="str">
        <f>TRIM(Dataset!K652)</f>
        <v>7</v>
      </c>
      <c r="L652" s="6" t="str">
        <f>Dataset!L652</f>
        <v>SAVE10</v>
      </c>
      <c r="M652" s="6" t="str">
        <f>TRIM(Dataset!M652)</f>
        <v>Email</v>
      </c>
      <c r="N652" s="10">
        <f>VALUE(TRIM(Dataset!N652))</f>
        <v>744.46</v>
      </c>
    </row>
    <row r="653" spans="1:14" x14ac:dyDescent="0.35">
      <c r="A653" s="6" t="str">
        <f>TRIM(Dataset!A653)</f>
        <v>ORD200651</v>
      </c>
      <c r="B653" s="4">
        <f>Dataset!B653</f>
        <v>45608</v>
      </c>
      <c r="C653" s="6" t="str">
        <f>TRIM(Dataset!C653)</f>
        <v>C81192</v>
      </c>
      <c r="D653" s="6" t="str">
        <f>TRIM(Dataset!D653)</f>
        <v>Chair</v>
      </c>
      <c r="E653" s="13">
        <f>VALUE(TRIM(Dataset!E653))</f>
        <v>3</v>
      </c>
      <c r="F653" s="10">
        <f>VALUE(TRIM(Dataset!F653))</f>
        <v>646.34</v>
      </c>
      <c r="G653" s="6" t="str">
        <f>TRIM(Dataset!G653)</f>
        <v>429 Main St</v>
      </c>
      <c r="H653" s="6" t="str">
        <f>TRIM(Dataset!H653)</f>
        <v>Debit Card</v>
      </c>
      <c r="I653" s="6" t="str">
        <f>TRIM(Dataset!I653)</f>
        <v>Pending</v>
      </c>
      <c r="J653" s="6" t="str">
        <f>TRIM(Dataset!J653)</f>
        <v>TRK76931118</v>
      </c>
      <c r="K653" s="8" t="str">
        <f>TRIM(Dataset!K653)</f>
        <v>5</v>
      </c>
      <c r="L653" s="6" t="s">
        <v>4284</v>
      </c>
      <c r="M653" s="6" t="str">
        <f>TRIM(Dataset!M653)</f>
        <v>Google</v>
      </c>
      <c r="N653" s="10">
        <f>VALUE(TRIM(Dataset!N653))</f>
        <v>1939.02</v>
      </c>
    </row>
    <row r="654" spans="1:14" x14ac:dyDescent="0.35">
      <c r="A654" s="6" t="str">
        <f>TRIM(Dataset!A654)</f>
        <v>ORD200652</v>
      </c>
      <c r="B654" s="4">
        <f>Dataset!B654</f>
        <v>45448</v>
      </c>
      <c r="C654" s="6" t="str">
        <f>TRIM(Dataset!C654)</f>
        <v>C71473</v>
      </c>
      <c r="D654" s="6" t="str">
        <f>TRIM(Dataset!D654)</f>
        <v>Chair</v>
      </c>
      <c r="E654" s="13">
        <f>VALUE(TRIM(Dataset!E654))</f>
        <v>5</v>
      </c>
      <c r="F654" s="10">
        <f>VALUE(TRIM(Dataset!F654))</f>
        <v>341.84</v>
      </c>
      <c r="G654" s="6" t="str">
        <f>TRIM(Dataset!G654)</f>
        <v>328 Main St</v>
      </c>
      <c r="H654" s="6" t="str">
        <f>TRIM(Dataset!H654)</f>
        <v>Online</v>
      </c>
      <c r="I654" s="6" t="str">
        <f>TRIM(Dataset!I654)</f>
        <v>Shipped</v>
      </c>
      <c r="J654" s="6" t="str">
        <f>TRIM(Dataset!J654)</f>
        <v>TRK94857335</v>
      </c>
      <c r="K654" s="8" t="str">
        <f>TRIM(Dataset!K654)</f>
        <v>8</v>
      </c>
      <c r="L654" s="6" t="str">
        <f>Dataset!L654</f>
        <v>FREESHIP</v>
      </c>
      <c r="M654" s="6" t="str">
        <f>TRIM(Dataset!M654)</f>
        <v>Instagram</v>
      </c>
      <c r="N654" s="10">
        <f>VALUE(TRIM(Dataset!N654))</f>
        <v>1709.2</v>
      </c>
    </row>
    <row r="655" spans="1:14" x14ac:dyDescent="0.35">
      <c r="A655" s="6" t="str">
        <f>TRIM(Dataset!A655)</f>
        <v>ORD200653</v>
      </c>
      <c r="B655" s="4">
        <f>Dataset!B655</f>
        <v>45347</v>
      </c>
      <c r="C655" s="6" t="str">
        <f>TRIM(Dataset!C655)</f>
        <v>C59338</v>
      </c>
      <c r="D655" s="6" t="str">
        <f>TRIM(Dataset!D655)</f>
        <v>Printer</v>
      </c>
      <c r="E655" s="13">
        <f>VALUE(TRIM(Dataset!E655))</f>
        <v>3</v>
      </c>
      <c r="F655" s="10">
        <f>VALUE(TRIM(Dataset!F655))</f>
        <v>690.3</v>
      </c>
      <c r="G655" s="6" t="str">
        <f>TRIM(Dataset!G655)</f>
        <v>747 Main St</v>
      </c>
      <c r="H655" s="6" t="str">
        <f>TRIM(Dataset!H655)</f>
        <v>Credit Card</v>
      </c>
      <c r="I655" s="6" t="str">
        <f>TRIM(Dataset!I655)</f>
        <v>Shipped</v>
      </c>
      <c r="J655" s="6" t="str">
        <f>TRIM(Dataset!J655)</f>
        <v>TRK12902764</v>
      </c>
      <c r="K655" s="8" t="str">
        <f>TRIM(Dataset!K655)</f>
        <v>6</v>
      </c>
      <c r="L655" s="6" t="str">
        <f>Dataset!L655</f>
        <v>WINTER15</v>
      </c>
      <c r="M655" s="6" t="str">
        <f>TRIM(Dataset!M655)</f>
        <v>Google</v>
      </c>
      <c r="N655" s="10">
        <f>VALUE(TRIM(Dataset!N655))</f>
        <v>2070.9</v>
      </c>
    </row>
    <row r="656" spans="1:14" x14ac:dyDescent="0.35">
      <c r="A656" s="6" t="str">
        <f>TRIM(Dataset!A656)</f>
        <v>ORD200654</v>
      </c>
      <c r="B656" s="4">
        <f>Dataset!B656</f>
        <v>45089</v>
      </c>
      <c r="C656" s="6" t="str">
        <f>TRIM(Dataset!C656)</f>
        <v>C62661</v>
      </c>
      <c r="D656" s="6" t="str">
        <f>TRIM(Dataset!D656)</f>
        <v>Tablet</v>
      </c>
      <c r="E656" s="13">
        <f>VALUE(TRIM(Dataset!E656))</f>
        <v>3</v>
      </c>
      <c r="F656" s="10">
        <f>VALUE(TRIM(Dataset!F656))</f>
        <v>382.37</v>
      </c>
      <c r="G656" s="6" t="str">
        <f>TRIM(Dataset!G656)</f>
        <v>863 Main St</v>
      </c>
      <c r="H656" s="6" t="str">
        <f>TRIM(Dataset!H656)</f>
        <v>Debit Card</v>
      </c>
      <c r="I656" s="6" t="str">
        <f>TRIM(Dataset!I656)</f>
        <v>Returned</v>
      </c>
      <c r="J656" s="6" t="str">
        <f>TRIM(Dataset!J656)</f>
        <v>TRK25748100</v>
      </c>
      <c r="K656" s="8" t="str">
        <f>TRIM(Dataset!K656)</f>
        <v>8</v>
      </c>
      <c r="L656" s="6" t="s">
        <v>4284</v>
      </c>
      <c r="M656" s="6" t="str">
        <f>TRIM(Dataset!M656)</f>
        <v>Instagram</v>
      </c>
      <c r="N656" s="10">
        <f>VALUE(TRIM(Dataset!N656))</f>
        <v>1147.1099999999999</v>
      </c>
    </row>
    <row r="657" spans="1:14" x14ac:dyDescent="0.35">
      <c r="A657" s="6" t="str">
        <f>TRIM(Dataset!A657)</f>
        <v>ORD200655</v>
      </c>
      <c r="B657" s="4">
        <f>Dataset!B657</f>
        <v>44999</v>
      </c>
      <c r="C657" s="6" t="str">
        <f>TRIM(Dataset!C657)</f>
        <v>C22101</v>
      </c>
      <c r="D657" s="6" t="str">
        <f>TRIM(Dataset!D657)</f>
        <v>Chair</v>
      </c>
      <c r="E657" s="13">
        <f>VALUE(TRIM(Dataset!E657))</f>
        <v>2</v>
      </c>
      <c r="F657" s="10">
        <f>VALUE(TRIM(Dataset!F657))</f>
        <v>132.6</v>
      </c>
      <c r="G657" s="6" t="str">
        <f>TRIM(Dataset!G657)</f>
        <v>262 Main St</v>
      </c>
      <c r="H657" s="6" t="str">
        <f>TRIM(Dataset!H657)</f>
        <v>Debit Card</v>
      </c>
      <c r="I657" s="6" t="str">
        <f>TRIM(Dataset!I657)</f>
        <v>Cancelled</v>
      </c>
      <c r="J657" s="6" t="str">
        <f>TRIM(Dataset!J657)</f>
        <v>TRK70711522</v>
      </c>
      <c r="K657" s="8" t="str">
        <f>TRIM(Dataset!K657)</f>
        <v>4</v>
      </c>
      <c r="L657" s="6" t="str">
        <f>Dataset!L657</f>
        <v>WINTER15</v>
      </c>
      <c r="M657" s="6" t="str">
        <f>TRIM(Dataset!M657)</f>
        <v>Email</v>
      </c>
      <c r="N657" s="10">
        <f>VALUE(TRIM(Dataset!N657))</f>
        <v>265.2</v>
      </c>
    </row>
    <row r="658" spans="1:14" x14ac:dyDescent="0.35">
      <c r="A658" s="6" t="str">
        <f>TRIM(Dataset!A658)</f>
        <v>ORD200656</v>
      </c>
      <c r="B658" s="4">
        <f>Dataset!B658</f>
        <v>45309</v>
      </c>
      <c r="C658" s="6" t="str">
        <f>TRIM(Dataset!C658)</f>
        <v>C51404</v>
      </c>
      <c r="D658" s="6" t="str">
        <f>TRIM(Dataset!D658)</f>
        <v>Monitor</v>
      </c>
      <c r="E658" s="13">
        <f>VALUE(TRIM(Dataset!E658))</f>
        <v>2</v>
      </c>
      <c r="F658" s="10">
        <f>VALUE(TRIM(Dataset!F658))</f>
        <v>189.06</v>
      </c>
      <c r="G658" s="6" t="str">
        <f>TRIM(Dataset!G658)</f>
        <v>835 Main St</v>
      </c>
      <c r="H658" s="6" t="str">
        <f>TRIM(Dataset!H658)</f>
        <v>Gift Card</v>
      </c>
      <c r="I658" s="6" t="str">
        <f>TRIM(Dataset!I658)</f>
        <v>Shipped</v>
      </c>
      <c r="J658" s="6" t="str">
        <f>TRIM(Dataset!J658)</f>
        <v>TRK85682500</v>
      </c>
      <c r="K658" s="8" t="str">
        <f>TRIM(Dataset!K658)</f>
        <v>7</v>
      </c>
      <c r="L658" s="6" t="str">
        <f>Dataset!L658</f>
        <v>SAVE10</v>
      </c>
      <c r="M658" s="6" t="str">
        <f>TRIM(Dataset!M658)</f>
        <v>Facebook</v>
      </c>
      <c r="N658" s="10">
        <f>VALUE(TRIM(Dataset!N658))</f>
        <v>378.12</v>
      </c>
    </row>
    <row r="659" spans="1:14" x14ac:dyDescent="0.35">
      <c r="A659" s="6" t="str">
        <f>TRIM(Dataset!A659)</f>
        <v>ORD200657</v>
      </c>
      <c r="B659" s="4">
        <f>Dataset!B659</f>
        <v>45284</v>
      </c>
      <c r="C659" s="6" t="str">
        <f>TRIM(Dataset!C659)</f>
        <v>C19384</v>
      </c>
      <c r="D659" s="6" t="str">
        <f>TRIM(Dataset!D659)</f>
        <v>Tablet</v>
      </c>
      <c r="E659" s="13">
        <f>VALUE(TRIM(Dataset!E659))</f>
        <v>4</v>
      </c>
      <c r="F659" s="10">
        <f>VALUE(TRIM(Dataset!F659))</f>
        <v>87.79</v>
      </c>
      <c r="G659" s="6" t="str">
        <f>TRIM(Dataset!G659)</f>
        <v>532 Main St</v>
      </c>
      <c r="H659" s="6" t="str">
        <f>TRIM(Dataset!H659)</f>
        <v>Cash</v>
      </c>
      <c r="I659" s="6" t="str">
        <f>TRIM(Dataset!I659)</f>
        <v>Cancelled</v>
      </c>
      <c r="J659" s="6" t="str">
        <f>TRIM(Dataset!J659)</f>
        <v>TRK33207064</v>
      </c>
      <c r="K659" s="8" t="str">
        <f>TRIM(Dataset!K659)</f>
        <v>6</v>
      </c>
      <c r="L659" s="6" t="str">
        <f>Dataset!L659</f>
        <v>FREESHIP</v>
      </c>
      <c r="M659" s="6" t="str">
        <f>TRIM(Dataset!M659)</f>
        <v>Instagram</v>
      </c>
      <c r="N659" s="10">
        <f>VALUE(TRIM(Dataset!N659))</f>
        <v>351.16</v>
      </c>
    </row>
    <row r="660" spans="1:14" x14ac:dyDescent="0.35">
      <c r="A660" s="6" t="str">
        <f>TRIM(Dataset!A660)</f>
        <v>ORD200658</v>
      </c>
      <c r="B660" s="4">
        <f>Dataset!B660</f>
        <v>45765</v>
      </c>
      <c r="C660" s="6" t="str">
        <f>TRIM(Dataset!C660)</f>
        <v>C86864</v>
      </c>
      <c r="D660" s="6" t="str">
        <f>TRIM(Dataset!D660)</f>
        <v>Printer</v>
      </c>
      <c r="E660" s="13">
        <f>VALUE(TRIM(Dataset!E660))</f>
        <v>2</v>
      </c>
      <c r="F660" s="10">
        <f>VALUE(TRIM(Dataset!F660))</f>
        <v>46.36</v>
      </c>
      <c r="G660" s="6" t="str">
        <f>TRIM(Dataset!G660)</f>
        <v>670 Main St</v>
      </c>
      <c r="H660" s="6" t="str">
        <f>TRIM(Dataset!H660)</f>
        <v>Gift Card</v>
      </c>
      <c r="I660" s="6" t="str">
        <f>TRIM(Dataset!I660)</f>
        <v>Returned</v>
      </c>
      <c r="J660" s="6" t="str">
        <f>TRIM(Dataset!J660)</f>
        <v>TRK15323191</v>
      </c>
      <c r="K660" s="8" t="str">
        <f>TRIM(Dataset!K660)</f>
        <v>4</v>
      </c>
      <c r="L660" s="6" t="str">
        <f>Dataset!L660</f>
        <v>SAVE10</v>
      </c>
      <c r="M660" s="6" t="str">
        <f>TRIM(Dataset!M660)</f>
        <v>Google</v>
      </c>
      <c r="N660" s="10">
        <f>VALUE(TRIM(Dataset!N660))</f>
        <v>92.72</v>
      </c>
    </row>
    <row r="661" spans="1:14" x14ac:dyDescent="0.35">
      <c r="A661" s="6" t="str">
        <f>TRIM(Dataset!A661)</f>
        <v>ORD200659</v>
      </c>
      <c r="B661" s="4">
        <f>Dataset!B661</f>
        <v>45591</v>
      </c>
      <c r="C661" s="6" t="str">
        <f>TRIM(Dataset!C661)</f>
        <v>C24301</v>
      </c>
      <c r="D661" s="6" t="str">
        <f>TRIM(Dataset!D661)</f>
        <v>Phone</v>
      </c>
      <c r="E661" s="13">
        <f>VALUE(TRIM(Dataset!E661))</f>
        <v>2</v>
      </c>
      <c r="F661" s="10">
        <f>VALUE(TRIM(Dataset!F661))</f>
        <v>642.04</v>
      </c>
      <c r="G661" s="6" t="str">
        <f>TRIM(Dataset!G661)</f>
        <v>964 Main St</v>
      </c>
      <c r="H661" s="6" t="str">
        <f>TRIM(Dataset!H661)</f>
        <v>Gift Card</v>
      </c>
      <c r="I661" s="6" t="str">
        <f>TRIM(Dataset!I661)</f>
        <v>Delivered</v>
      </c>
      <c r="J661" s="6" t="str">
        <f>TRIM(Dataset!J661)</f>
        <v>TRK55000075</v>
      </c>
      <c r="K661" s="8" t="str">
        <f>TRIM(Dataset!K661)</f>
        <v>4</v>
      </c>
      <c r="L661" s="6" t="str">
        <f>Dataset!L661</f>
        <v>WINTER15</v>
      </c>
      <c r="M661" s="6" t="str">
        <f>TRIM(Dataset!M661)</f>
        <v>Email</v>
      </c>
      <c r="N661" s="10">
        <f>VALUE(TRIM(Dataset!N661))</f>
        <v>1284.08</v>
      </c>
    </row>
    <row r="662" spans="1:14" x14ac:dyDescent="0.35">
      <c r="A662" s="6" t="str">
        <f>TRIM(Dataset!A662)</f>
        <v>ORD200660</v>
      </c>
      <c r="B662" s="4">
        <f>Dataset!B662</f>
        <v>45584</v>
      </c>
      <c r="C662" s="6" t="str">
        <f>TRIM(Dataset!C662)</f>
        <v>C43842</v>
      </c>
      <c r="D662" s="6" t="str">
        <f>TRIM(Dataset!D662)</f>
        <v>Chair</v>
      </c>
      <c r="E662" s="13">
        <f>VALUE(TRIM(Dataset!E662))</f>
        <v>2</v>
      </c>
      <c r="F662" s="10">
        <f>VALUE(TRIM(Dataset!F662))</f>
        <v>651.57000000000005</v>
      </c>
      <c r="G662" s="6" t="str">
        <f>TRIM(Dataset!G662)</f>
        <v>933 Main St</v>
      </c>
      <c r="H662" s="6" t="str">
        <f>TRIM(Dataset!H662)</f>
        <v>Debit Card</v>
      </c>
      <c r="I662" s="6" t="str">
        <f>TRIM(Dataset!I662)</f>
        <v>Shipped</v>
      </c>
      <c r="J662" s="6" t="str">
        <f>TRIM(Dataset!J662)</f>
        <v>TRK54084424</v>
      </c>
      <c r="K662" s="8" t="str">
        <f>TRIM(Dataset!K662)</f>
        <v>7</v>
      </c>
      <c r="L662" s="6" t="str">
        <f>Dataset!L662</f>
        <v>WINTER15</v>
      </c>
      <c r="M662" s="6" t="str">
        <f>TRIM(Dataset!M662)</f>
        <v>Facebook</v>
      </c>
      <c r="N662" s="10">
        <f>VALUE(TRIM(Dataset!N662))</f>
        <v>1303.1400000000001</v>
      </c>
    </row>
    <row r="663" spans="1:14" x14ac:dyDescent="0.35">
      <c r="A663" s="6" t="str">
        <f>TRIM(Dataset!A663)</f>
        <v>ORD200661</v>
      </c>
      <c r="B663" s="4">
        <f>Dataset!B663</f>
        <v>45716</v>
      </c>
      <c r="C663" s="6" t="str">
        <f>TRIM(Dataset!C663)</f>
        <v>C63657</v>
      </c>
      <c r="D663" s="6" t="str">
        <f>TRIM(Dataset!D663)</f>
        <v>Tablet</v>
      </c>
      <c r="E663" s="13">
        <f>VALUE(TRIM(Dataset!E663))</f>
        <v>3</v>
      </c>
      <c r="F663" s="10">
        <f>VALUE(TRIM(Dataset!F663))</f>
        <v>424.89</v>
      </c>
      <c r="G663" s="6" t="str">
        <f>TRIM(Dataset!G663)</f>
        <v>116 Main St</v>
      </c>
      <c r="H663" s="6" t="str">
        <f>TRIM(Dataset!H663)</f>
        <v>Debit Card</v>
      </c>
      <c r="I663" s="6" t="str">
        <f>TRIM(Dataset!I663)</f>
        <v>Cancelled</v>
      </c>
      <c r="J663" s="6" t="str">
        <f>TRIM(Dataset!J663)</f>
        <v>TRK86378984</v>
      </c>
      <c r="K663" s="8" t="str">
        <f>TRIM(Dataset!K663)</f>
        <v>6</v>
      </c>
      <c r="L663" s="6" t="str">
        <f>Dataset!L663</f>
        <v>FREESHIP</v>
      </c>
      <c r="M663" s="6" t="str">
        <f>TRIM(Dataset!M663)</f>
        <v>Google</v>
      </c>
      <c r="N663" s="10">
        <f>VALUE(TRIM(Dataset!N663))</f>
        <v>1274.67</v>
      </c>
    </row>
    <row r="664" spans="1:14" x14ac:dyDescent="0.35">
      <c r="A664" s="6" t="str">
        <f>TRIM(Dataset!A664)</f>
        <v>ORD200662</v>
      </c>
      <c r="B664" s="4">
        <f>Dataset!B664</f>
        <v>44954</v>
      </c>
      <c r="C664" s="6" t="str">
        <f>TRIM(Dataset!C664)</f>
        <v>C98332</v>
      </c>
      <c r="D664" s="6" t="str">
        <f>TRIM(Dataset!D664)</f>
        <v>Laptop</v>
      </c>
      <c r="E664" s="13">
        <f>VALUE(TRIM(Dataset!E664))</f>
        <v>3</v>
      </c>
      <c r="F664" s="10">
        <f>VALUE(TRIM(Dataset!F664))</f>
        <v>438.89</v>
      </c>
      <c r="G664" s="6" t="str">
        <f>TRIM(Dataset!G664)</f>
        <v>985 Main St</v>
      </c>
      <c r="H664" s="6" t="str">
        <f>TRIM(Dataset!H664)</f>
        <v>Cash</v>
      </c>
      <c r="I664" s="6" t="str">
        <f>TRIM(Dataset!I664)</f>
        <v>Returned</v>
      </c>
      <c r="J664" s="6" t="str">
        <f>TRIM(Dataset!J664)</f>
        <v>TRK85744797</v>
      </c>
      <c r="K664" s="8" t="str">
        <f>TRIM(Dataset!K664)</f>
        <v>3</v>
      </c>
      <c r="L664" s="6" t="s">
        <v>4284</v>
      </c>
      <c r="M664" s="6" t="str">
        <f>TRIM(Dataset!M664)</f>
        <v>Facebook</v>
      </c>
      <c r="N664" s="10">
        <f>VALUE(TRIM(Dataset!N664))</f>
        <v>1316.67</v>
      </c>
    </row>
    <row r="665" spans="1:14" x14ac:dyDescent="0.35">
      <c r="A665" s="6" t="str">
        <f>TRIM(Dataset!A665)</f>
        <v>ORD200663</v>
      </c>
      <c r="B665" s="4">
        <f>Dataset!B665</f>
        <v>45397</v>
      </c>
      <c r="C665" s="6" t="str">
        <f>TRIM(Dataset!C665)</f>
        <v>C59774</v>
      </c>
      <c r="D665" s="6" t="str">
        <f>TRIM(Dataset!D665)</f>
        <v>Monitor</v>
      </c>
      <c r="E665" s="13">
        <f>VALUE(TRIM(Dataset!E665))</f>
        <v>1</v>
      </c>
      <c r="F665" s="10">
        <f>VALUE(TRIM(Dataset!F665))</f>
        <v>72.599999999999994</v>
      </c>
      <c r="G665" s="6" t="str">
        <f>TRIM(Dataset!G665)</f>
        <v>941 Main St</v>
      </c>
      <c r="H665" s="6" t="str">
        <f>TRIM(Dataset!H665)</f>
        <v>Debit Card</v>
      </c>
      <c r="I665" s="6" t="str">
        <f>TRIM(Dataset!I665)</f>
        <v>Cancelled</v>
      </c>
      <c r="J665" s="6" t="str">
        <f>TRIM(Dataset!J665)</f>
        <v>TRK87635135</v>
      </c>
      <c r="K665" s="8" t="str">
        <f>TRIM(Dataset!K665)</f>
        <v>6</v>
      </c>
      <c r="L665" s="6" t="str">
        <f>Dataset!L665</f>
        <v>FREESHIP</v>
      </c>
      <c r="M665" s="6" t="str">
        <f>TRIM(Dataset!M665)</f>
        <v>Instagram</v>
      </c>
      <c r="N665" s="10">
        <f>VALUE(TRIM(Dataset!N665))</f>
        <v>72.599999999999994</v>
      </c>
    </row>
    <row r="666" spans="1:14" x14ac:dyDescent="0.35">
      <c r="A666" s="6" t="str">
        <f>TRIM(Dataset!A666)</f>
        <v>ORD200664</v>
      </c>
      <c r="B666" s="4">
        <f>Dataset!B666</f>
        <v>45645</v>
      </c>
      <c r="C666" s="6" t="str">
        <f>TRIM(Dataset!C666)</f>
        <v>C14847</v>
      </c>
      <c r="D666" s="6" t="str">
        <f>TRIM(Dataset!D666)</f>
        <v>Laptop</v>
      </c>
      <c r="E666" s="13">
        <f>VALUE(TRIM(Dataset!E666))</f>
        <v>4</v>
      </c>
      <c r="F666" s="10">
        <f>VALUE(TRIM(Dataset!F666))</f>
        <v>194.75</v>
      </c>
      <c r="G666" s="6" t="str">
        <f>TRIM(Dataset!G666)</f>
        <v>188 Main St</v>
      </c>
      <c r="H666" s="6" t="str">
        <f>TRIM(Dataset!H666)</f>
        <v>Cash</v>
      </c>
      <c r="I666" s="6" t="str">
        <f>TRIM(Dataset!I666)</f>
        <v>Shipped</v>
      </c>
      <c r="J666" s="6" t="str">
        <f>TRIM(Dataset!J666)</f>
        <v>TRK46492755</v>
      </c>
      <c r="K666" s="8" t="str">
        <f>TRIM(Dataset!K666)</f>
        <v>5</v>
      </c>
      <c r="L666" s="6" t="s">
        <v>4284</v>
      </c>
      <c r="M666" s="6" t="str">
        <f>TRIM(Dataset!M666)</f>
        <v>Facebook</v>
      </c>
      <c r="N666" s="10">
        <f>VALUE(TRIM(Dataset!N666))</f>
        <v>779</v>
      </c>
    </row>
    <row r="667" spans="1:14" x14ac:dyDescent="0.35">
      <c r="A667" s="6" t="str">
        <f>TRIM(Dataset!A667)</f>
        <v>ORD200665</v>
      </c>
      <c r="B667" s="4">
        <f>Dataset!B667</f>
        <v>45048</v>
      </c>
      <c r="C667" s="6" t="str">
        <f>TRIM(Dataset!C667)</f>
        <v>C83653</v>
      </c>
      <c r="D667" s="6" t="str">
        <f>TRIM(Dataset!D667)</f>
        <v>Tablet</v>
      </c>
      <c r="E667" s="13">
        <f>VALUE(TRIM(Dataset!E667))</f>
        <v>4</v>
      </c>
      <c r="F667" s="10">
        <f>VALUE(TRIM(Dataset!F667))</f>
        <v>231.26</v>
      </c>
      <c r="G667" s="6" t="str">
        <f>TRIM(Dataset!G667)</f>
        <v>253 Main St</v>
      </c>
      <c r="H667" s="6" t="str">
        <f>TRIM(Dataset!H667)</f>
        <v>Online</v>
      </c>
      <c r="I667" s="6" t="str">
        <f>TRIM(Dataset!I667)</f>
        <v>Shipped</v>
      </c>
      <c r="J667" s="6" t="str">
        <f>TRIM(Dataset!J667)</f>
        <v>TRK32619935</v>
      </c>
      <c r="K667" s="8" t="str">
        <f>TRIM(Dataset!K667)</f>
        <v>6</v>
      </c>
      <c r="L667" s="6" t="str">
        <f>Dataset!L667</f>
        <v>WINTER15</v>
      </c>
      <c r="M667" s="6" t="str">
        <f>TRIM(Dataset!M667)</f>
        <v>Google</v>
      </c>
      <c r="N667" s="10">
        <f>VALUE(TRIM(Dataset!N667))</f>
        <v>925.04</v>
      </c>
    </row>
    <row r="668" spans="1:14" x14ac:dyDescent="0.35">
      <c r="A668" s="6" t="str">
        <f>TRIM(Dataset!A668)</f>
        <v>ORD200666</v>
      </c>
      <c r="B668" s="4">
        <f>Dataset!B668</f>
        <v>45535</v>
      </c>
      <c r="C668" s="6" t="str">
        <f>TRIM(Dataset!C668)</f>
        <v>C35711</v>
      </c>
      <c r="D668" s="6" t="str">
        <f>TRIM(Dataset!D668)</f>
        <v>Monitor</v>
      </c>
      <c r="E668" s="13">
        <f>VALUE(TRIM(Dataset!E668))</f>
        <v>4</v>
      </c>
      <c r="F668" s="10">
        <f>VALUE(TRIM(Dataset!F668))</f>
        <v>327.12</v>
      </c>
      <c r="G668" s="6" t="str">
        <f>TRIM(Dataset!G668)</f>
        <v>788 Main St</v>
      </c>
      <c r="H668" s="6" t="str">
        <f>TRIM(Dataset!H668)</f>
        <v>Credit Card</v>
      </c>
      <c r="I668" s="6" t="str">
        <f>TRIM(Dataset!I668)</f>
        <v>Cancelled</v>
      </c>
      <c r="J668" s="6" t="str">
        <f>TRIM(Dataset!J668)</f>
        <v>TRK45281495</v>
      </c>
      <c r="K668" s="8" t="str">
        <f>TRIM(Dataset!K668)</f>
        <v>4</v>
      </c>
      <c r="L668" s="6" t="s">
        <v>4284</v>
      </c>
      <c r="M668" s="6" t="str">
        <f>TRIM(Dataset!M668)</f>
        <v>Email</v>
      </c>
      <c r="N668" s="10">
        <f>VALUE(TRIM(Dataset!N668))</f>
        <v>1308.48</v>
      </c>
    </row>
    <row r="669" spans="1:14" x14ac:dyDescent="0.35">
      <c r="A669" s="6" t="str">
        <f>TRIM(Dataset!A669)</f>
        <v>ORD200667</v>
      </c>
      <c r="B669" s="4">
        <f>Dataset!B669</f>
        <v>45049</v>
      </c>
      <c r="C669" s="6" t="str">
        <f>TRIM(Dataset!C669)</f>
        <v>C10477</v>
      </c>
      <c r="D669" s="6" t="str">
        <f>TRIM(Dataset!D669)</f>
        <v>Laptop</v>
      </c>
      <c r="E669" s="13">
        <f>VALUE(TRIM(Dataset!E669))</f>
        <v>1</v>
      </c>
      <c r="F669" s="10">
        <f>VALUE(TRIM(Dataset!F669))</f>
        <v>466.42</v>
      </c>
      <c r="G669" s="6" t="str">
        <f>TRIM(Dataset!G669)</f>
        <v>172 Main St</v>
      </c>
      <c r="H669" s="6" t="str">
        <f>TRIM(Dataset!H669)</f>
        <v>Gift Card</v>
      </c>
      <c r="I669" s="6" t="str">
        <f>TRIM(Dataset!I669)</f>
        <v>Pending</v>
      </c>
      <c r="J669" s="6" t="str">
        <f>TRIM(Dataset!J669)</f>
        <v>TRK41505339</v>
      </c>
      <c r="K669" s="8" t="str">
        <f>TRIM(Dataset!K669)</f>
        <v>5</v>
      </c>
      <c r="L669" s="6" t="str">
        <f>Dataset!L669</f>
        <v>SAVE10</v>
      </c>
      <c r="M669" s="6" t="str">
        <f>TRIM(Dataset!M669)</f>
        <v>Email</v>
      </c>
      <c r="N669" s="10">
        <f>VALUE(TRIM(Dataset!N669))</f>
        <v>466.42</v>
      </c>
    </row>
    <row r="670" spans="1:14" x14ac:dyDescent="0.35">
      <c r="A670" s="6" t="str">
        <f>TRIM(Dataset!A670)</f>
        <v>ORD200668</v>
      </c>
      <c r="B670" s="4">
        <f>Dataset!B670</f>
        <v>45478</v>
      </c>
      <c r="C670" s="6" t="str">
        <f>TRIM(Dataset!C670)</f>
        <v>C61257</v>
      </c>
      <c r="D670" s="6" t="str">
        <f>TRIM(Dataset!D670)</f>
        <v>Monitor</v>
      </c>
      <c r="E670" s="13">
        <f>VALUE(TRIM(Dataset!E670))</f>
        <v>2</v>
      </c>
      <c r="F670" s="10">
        <f>VALUE(TRIM(Dataset!F670))</f>
        <v>253.67</v>
      </c>
      <c r="G670" s="6" t="str">
        <f>TRIM(Dataset!G670)</f>
        <v>981 Main St</v>
      </c>
      <c r="H670" s="6" t="str">
        <f>TRIM(Dataset!H670)</f>
        <v>Cash</v>
      </c>
      <c r="I670" s="6" t="str">
        <f>TRIM(Dataset!I670)</f>
        <v>Returned</v>
      </c>
      <c r="J670" s="6" t="str">
        <f>TRIM(Dataset!J670)</f>
        <v>TRK25226070</v>
      </c>
      <c r="K670" s="8" t="str">
        <f>TRIM(Dataset!K670)</f>
        <v>3</v>
      </c>
      <c r="L670" s="6" t="str">
        <f>Dataset!L670</f>
        <v>WINTER15</v>
      </c>
      <c r="M670" s="6" t="str">
        <f>TRIM(Dataset!M670)</f>
        <v>Facebook</v>
      </c>
      <c r="N670" s="10">
        <f>VALUE(TRIM(Dataset!N670))</f>
        <v>507.34</v>
      </c>
    </row>
    <row r="671" spans="1:14" x14ac:dyDescent="0.35">
      <c r="A671" s="6" t="str">
        <f>TRIM(Dataset!A671)</f>
        <v>ORD200669</v>
      </c>
      <c r="B671" s="4">
        <f>Dataset!B671</f>
        <v>44962</v>
      </c>
      <c r="C671" s="6" t="str">
        <f>TRIM(Dataset!C671)</f>
        <v>C60547</v>
      </c>
      <c r="D671" s="6" t="str">
        <f>TRIM(Dataset!D671)</f>
        <v>Desk</v>
      </c>
      <c r="E671" s="13">
        <f>VALUE(TRIM(Dataset!E671))</f>
        <v>1</v>
      </c>
      <c r="F671" s="10">
        <f>VALUE(TRIM(Dataset!F671))</f>
        <v>257</v>
      </c>
      <c r="G671" s="6" t="str">
        <f>TRIM(Dataset!G671)</f>
        <v>812 Main St</v>
      </c>
      <c r="H671" s="6" t="str">
        <f>TRIM(Dataset!H671)</f>
        <v>Debit Card</v>
      </c>
      <c r="I671" s="6" t="str">
        <f>TRIM(Dataset!I671)</f>
        <v>Cancelled</v>
      </c>
      <c r="J671" s="6" t="str">
        <f>TRIM(Dataset!J671)</f>
        <v>TRK65694249</v>
      </c>
      <c r="K671" s="8" t="str">
        <f>TRIM(Dataset!K671)</f>
        <v>5</v>
      </c>
      <c r="L671" s="6" t="s">
        <v>4284</v>
      </c>
      <c r="M671" s="6" t="str">
        <f>TRIM(Dataset!M671)</f>
        <v>Referral</v>
      </c>
      <c r="N671" s="10">
        <f>VALUE(TRIM(Dataset!N671))</f>
        <v>257</v>
      </c>
    </row>
    <row r="672" spans="1:14" x14ac:dyDescent="0.35">
      <c r="A672" s="6" t="str">
        <f>TRIM(Dataset!A672)</f>
        <v>ORD200670</v>
      </c>
      <c r="B672" s="4">
        <f>Dataset!B672</f>
        <v>45400</v>
      </c>
      <c r="C672" s="6" t="str">
        <f>TRIM(Dataset!C672)</f>
        <v>C14576</v>
      </c>
      <c r="D672" s="6" t="str">
        <f>TRIM(Dataset!D672)</f>
        <v>Desk</v>
      </c>
      <c r="E672" s="13">
        <f>VALUE(TRIM(Dataset!E672))</f>
        <v>4</v>
      </c>
      <c r="F672" s="10">
        <f>VALUE(TRIM(Dataset!F672))</f>
        <v>539.20000000000005</v>
      </c>
      <c r="G672" s="6" t="str">
        <f>TRIM(Dataset!G672)</f>
        <v>747 Main St</v>
      </c>
      <c r="H672" s="6" t="str">
        <f>TRIM(Dataset!H672)</f>
        <v>Credit Card</v>
      </c>
      <c r="I672" s="6" t="str">
        <f>TRIM(Dataset!I672)</f>
        <v>Pending</v>
      </c>
      <c r="J672" s="6" t="str">
        <f>TRIM(Dataset!J672)</f>
        <v>TRK21637540</v>
      </c>
      <c r="K672" s="8" t="str">
        <f>TRIM(Dataset!K672)</f>
        <v>8</v>
      </c>
      <c r="L672" s="6" t="str">
        <f>Dataset!L672</f>
        <v>FREESHIP</v>
      </c>
      <c r="M672" s="6" t="str">
        <f>TRIM(Dataset!M672)</f>
        <v>Google</v>
      </c>
      <c r="N672" s="10">
        <f>VALUE(TRIM(Dataset!N672))</f>
        <v>2156.8000000000002</v>
      </c>
    </row>
    <row r="673" spans="1:14" x14ac:dyDescent="0.35">
      <c r="A673" s="6" t="str">
        <f>TRIM(Dataset!A673)</f>
        <v>ORD200671</v>
      </c>
      <c r="B673" s="4">
        <f>Dataset!B673</f>
        <v>45092</v>
      </c>
      <c r="C673" s="6" t="str">
        <f>TRIM(Dataset!C673)</f>
        <v>C49282</v>
      </c>
      <c r="D673" s="6" t="str">
        <f>TRIM(Dataset!D673)</f>
        <v>Chair</v>
      </c>
      <c r="E673" s="13">
        <f>VALUE(TRIM(Dataset!E673))</f>
        <v>5</v>
      </c>
      <c r="F673" s="10">
        <f>VALUE(TRIM(Dataset!F673))</f>
        <v>50.74</v>
      </c>
      <c r="G673" s="6" t="str">
        <f>TRIM(Dataset!G673)</f>
        <v>737 Main St</v>
      </c>
      <c r="H673" s="6" t="str">
        <f>TRIM(Dataset!H673)</f>
        <v>Gift Card</v>
      </c>
      <c r="I673" s="6" t="str">
        <f>TRIM(Dataset!I673)</f>
        <v>Cancelled</v>
      </c>
      <c r="J673" s="6" t="str">
        <f>TRIM(Dataset!J673)</f>
        <v>TRK88653901</v>
      </c>
      <c r="K673" s="8" t="str">
        <f>TRIM(Dataset!K673)</f>
        <v>7</v>
      </c>
      <c r="L673" s="6" t="str">
        <f>Dataset!L673</f>
        <v>WINTER15</v>
      </c>
      <c r="M673" s="6" t="str">
        <f>TRIM(Dataset!M673)</f>
        <v>Google</v>
      </c>
      <c r="N673" s="10">
        <f>VALUE(TRIM(Dataset!N673))</f>
        <v>253.7</v>
      </c>
    </row>
    <row r="674" spans="1:14" x14ac:dyDescent="0.35">
      <c r="A674" s="6" t="str">
        <f>TRIM(Dataset!A674)</f>
        <v>ORD200672</v>
      </c>
      <c r="B674" s="4">
        <f>Dataset!B674</f>
        <v>45055</v>
      </c>
      <c r="C674" s="6" t="str">
        <f>TRIM(Dataset!C674)</f>
        <v>C14017</v>
      </c>
      <c r="D674" s="6" t="str">
        <f>TRIM(Dataset!D674)</f>
        <v>Phone</v>
      </c>
      <c r="E674" s="13">
        <f>VALUE(TRIM(Dataset!E674))</f>
        <v>2</v>
      </c>
      <c r="F674" s="10">
        <f>VALUE(TRIM(Dataset!F674))</f>
        <v>624.16</v>
      </c>
      <c r="G674" s="6" t="str">
        <f>TRIM(Dataset!G674)</f>
        <v>984 Main St</v>
      </c>
      <c r="H674" s="6" t="str">
        <f>TRIM(Dataset!H674)</f>
        <v>Debit Card</v>
      </c>
      <c r="I674" s="6" t="str">
        <f>TRIM(Dataset!I674)</f>
        <v>Shipped</v>
      </c>
      <c r="J674" s="6" t="str">
        <f>TRIM(Dataset!J674)</f>
        <v>TRK71009446</v>
      </c>
      <c r="K674" s="8" t="str">
        <f>TRIM(Dataset!K674)</f>
        <v>2</v>
      </c>
      <c r="L674" s="6" t="str">
        <f>Dataset!L674</f>
        <v>SAVE10</v>
      </c>
      <c r="M674" s="6" t="str">
        <f>TRIM(Dataset!M674)</f>
        <v>Instagram</v>
      </c>
      <c r="N674" s="10">
        <f>VALUE(TRIM(Dataset!N674))</f>
        <v>1248.32</v>
      </c>
    </row>
    <row r="675" spans="1:14" x14ac:dyDescent="0.35">
      <c r="A675" s="6" t="str">
        <f>TRIM(Dataset!A675)</f>
        <v>ORD200673</v>
      </c>
      <c r="B675" s="4">
        <f>Dataset!B675</f>
        <v>44978</v>
      </c>
      <c r="C675" s="6" t="str">
        <f>TRIM(Dataset!C675)</f>
        <v>C46504</v>
      </c>
      <c r="D675" s="6" t="str">
        <f>TRIM(Dataset!D675)</f>
        <v>Tablet</v>
      </c>
      <c r="E675" s="13">
        <f>VALUE(TRIM(Dataset!E675))</f>
        <v>2</v>
      </c>
      <c r="F675" s="10">
        <f>VALUE(TRIM(Dataset!F675))</f>
        <v>372.92</v>
      </c>
      <c r="G675" s="6" t="str">
        <f>TRIM(Dataset!G675)</f>
        <v>131 Main St</v>
      </c>
      <c r="H675" s="6" t="str">
        <f>TRIM(Dataset!H675)</f>
        <v>Credit Card</v>
      </c>
      <c r="I675" s="6" t="str">
        <f>TRIM(Dataset!I675)</f>
        <v>Delivered</v>
      </c>
      <c r="J675" s="6" t="str">
        <f>TRIM(Dataset!J675)</f>
        <v>TRK95024356</v>
      </c>
      <c r="K675" s="8" t="str">
        <f>TRIM(Dataset!K675)</f>
        <v>7</v>
      </c>
      <c r="L675" s="6" t="str">
        <f>Dataset!L675</f>
        <v>SAVE10</v>
      </c>
      <c r="M675" s="6" t="str">
        <f>TRIM(Dataset!M675)</f>
        <v>Email</v>
      </c>
      <c r="N675" s="10">
        <f>VALUE(TRIM(Dataset!N675))</f>
        <v>745.84</v>
      </c>
    </row>
    <row r="676" spans="1:14" x14ac:dyDescent="0.35">
      <c r="A676" s="6" t="str">
        <f>TRIM(Dataset!A676)</f>
        <v>ORD200674</v>
      </c>
      <c r="B676" s="4">
        <f>Dataset!B676</f>
        <v>45300</v>
      </c>
      <c r="C676" s="6" t="str">
        <f>TRIM(Dataset!C676)</f>
        <v>C56928</v>
      </c>
      <c r="D676" s="6" t="str">
        <f>TRIM(Dataset!D676)</f>
        <v>Laptop</v>
      </c>
      <c r="E676" s="13">
        <f>VALUE(TRIM(Dataset!E676))</f>
        <v>4</v>
      </c>
      <c r="F676" s="10">
        <f>VALUE(TRIM(Dataset!F676))</f>
        <v>358.75</v>
      </c>
      <c r="G676" s="6" t="str">
        <f>TRIM(Dataset!G676)</f>
        <v>860 Main St</v>
      </c>
      <c r="H676" s="6" t="str">
        <f>TRIM(Dataset!H676)</f>
        <v>Gift Card</v>
      </c>
      <c r="I676" s="6" t="str">
        <f>TRIM(Dataset!I676)</f>
        <v>Delivered</v>
      </c>
      <c r="J676" s="6" t="str">
        <f>TRIM(Dataset!J676)</f>
        <v>TRK57792939</v>
      </c>
      <c r="K676" s="8" t="str">
        <f>TRIM(Dataset!K676)</f>
        <v>9</v>
      </c>
      <c r="L676" s="6" t="str">
        <f>Dataset!L676</f>
        <v>SAVE10</v>
      </c>
      <c r="M676" s="6" t="str">
        <f>TRIM(Dataset!M676)</f>
        <v>Facebook</v>
      </c>
      <c r="N676" s="10">
        <f>VALUE(TRIM(Dataset!N676))</f>
        <v>1435</v>
      </c>
    </row>
    <row r="677" spans="1:14" x14ac:dyDescent="0.35">
      <c r="A677" s="6" t="str">
        <f>TRIM(Dataset!A677)</f>
        <v>ORD200675</v>
      </c>
      <c r="B677" s="4">
        <f>Dataset!B677</f>
        <v>45510</v>
      </c>
      <c r="C677" s="6" t="str">
        <f>TRIM(Dataset!C677)</f>
        <v>C97749</v>
      </c>
      <c r="D677" s="6" t="str">
        <f>TRIM(Dataset!D677)</f>
        <v>Desk</v>
      </c>
      <c r="E677" s="13">
        <f>VALUE(TRIM(Dataset!E677))</f>
        <v>3</v>
      </c>
      <c r="F677" s="10">
        <f>VALUE(TRIM(Dataset!F677))</f>
        <v>342.02</v>
      </c>
      <c r="G677" s="6" t="str">
        <f>TRIM(Dataset!G677)</f>
        <v>906 Main St</v>
      </c>
      <c r="H677" s="6" t="str">
        <f>TRIM(Dataset!H677)</f>
        <v>Debit Card</v>
      </c>
      <c r="I677" s="6" t="str">
        <f>TRIM(Dataset!I677)</f>
        <v>Pending</v>
      </c>
      <c r="J677" s="6" t="str">
        <f>TRIM(Dataset!J677)</f>
        <v>TRK90233116</v>
      </c>
      <c r="K677" s="8" t="str">
        <f>TRIM(Dataset!K677)</f>
        <v>5</v>
      </c>
      <c r="L677" s="6" t="s">
        <v>4284</v>
      </c>
      <c r="M677" s="6" t="str">
        <f>TRIM(Dataset!M677)</f>
        <v>Email</v>
      </c>
      <c r="N677" s="10">
        <f>VALUE(TRIM(Dataset!N677))</f>
        <v>1026.06</v>
      </c>
    </row>
    <row r="678" spans="1:14" x14ac:dyDescent="0.35">
      <c r="A678" s="6" t="str">
        <f>TRIM(Dataset!A678)</f>
        <v>ORD200676</v>
      </c>
      <c r="B678" s="4">
        <f>Dataset!B678</f>
        <v>45831</v>
      </c>
      <c r="C678" s="6" t="str">
        <f>TRIM(Dataset!C678)</f>
        <v>C90431</v>
      </c>
      <c r="D678" s="6" t="str">
        <f>TRIM(Dataset!D678)</f>
        <v>Laptop</v>
      </c>
      <c r="E678" s="13">
        <f>VALUE(TRIM(Dataset!E678))</f>
        <v>2</v>
      </c>
      <c r="F678" s="10">
        <f>VALUE(TRIM(Dataset!F678))</f>
        <v>422.34</v>
      </c>
      <c r="G678" s="6" t="str">
        <f>TRIM(Dataset!G678)</f>
        <v>985 Main St</v>
      </c>
      <c r="H678" s="6" t="str">
        <f>TRIM(Dataset!H678)</f>
        <v>Credit Card</v>
      </c>
      <c r="I678" s="6" t="str">
        <f>TRIM(Dataset!I678)</f>
        <v>Cancelled</v>
      </c>
      <c r="J678" s="6" t="str">
        <f>TRIM(Dataset!J678)</f>
        <v>TRK44151723</v>
      </c>
      <c r="K678" s="8" t="str">
        <f>TRIM(Dataset!K678)</f>
        <v>4</v>
      </c>
      <c r="L678" s="6" t="str">
        <f>Dataset!L678</f>
        <v>FREESHIP</v>
      </c>
      <c r="M678" s="6" t="str">
        <f>TRIM(Dataset!M678)</f>
        <v>Instagram</v>
      </c>
      <c r="N678" s="10">
        <f>VALUE(TRIM(Dataset!N678))</f>
        <v>844.68</v>
      </c>
    </row>
    <row r="679" spans="1:14" x14ac:dyDescent="0.35">
      <c r="A679" s="6" t="str">
        <f>TRIM(Dataset!A679)</f>
        <v>ORD200677</v>
      </c>
      <c r="B679" s="4">
        <f>Dataset!B679</f>
        <v>45750</v>
      </c>
      <c r="C679" s="6" t="str">
        <f>TRIM(Dataset!C679)</f>
        <v>C56722</v>
      </c>
      <c r="D679" s="6" t="str">
        <f>TRIM(Dataset!D679)</f>
        <v>Tablet</v>
      </c>
      <c r="E679" s="13">
        <f>VALUE(TRIM(Dataset!E679))</f>
        <v>5</v>
      </c>
      <c r="F679" s="10">
        <f>VALUE(TRIM(Dataset!F679))</f>
        <v>22.07</v>
      </c>
      <c r="G679" s="6" t="str">
        <f>TRIM(Dataset!G679)</f>
        <v>179 Main St</v>
      </c>
      <c r="H679" s="6" t="str">
        <f>TRIM(Dataset!H679)</f>
        <v>Online</v>
      </c>
      <c r="I679" s="6" t="str">
        <f>TRIM(Dataset!I679)</f>
        <v>Cancelled</v>
      </c>
      <c r="J679" s="6" t="str">
        <f>TRIM(Dataset!J679)</f>
        <v>TRK78778569</v>
      </c>
      <c r="K679" s="8" t="str">
        <f>TRIM(Dataset!K679)</f>
        <v>7</v>
      </c>
      <c r="L679" s="6" t="str">
        <f>Dataset!L679</f>
        <v>FREESHIP</v>
      </c>
      <c r="M679" s="6" t="str">
        <f>TRIM(Dataset!M679)</f>
        <v>Instagram</v>
      </c>
      <c r="N679" s="10">
        <f>VALUE(TRIM(Dataset!N679))</f>
        <v>110.35</v>
      </c>
    </row>
    <row r="680" spans="1:14" x14ac:dyDescent="0.35">
      <c r="A680" s="6" t="str">
        <f>TRIM(Dataset!A680)</f>
        <v>ORD200678</v>
      </c>
      <c r="B680" s="4">
        <f>Dataset!B680</f>
        <v>45620</v>
      </c>
      <c r="C680" s="6" t="str">
        <f>TRIM(Dataset!C680)</f>
        <v>C40863</v>
      </c>
      <c r="D680" s="6" t="str">
        <f>TRIM(Dataset!D680)</f>
        <v>Chair</v>
      </c>
      <c r="E680" s="13">
        <f>VALUE(TRIM(Dataset!E680))</f>
        <v>3</v>
      </c>
      <c r="F680" s="10">
        <f>VALUE(TRIM(Dataset!F680))</f>
        <v>163.13</v>
      </c>
      <c r="G680" s="6" t="str">
        <f>TRIM(Dataset!G680)</f>
        <v>457 Main St</v>
      </c>
      <c r="H680" s="6" t="str">
        <f>TRIM(Dataset!H680)</f>
        <v>Gift Card</v>
      </c>
      <c r="I680" s="6" t="str">
        <f>TRIM(Dataset!I680)</f>
        <v>Shipped</v>
      </c>
      <c r="J680" s="6" t="str">
        <f>TRIM(Dataset!J680)</f>
        <v>TRK20553345</v>
      </c>
      <c r="K680" s="8" t="str">
        <f>TRIM(Dataset!K680)</f>
        <v>5</v>
      </c>
      <c r="L680" s="6" t="str">
        <f>Dataset!L680</f>
        <v>WINTER15</v>
      </c>
      <c r="M680" s="6" t="str">
        <f>TRIM(Dataset!M680)</f>
        <v>Facebook</v>
      </c>
      <c r="N680" s="10">
        <f>VALUE(TRIM(Dataset!N680))</f>
        <v>489.39</v>
      </c>
    </row>
    <row r="681" spans="1:14" x14ac:dyDescent="0.35">
      <c r="A681" s="6" t="str">
        <f>TRIM(Dataset!A681)</f>
        <v>ORD200679</v>
      </c>
      <c r="B681" s="4">
        <f>Dataset!B681</f>
        <v>44959</v>
      </c>
      <c r="C681" s="6" t="str">
        <f>TRIM(Dataset!C681)</f>
        <v>C40798</v>
      </c>
      <c r="D681" s="6" t="str">
        <f>TRIM(Dataset!D681)</f>
        <v>Tablet</v>
      </c>
      <c r="E681" s="13">
        <f>VALUE(TRIM(Dataset!E681))</f>
        <v>3</v>
      </c>
      <c r="F681" s="10">
        <f>VALUE(TRIM(Dataset!F681))</f>
        <v>360.66</v>
      </c>
      <c r="G681" s="6" t="str">
        <f>TRIM(Dataset!G681)</f>
        <v>304 Main St</v>
      </c>
      <c r="H681" s="6" t="str">
        <f>TRIM(Dataset!H681)</f>
        <v>Online</v>
      </c>
      <c r="I681" s="6" t="str">
        <f>TRIM(Dataset!I681)</f>
        <v>Returned</v>
      </c>
      <c r="J681" s="6" t="str">
        <f>TRIM(Dataset!J681)</f>
        <v>TRK66106697</v>
      </c>
      <c r="K681" s="8" t="str">
        <f>TRIM(Dataset!K681)</f>
        <v>5</v>
      </c>
      <c r="L681" s="6" t="str">
        <f>Dataset!L681</f>
        <v>FREESHIP</v>
      </c>
      <c r="M681" s="6" t="str">
        <f>TRIM(Dataset!M681)</f>
        <v>Instagram</v>
      </c>
      <c r="N681" s="10">
        <f>VALUE(TRIM(Dataset!N681))</f>
        <v>1081.98</v>
      </c>
    </row>
    <row r="682" spans="1:14" x14ac:dyDescent="0.35">
      <c r="A682" s="6" t="str">
        <f>TRIM(Dataset!A682)</f>
        <v>ORD200680</v>
      </c>
      <c r="B682" s="4">
        <f>Dataset!B682</f>
        <v>45165</v>
      </c>
      <c r="C682" s="6" t="str">
        <f>TRIM(Dataset!C682)</f>
        <v>C16702</v>
      </c>
      <c r="D682" s="6" t="str">
        <f>TRIM(Dataset!D682)</f>
        <v>Monitor</v>
      </c>
      <c r="E682" s="13">
        <f>VALUE(TRIM(Dataset!E682))</f>
        <v>3</v>
      </c>
      <c r="F682" s="10">
        <f>VALUE(TRIM(Dataset!F682))</f>
        <v>463.39</v>
      </c>
      <c r="G682" s="6" t="str">
        <f>TRIM(Dataset!G682)</f>
        <v>694 Main St</v>
      </c>
      <c r="H682" s="6" t="str">
        <f>TRIM(Dataset!H682)</f>
        <v>Credit Card</v>
      </c>
      <c r="I682" s="6" t="str">
        <f>TRIM(Dataset!I682)</f>
        <v>Returned</v>
      </c>
      <c r="J682" s="6" t="str">
        <f>TRIM(Dataset!J682)</f>
        <v>TRK16953491</v>
      </c>
      <c r="K682" s="8" t="str">
        <f>TRIM(Dataset!K682)</f>
        <v>3</v>
      </c>
      <c r="L682" s="6" t="s">
        <v>4284</v>
      </c>
      <c r="M682" s="6" t="str">
        <f>TRIM(Dataset!M682)</f>
        <v>Facebook</v>
      </c>
      <c r="N682" s="10">
        <f>VALUE(TRIM(Dataset!N682))</f>
        <v>1390.17</v>
      </c>
    </row>
    <row r="683" spans="1:14" x14ac:dyDescent="0.35">
      <c r="A683" s="6" t="str">
        <f>TRIM(Dataset!A683)</f>
        <v>ORD200681</v>
      </c>
      <c r="B683" s="4">
        <f>Dataset!B683</f>
        <v>45321</v>
      </c>
      <c r="C683" s="6" t="str">
        <f>TRIM(Dataset!C683)</f>
        <v>C38262</v>
      </c>
      <c r="D683" s="6" t="str">
        <f>TRIM(Dataset!D683)</f>
        <v>Tablet</v>
      </c>
      <c r="E683" s="13">
        <f>VALUE(TRIM(Dataset!E683))</f>
        <v>1</v>
      </c>
      <c r="F683" s="10">
        <f>VALUE(TRIM(Dataset!F683))</f>
        <v>155.27000000000001</v>
      </c>
      <c r="G683" s="6" t="str">
        <f>TRIM(Dataset!G683)</f>
        <v>548 Main St</v>
      </c>
      <c r="H683" s="6" t="str">
        <f>TRIM(Dataset!H683)</f>
        <v>Debit Card</v>
      </c>
      <c r="I683" s="6" t="str">
        <f>TRIM(Dataset!I683)</f>
        <v>Shipped</v>
      </c>
      <c r="J683" s="6" t="str">
        <f>TRIM(Dataset!J683)</f>
        <v>TRK47300502</v>
      </c>
      <c r="K683" s="8" t="str">
        <f>TRIM(Dataset!K683)</f>
        <v>6</v>
      </c>
      <c r="L683" s="6" t="s">
        <v>4284</v>
      </c>
      <c r="M683" s="6" t="str">
        <f>TRIM(Dataset!M683)</f>
        <v>Email</v>
      </c>
      <c r="N683" s="10">
        <f>VALUE(TRIM(Dataset!N683))</f>
        <v>155.27000000000001</v>
      </c>
    </row>
    <row r="684" spans="1:14" x14ac:dyDescent="0.35">
      <c r="A684" s="6" t="str">
        <f>TRIM(Dataset!A684)</f>
        <v>ORD200682</v>
      </c>
      <c r="B684" s="4">
        <f>Dataset!B684</f>
        <v>45130</v>
      </c>
      <c r="C684" s="6" t="str">
        <f>TRIM(Dataset!C684)</f>
        <v>C50274</v>
      </c>
      <c r="D684" s="6" t="str">
        <f>TRIM(Dataset!D684)</f>
        <v>Monitor</v>
      </c>
      <c r="E684" s="13">
        <f>VALUE(TRIM(Dataset!E684))</f>
        <v>3</v>
      </c>
      <c r="F684" s="10">
        <f>VALUE(TRIM(Dataset!F684))</f>
        <v>509.42</v>
      </c>
      <c r="G684" s="6" t="str">
        <f>TRIM(Dataset!G684)</f>
        <v>449 Main St</v>
      </c>
      <c r="H684" s="6" t="str">
        <f>TRIM(Dataset!H684)</f>
        <v>Credit Card</v>
      </c>
      <c r="I684" s="6" t="str">
        <f>TRIM(Dataset!I684)</f>
        <v>Cancelled</v>
      </c>
      <c r="J684" s="6" t="str">
        <f>TRIM(Dataset!J684)</f>
        <v>TRK91729086</v>
      </c>
      <c r="K684" s="8" t="str">
        <f>TRIM(Dataset!K684)</f>
        <v>5</v>
      </c>
      <c r="L684" s="6" t="str">
        <f>Dataset!L684</f>
        <v>FREESHIP</v>
      </c>
      <c r="M684" s="6" t="str">
        <f>TRIM(Dataset!M684)</f>
        <v>Google</v>
      </c>
      <c r="N684" s="10">
        <f>VALUE(TRIM(Dataset!N684))</f>
        <v>1528.26</v>
      </c>
    </row>
    <row r="685" spans="1:14" x14ac:dyDescent="0.35">
      <c r="A685" s="6" t="str">
        <f>TRIM(Dataset!A685)</f>
        <v>ORD200683</v>
      </c>
      <c r="B685" s="4">
        <f>Dataset!B685</f>
        <v>45795</v>
      </c>
      <c r="C685" s="6" t="str">
        <f>TRIM(Dataset!C685)</f>
        <v>C91591</v>
      </c>
      <c r="D685" s="6" t="str">
        <f>TRIM(Dataset!D685)</f>
        <v>Desk</v>
      </c>
      <c r="E685" s="13">
        <f>VALUE(TRIM(Dataset!E685))</f>
        <v>4</v>
      </c>
      <c r="F685" s="10">
        <f>VALUE(TRIM(Dataset!F685))</f>
        <v>652.48</v>
      </c>
      <c r="G685" s="6" t="str">
        <f>TRIM(Dataset!G685)</f>
        <v>887 Main St</v>
      </c>
      <c r="H685" s="6" t="str">
        <f>TRIM(Dataset!H685)</f>
        <v>Cash</v>
      </c>
      <c r="I685" s="6" t="str">
        <f>TRIM(Dataset!I685)</f>
        <v>Pending</v>
      </c>
      <c r="J685" s="6" t="str">
        <f>TRIM(Dataset!J685)</f>
        <v>TRK23554043</v>
      </c>
      <c r="K685" s="8" t="str">
        <f>TRIM(Dataset!K685)</f>
        <v>5</v>
      </c>
      <c r="L685" s="6" t="str">
        <f>Dataset!L685</f>
        <v>FREESHIP</v>
      </c>
      <c r="M685" s="6" t="str">
        <f>TRIM(Dataset!M685)</f>
        <v>Instagram</v>
      </c>
      <c r="N685" s="10">
        <f>VALUE(TRIM(Dataset!N685))</f>
        <v>2609.92</v>
      </c>
    </row>
    <row r="686" spans="1:14" x14ac:dyDescent="0.35">
      <c r="A686" s="6" t="str">
        <f>TRIM(Dataset!A686)</f>
        <v>ORD200684</v>
      </c>
      <c r="B686" s="4">
        <f>Dataset!B686</f>
        <v>45557</v>
      </c>
      <c r="C686" s="6" t="str">
        <f>TRIM(Dataset!C686)</f>
        <v>C96583</v>
      </c>
      <c r="D686" s="6" t="str">
        <f>TRIM(Dataset!D686)</f>
        <v>Printer</v>
      </c>
      <c r="E686" s="13">
        <f>VALUE(TRIM(Dataset!E686))</f>
        <v>4</v>
      </c>
      <c r="F686" s="10">
        <f>VALUE(TRIM(Dataset!F686))</f>
        <v>34.840000000000003</v>
      </c>
      <c r="G686" s="6" t="str">
        <f>TRIM(Dataset!G686)</f>
        <v>288 Main St</v>
      </c>
      <c r="H686" s="6" t="str">
        <f>TRIM(Dataset!H686)</f>
        <v>Credit Card</v>
      </c>
      <c r="I686" s="6" t="str">
        <f>TRIM(Dataset!I686)</f>
        <v>Shipped</v>
      </c>
      <c r="J686" s="6" t="str">
        <f>TRIM(Dataset!J686)</f>
        <v>TRK64353241</v>
      </c>
      <c r="K686" s="8" t="str">
        <f>TRIM(Dataset!K686)</f>
        <v>8</v>
      </c>
      <c r="L686" s="6" t="s">
        <v>4284</v>
      </c>
      <c r="M686" s="6" t="str">
        <f>TRIM(Dataset!M686)</f>
        <v>Email</v>
      </c>
      <c r="N686" s="10">
        <f>VALUE(TRIM(Dataset!N686))</f>
        <v>139.36000000000001</v>
      </c>
    </row>
    <row r="687" spans="1:14" x14ac:dyDescent="0.35">
      <c r="A687" s="6" t="str">
        <f>TRIM(Dataset!A687)</f>
        <v>ORD200685</v>
      </c>
      <c r="B687" s="4">
        <f>Dataset!B687</f>
        <v>45695</v>
      </c>
      <c r="C687" s="6" t="str">
        <f>TRIM(Dataset!C687)</f>
        <v>C64579</v>
      </c>
      <c r="D687" s="6" t="str">
        <f>TRIM(Dataset!D687)</f>
        <v>Desk</v>
      </c>
      <c r="E687" s="13">
        <f>VALUE(TRIM(Dataset!E687))</f>
        <v>1</v>
      </c>
      <c r="F687" s="10">
        <f>VALUE(TRIM(Dataset!F687))</f>
        <v>234.37</v>
      </c>
      <c r="G687" s="6" t="str">
        <f>TRIM(Dataset!G687)</f>
        <v>638 Main St</v>
      </c>
      <c r="H687" s="6" t="str">
        <f>TRIM(Dataset!H687)</f>
        <v>Debit Card</v>
      </c>
      <c r="I687" s="6" t="str">
        <f>TRIM(Dataset!I687)</f>
        <v>Shipped</v>
      </c>
      <c r="J687" s="6" t="str">
        <f>TRIM(Dataset!J687)</f>
        <v>TRK10276565</v>
      </c>
      <c r="K687" s="8" t="str">
        <f>TRIM(Dataset!K687)</f>
        <v>5</v>
      </c>
      <c r="L687" s="6" t="str">
        <f>Dataset!L687</f>
        <v>FREESHIP</v>
      </c>
      <c r="M687" s="6" t="str">
        <f>TRIM(Dataset!M687)</f>
        <v>Email</v>
      </c>
      <c r="N687" s="10">
        <f>VALUE(TRIM(Dataset!N687))</f>
        <v>234.37</v>
      </c>
    </row>
    <row r="688" spans="1:14" x14ac:dyDescent="0.35">
      <c r="A688" s="6" t="str">
        <f>TRIM(Dataset!A688)</f>
        <v>ORD200686</v>
      </c>
      <c r="B688" s="4">
        <f>Dataset!B688</f>
        <v>45208</v>
      </c>
      <c r="C688" s="6" t="str">
        <f>TRIM(Dataset!C688)</f>
        <v>C41903</v>
      </c>
      <c r="D688" s="6" t="str">
        <f>TRIM(Dataset!D688)</f>
        <v>Desk</v>
      </c>
      <c r="E688" s="13">
        <f>VALUE(TRIM(Dataset!E688))</f>
        <v>3</v>
      </c>
      <c r="F688" s="10">
        <f>VALUE(TRIM(Dataset!F688))</f>
        <v>53.6</v>
      </c>
      <c r="G688" s="6" t="str">
        <f>TRIM(Dataset!G688)</f>
        <v>525 Main St</v>
      </c>
      <c r="H688" s="6" t="str">
        <f>TRIM(Dataset!H688)</f>
        <v>Cash</v>
      </c>
      <c r="I688" s="6" t="str">
        <f>TRIM(Dataset!I688)</f>
        <v>Pending</v>
      </c>
      <c r="J688" s="6" t="str">
        <f>TRIM(Dataset!J688)</f>
        <v>TRK59112382</v>
      </c>
      <c r="K688" s="8" t="str">
        <f>TRIM(Dataset!K688)</f>
        <v>4</v>
      </c>
      <c r="L688" s="6" t="str">
        <f>Dataset!L688</f>
        <v>WINTER15</v>
      </c>
      <c r="M688" s="6" t="str">
        <f>TRIM(Dataset!M688)</f>
        <v>Facebook</v>
      </c>
      <c r="N688" s="10">
        <f>VALUE(TRIM(Dataset!N688))</f>
        <v>160.80000000000001</v>
      </c>
    </row>
    <row r="689" spans="1:14" x14ac:dyDescent="0.35">
      <c r="A689" s="6" t="str">
        <f>TRIM(Dataset!A689)</f>
        <v>ORD200687</v>
      </c>
      <c r="B689" s="4">
        <f>Dataset!B689</f>
        <v>45182</v>
      </c>
      <c r="C689" s="6" t="str">
        <f>TRIM(Dataset!C689)</f>
        <v>C19742</v>
      </c>
      <c r="D689" s="6" t="str">
        <f>TRIM(Dataset!D689)</f>
        <v>Tablet</v>
      </c>
      <c r="E689" s="13">
        <f>VALUE(TRIM(Dataset!E689))</f>
        <v>1</v>
      </c>
      <c r="F689" s="10">
        <f>VALUE(TRIM(Dataset!F689))</f>
        <v>332.09</v>
      </c>
      <c r="G689" s="6" t="str">
        <f>TRIM(Dataset!G689)</f>
        <v>408 Main St</v>
      </c>
      <c r="H689" s="6" t="str">
        <f>TRIM(Dataset!H689)</f>
        <v>Gift Card</v>
      </c>
      <c r="I689" s="6" t="str">
        <f>TRIM(Dataset!I689)</f>
        <v>Returned</v>
      </c>
      <c r="J689" s="6" t="str">
        <f>TRIM(Dataset!J689)</f>
        <v>TRK68845230</v>
      </c>
      <c r="K689" s="8" t="str">
        <f>TRIM(Dataset!K689)</f>
        <v>5</v>
      </c>
      <c r="L689" s="6" t="str">
        <f>Dataset!L689</f>
        <v>FREESHIP</v>
      </c>
      <c r="M689" s="6" t="str">
        <f>TRIM(Dataset!M689)</f>
        <v>Instagram</v>
      </c>
      <c r="N689" s="10">
        <f>VALUE(TRIM(Dataset!N689))</f>
        <v>332.09</v>
      </c>
    </row>
    <row r="690" spans="1:14" x14ac:dyDescent="0.35">
      <c r="A690" s="6" t="str">
        <f>TRIM(Dataset!A690)</f>
        <v>ORD200688</v>
      </c>
      <c r="B690" s="4">
        <f>Dataset!B690</f>
        <v>45357</v>
      </c>
      <c r="C690" s="6" t="str">
        <f>TRIM(Dataset!C690)</f>
        <v>C20077</v>
      </c>
      <c r="D690" s="6" t="str">
        <f>TRIM(Dataset!D690)</f>
        <v>Monitor</v>
      </c>
      <c r="E690" s="13">
        <f>VALUE(TRIM(Dataset!E690))</f>
        <v>4</v>
      </c>
      <c r="F690" s="10">
        <f>VALUE(TRIM(Dataset!F690))</f>
        <v>593.22</v>
      </c>
      <c r="G690" s="6" t="str">
        <f>TRIM(Dataset!G690)</f>
        <v>154 Main St</v>
      </c>
      <c r="H690" s="6" t="str">
        <f>TRIM(Dataset!H690)</f>
        <v>Credit Card</v>
      </c>
      <c r="I690" s="6" t="str">
        <f>TRIM(Dataset!I690)</f>
        <v>Cancelled</v>
      </c>
      <c r="J690" s="6" t="str">
        <f>TRIM(Dataset!J690)</f>
        <v>TRK36415742</v>
      </c>
      <c r="K690" s="8" t="str">
        <f>TRIM(Dataset!K690)</f>
        <v>8</v>
      </c>
      <c r="L690" s="6" t="str">
        <f>Dataset!L690</f>
        <v>WINTER15</v>
      </c>
      <c r="M690" s="6" t="str">
        <f>TRIM(Dataset!M690)</f>
        <v>Facebook</v>
      </c>
      <c r="N690" s="10">
        <f>VALUE(TRIM(Dataset!N690))</f>
        <v>2372.88</v>
      </c>
    </row>
    <row r="691" spans="1:14" x14ac:dyDescent="0.35">
      <c r="A691" s="6" t="str">
        <f>TRIM(Dataset!A691)</f>
        <v>ORD200689</v>
      </c>
      <c r="B691" s="4">
        <f>Dataset!B691</f>
        <v>45167</v>
      </c>
      <c r="C691" s="6" t="str">
        <f>TRIM(Dataset!C691)</f>
        <v>C13186</v>
      </c>
      <c r="D691" s="6" t="str">
        <f>TRIM(Dataset!D691)</f>
        <v>Tablet</v>
      </c>
      <c r="E691" s="13">
        <f>VALUE(TRIM(Dataset!E691))</f>
        <v>2</v>
      </c>
      <c r="F691" s="10">
        <f>VALUE(TRIM(Dataset!F691))</f>
        <v>444.84</v>
      </c>
      <c r="G691" s="6" t="str">
        <f>TRIM(Dataset!G691)</f>
        <v>787 Main St</v>
      </c>
      <c r="H691" s="6" t="str">
        <f>TRIM(Dataset!H691)</f>
        <v>Online</v>
      </c>
      <c r="I691" s="6" t="str">
        <f>TRIM(Dataset!I691)</f>
        <v>Shipped</v>
      </c>
      <c r="J691" s="6" t="str">
        <f>TRIM(Dataset!J691)</f>
        <v>TRK56967415</v>
      </c>
      <c r="K691" s="8" t="str">
        <f>TRIM(Dataset!K691)</f>
        <v>7</v>
      </c>
      <c r="L691" s="6" t="s">
        <v>4284</v>
      </c>
      <c r="M691" s="6" t="str">
        <f>TRIM(Dataset!M691)</f>
        <v>Facebook</v>
      </c>
      <c r="N691" s="10">
        <f>VALUE(TRIM(Dataset!N691))</f>
        <v>889.68</v>
      </c>
    </row>
    <row r="692" spans="1:14" x14ac:dyDescent="0.35">
      <c r="A692" s="6" t="str">
        <f>TRIM(Dataset!A692)</f>
        <v>ORD200690</v>
      </c>
      <c r="B692" s="4">
        <f>Dataset!B692</f>
        <v>45485</v>
      </c>
      <c r="C692" s="6" t="str">
        <f>TRIM(Dataset!C692)</f>
        <v>C29318</v>
      </c>
      <c r="D692" s="6" t="str">
        <f>TRIM(Dataset!D692)</f>
        <v>Monitor</v>
      </c>
      <c r="E692" s="13">
        <f>VALUE(TRIM(Dataset!E692))</f>
        <v>1</v>
      </c>
      <c r="F692" s="10">
        <f>VALUE(TRIM(Dataset!F692))</f>
        <v>24.48</v>
      </c>
      <c r="G692" s="6" t="str">
        <f>TRIM(Dataset!G692)</f>
        <v>128 Main St</v>
      </c>
      <c r="H692" s="6" t="str">
        <f>TRIM(Dataset!H692)</f>
        <v>Gift Card</v>
      </c>
      <c r="I692" s="6" t="str">
        <f>TRIM(Dataset!I692)</f>
        <v>Returned</v>
      </c>
      <c r="J692" s="6" t="str">
        <f>TRIM(Dataset!J692)</f>
        <v>TRK88666721</v>
      </c>
      <c r="K692" s="8" t="str">
        <f>TRIM(Dataset!K692)</f>
        <v>1</v>
      </c>
      <c r="L692" s="6" t="s">
        <v>4284</v>
      </c>
      <c r="M692" s="6" t="str">
        <f>TRIM(Dataset!M692)</f>
        <v>Instagram</v>
      </c>
      <c r="N692" s="10">
        <f>VALUE(TRIM(Dataset!N692))</f>
        <v>24.48</v>
      </c>
    </row>
    <row r="693" spans="1:14" x14ac:dyDescent="0.35">
      <c r="A693" s="6" t="str">
        <f>TRIM(Dataset!A693)</f>
        <v>ORD200691</v>
      </c>
      <c r="B693" s="4">
        <f>Dataset!B693</f>
        <v>45620</v>
      </c>
      <c r="C693" s="6" t="str">
        <f>TRIM(Dataset!C693)</f>
        <v>C36137</v>
      </c>
      <c r="D693" s="6" t="str">
        <f>TRIM(Dataset!D693)</f>
        <v>Laptop</v>
      </c>
      <c r="E693" s="13">
        <f>VALUE(TRIM(Dataset!E693))</f>
        <v>3</v>
      </c>
      <c r="F693" s="10">
        <f>VALUE(TRIM(Dataset!F693))</f>
        <v>239.08</v>
      </c>
      <c r="G693" s="6" t="str">
        <f>TRIM(Dataset!G693)</f>
        <v>396 Main St</v>
      </c>
      <c r="H693" s="6" t="str">
        <f>TRIM(Dataset!H693)</f>
        <v>Cash</v>
      </c>
      <c r="I693" s="6" t="str">
        <f>TRIM(Dataset!I693)</f>
        <v>Shipped</v>
      </c>
      <c r="J693" s="6" t="str">
        <f>TRIM(Dataset!J693)</f>
        <v>TRK57376416</v>
      </c>
      <c r="K693" s="8" t="str">
        <f>TRIM(Dataset!K693)</f>
        <v>8</v>
      </c>
      <c r="L693" s="6" t="s">
        <v>4284</v>
      </c>
      <c r="M693" s="6" t="str">
        <f>TRIM(Dataset!M693)</f>
        <v>Google</v>
      </c>
      <c r="N693" s="10">
        <f>VALUE(TRIM(Dataset!N693))</f>
        <v>717.24</v>
      </c>
    </row>
    <row r="694" spans="1:14" x14ac:dyDescent="0.35">
      <c r="A694" s="6" t="str">
        <f>TRIM(Dataset!A694)</f>
        <v>ORD200692</v>
      </c>
      <c r="B694" s="4">
        <f>Dataset!B694</f>
        <v>44949</v>
      </c>
      <c r="C694" s="6" t="str">
        <f>TRIM(Dataset!C694)</f>
        <v>C25534</v>
      </c>
      <c r="D694" s="6" t="str">
        <f>TRIM(Dataset!D694)</f>
        <v>Desk</v>
      </c>
      <c r="E694" s="13">
        <f>VALUE(TRIM(Dataset!E694))</f>
        <v>5</v>
      </c>
      <c r="F694" s="10">
        <f>VALUE(TRIM(Dataset!F694))</f>
        <v>196.84</v>
      </c>
      <c r="G694" s="6" t="str">
        <f>TRIM(Dataset!G694)</f>
        <v>319 Main St</v>
      </c>
      <c r="H694" s="6" t="str">
        <f>TRIM(Dataset!H694)</f>
        <v>Credit Card</v>
      </c>
      <c r="I694" s="6" t="str">
        <f>TRIM(Dataset!I694)</f>
        <v>Delivered</v>
      </c>
      <c r="J694" s="6" t="str">
        <f>TRIM(Dataset!J694)</f>
        <v>TRK68347402</v>
      </c>
      <c r="K694" s="8" t="str">
        <f>TRIM(Dataset!K694)</f>
        <v>5</v>
      </c>
      <c r="L694" s="6" t="str">
        <f>Dataset!L694</f>
        <v>WINTER15</v>
      </c>
      <c r="M694" s="6" t="str">
        <f>TRIM(Dataset!M694)</f>
        <v>Instagram</v>
      </c>
      <c r="N694" s="10">
        <f>VALUE(TRIM(Dataset!N694))</f>
        <v>984.2</v>
      </c>
    </row>
    <row r="695" spans="1:14" x14ac:dyDescent="0.35">
      <c r="A695" s="6" t="str">
        <f>TRIM(Dataset!A695)</f>
        <v>ORD200693</v>
      </c>
      <c r="B695" s="4">
        <f>Dataset!B695</f>
        <v>45728</v>
      </c>
      <c r="C695" s="6" t="str">
        <f>TRIM(Dataset!C695)</f>
        <v>C62070</v>
      </c>
      <c r="D695" s="6" t="str">
        <f>TRIM(Dataset!D695)</f>
        <v>Monitor</v>
      </c>
      <c r="E695" s="13">
        <f>VALUE(TRIM(Dataset!E695))</f>
        <v>1</v>
      </c>
      <c r="F695" s="10">
        <f>VALUE(TRIM(Dataset!F695))</f>
        <v>176.58</v>
      </c>
      <c r="G695" s="6" t="str">
        <f>TRIM(Dataset!G695)</f>
        <v>674 Main St</v>
      </c>
      <c r="H695" s="6" t="str">
        <f>TRIM(Dataset!H695)</f>
        <v>Debit Card</v>
      </c>
      <c r="I695" s="6" t="str">
        <f>TRIM(Dataset!I695)</f>
        <v>Returned</v>
      </c>
      <c r="J695" s="6" t="str">
        <f>TRIM(Dataset!J695)</f>
        <v>TRK10267127</v>
      </c>
      <c r="K695" s="8" t="str">
        <f>TRIM(Dataset!K695)</f>
        <v>4</v>
      </c>
      <c r="L695" s="6" t="s">
        <v>4284</v>
      </c>
      <c r="M695" s="6" t="str">
        <f>TRIM(Dataset!M695)</f>
        <v>Referral</v>
      </c>
      <c r="N695" s="10">
        <f>VALUE(TRIM(Dataset!N695))</f>
        <v>176.58</v>
      </c>
    </row>
    <row r="696" spans="1:14" x14ac:dyDescent="0.35">
      <c r="A696" s="6" t="str">
        <f>TRIM(Dataset!A696)</f>
        <v>ORD200694</v>
      </c>
      <c r="B696" s="4">
        <f>Dataset!B696</f>
        <v>45201</v>
      </c>
      <c r="C696" s="6" t="str">
        <f>TRIM(Dataset!C696)</f>
        <v>C92049</v>
      </c>
      <c r="D696" s="6" t="str">
        <f>TRIM(Dataset!D696)</f>
        <v>Printer</v>
      </c>
      <c r="E696" s="13">
        <f>VALUE(TRIM(Dataset!E696))</f>
        <v>4</v>
      </c>
      <c r="F696" s="10">
        <f>VALUE(TRIM(Dataset!F696))</f>
        <v>666.52</v>
      </c>
      <c r="G696" s="6" t="str">
        <f>TRIM(Dataset!G696)</f>
        <v>619 Main St</v>
      </c>
      <c r="H696" s="6" t="str">
        <f>TRIM(Dataset!H696)</f>
        <v>Cash</v>
      </c>
      <c r="I696" s="6" t="str">
        <f>TRIM(Dataset!I696)</f>
        <v>Shipped</v>
      </c>
      <c r="J696" s="6" t="str">
        <f>TRIM(Dataset!J696)</f>
        <v>TRK32287092</v>
      </c>
      <c r="K696" s="8" t="str">
        <f>TRIM(Dataset!K696)</f>
        <v>8</v>
      </c>
      <c r="L696" s="6" t="str">
        <f>Dataset!L696</f>
        <v>FREESHIP</v>
      </c>
      <c r="M696" s="6" t="str">
        <f>TRIM(Dataset!M696)</f>
        <v>Email</v>
      </c>
      <c r="N696" s="10">
        <f>VALUE(TRIM(Dataset!N696))</f>
        <v>2666.08</v>
      </c>
    </row>
    <row r="697" spans="1:14" x14ac:dyDescent="0.35">
      <c r="A697" s="6" t="str">
        <f>TRIM(Dataset!A697)</f>
        <v>ORD200695</v>
      </c>
      <c r="B697" s="4">
        <f>Dataset!B697</f>
        <v>45619</v>
      </c>
      <c r="C697" s="6" t="str">
        <f>TRIM(Dataset!C697)</f>
        <v>C52604</v>
      </c>
      <c r="D697" s="6" t="str">
        <f>TRIM(Dataset!D697)</f>
        <v>Printer</v>
      </c>
      <c r="E697" s="13">
        <f>VALUE(TRIM(Dataset!E697))</f>
        <v>5</v>
      </c>
      <c r="F697" s="10">
        <f>VALUE(TRIM(Dataset!F697))</f>
        <v>101.3</v>
      </c>
      <c r="G697" s="6" t="str">
        <f>TRIM(Dataset!G697)</f>
        <v>553 Main St</v>
      </c>
      <c r="H697" s="6" t="str">
        <f>TRIM(Dataset!H697)</f>
        <v>Online</v>
      </c>
      <c r="I697" s="6" t="str">
        <f>TRIM(Dataset!I697)</f>
        <v>Shipped</v>
      </c>
      <c r="J697" s="6" t="str">
        <f>TRIM(Dataset!J697)</f>
        <v>TRK48839788</v>
      </c>
      <c r="K697" s="8" t="str">
        <f>TRIM(Dataset!K697)</f>
        <v>7</v>
      </c>
      <c r="L697" s="6" t="str">
        <f>Dataset!L697</f>
        <v>FREESHIP</v>
      </c>
      <c r="M697" s="6" t="str">
        <f>TRIM(Dataset!M697)</f>
        <v>Email</v>
      </c>
      <c r="N697" s="10">
        <f>VALUE(TRIM(Dataset!N697))</f>
        <v>506.5</v>
      </c>
    </row>
    <row r="698" spans="1:14" x14ac:dyDescent="0.35">
      <c r="A698" s="6" t="str">
        <f>TRIM(Dataset!A698)</f>
        <v>ORD200696</v>
      </c>
      <c r="B698" s="4">
        <f>Dataset!B698</f>
        <v>45109</v>
      </c>
      <c r="C698" s="6" t="str">
        <f>TRIM(Dataset!C698)</f>
        <v>C22429</v>
      </c>
      <c r="D698" s="6" t="str">
        <f>TRIM(Dataset!D698)</f>
        <v>Chair</v>
      </c>
      <c r="E698" s="13">
        <f>VALUE(TRIM(Dataset!E698))</f>
        <v>4</v>
      </c>
      <c r="F698" s="10">
        <f>VALUE(TRIM(Dataset!F698))</f>
        <v>151.19999999999999</v>
      </c>
      <c r="G698" s="6" t="str">
        <f>TRIM(Dataset!G698)</f>
        <v>965 Main St</v>
      </c>
      <c r="H698" s="6" t="str">
        <f>TRIM(Dataset!H698)</f>
        <v>Gift Card</v>
      </c>
      <c r="I698" s="6" t="str">
        <f>TRIM(Dataset!I698)</f>
        <v>Pending</v>
      </c>
      <c r="J698" s="6" t="str">
        <f>TRIM(Dataset!J698)</f>
        <v>TRK38572927</v>
      </c>
      <c r="K698" s="8" t="str">
        <f>TRIM(Dataset!K698)</f>
        <v>9</v>
      </c>
      <c r="L698" s="6" t="str">
        <f>Dataset!L698</f>
        <v>WINTER15</v>
      </c>
      <c r="M698" s="6" t="str">
        <f>TRIM(Dataset!M698)</f>
        <v>Facebook</v>
      </c>
      <c r="N698" s="10">
        <f>VALUE(TRIM(Dataset!N698))</f>
        <v>604.79999999999995</v>
      </c>
    </row>
    <row r="699" spans="1:14" x14ac:dyDescent="0.35">
      <c r="A699" s="6" t="str">
        <f>TRIM(Dataset!A699)</f>
        <v>ORD200697</v>
      </c>
      <c r="B699" s="4">
        <f>Dataset!B699</f>
        <v>45692</v>
      </c>
      <c r="C699" s="6" t="str">
        <f>TRIM(Dataset!C699)</f>
        <v>C27430</v>
      </c>
      <c r="D699" s="6" t="str">
        <f>TRIM(Dataset!D699)</f>
        <v>Printer</v>
      </c>
      <c r="E699" s="13">
        <f>VALUE(TRIM(Dataset!E699))</f>
        <v>5</v>
      </c>
      <c r="F699" s="10">
        <f>VALUE(TRIM(Dataset!F699))</f>
        <v>94.85</v>
      </c>
      <c r="G699" s="6" t="str">
        <f>TRIM(Dataset!G699)</f>
        <v>788 Main St</v>
      </c>
      <c r="H699" s="6" t="str">
        <f>TRIM(Dataset!H699)</f>
        <v>Cash</v>
      </c>
      <c r="I699" s="6" t="str">
        <f>TRIM(Dataset!I699)</f>
        <v>Shipped</v>
      </c>
      <c r="J699" s="6" t="str">
        <f>TRIM(Dataset!J699)</f>
        <v>TRK45025840</v>
      </c>
      <c r="K699" s="8" t="str">
        <f>TRIM(Dataset!K699)</f>
        <v>6</v>
      </c>
      <c r="L699" s="6" t="str">
        <f>Dataset!L699</f>
        <v>WINTER15</v>
      </c>
      <c r="M699" s="6" t="str">
        <f>TRIM(Dataset!M699)</f>
        <v>Email</v>
      </c>
      <c r="N699" s="10">
        <f>VALUE(TRIM(Dataset!N699))</f>
        <v>474.25</v>
      </c>
    </row>
    <row r="700" spans="1:14" x14ac:dyDescent="0.35">
      <c r="A700" s="6" t="str">
        <f>TRIM(Dataset!A700)</f>
        <v>ORD200698</v>
      </c>
      <c r="B700" s="4">
        <f>Dataset!B700</f>
        <v>44930</v>
      </c>
      <c r="C700" s="6" t="str">
        <f>TRIM(Dataset!C700)</f>
        <v>C44366</v>
      </c>
      <c r="D700" s="6" t="str">
        <f>TRIM(Dataset!D700)</f>
        <v>Laptop</v>
      </c>
      <c r="E700" s="13">
        <f>VALUE(TRIM(Dataset!E700))</f>
        <v>2</v>
      </c>
      <c r="F700" s="10">
        <f>VALUE(TRIM(Dataset!F700))</f>
        <v>388.22</v>
      </c>
      <c r="G700" s="6" t="str">
        <f>TRIM(Dataset!G700)</f>
        <v>169 Main St</v>
      </c>
      <c r="H700" s="6" t="str">
        <f>TRIM(Dataset!H700)</f>
        <v>Cash</v>
      </c>
      <c r="I700" s="6" t="str">
        <f>TRIM(Dataset!I700)</f>
        <v>Delivered</v>
      </c>
      <c r="J700" s="6" t="str">
        <f>TRIM(Dataset!J700)</f>
        <v>TRK48658394</v>
      </c>
      <c r="K700" s="8" t="str">
        <f>TRIM(Dataset!K700)</f>
        <v>2</v>
      </c>
      <c r="L700" s="6" t="str">
        <f>Dataset!L700</f>
        <v>WINTER15</v>
      </c>
      <c r="M700" s="6" t="str">
        <f>TRIM(Dataset!M700)</f>
        <v>Instagram</v>
      </c>
      <c r="N700" s="10">
        <f>VALUE(TRIM(Dataset!N700))</f>
        <v>776.44</v>
      </c>
    </row>
    <row r="701" spans="1:14" x14ac:dyDescent="0.35">
      <c r="A701" s="6" t="str">
        <f>TRIM(Dataset!A701)</f>
        <v>ORD200699</v>
      </c>
      <c r="B701" s="4">
        <f>Dataset!B701</f>
        <v>45243</v>
      </c>
      <c r="C701" s="6" t="str">
        <f>TRIM(Dataset!C701)</f>
        <v>C36813</v>
      </c>
      <c r="D701" s="6" t="str">
        <f>TRIM(Dataset!D701)</f>
        <v>Laptop</v>
      </c>
      <c r="E701" s="13">
        <f>VALUE(TRIM(Dataset!E701))</f>
        <v>3</v>
      </c>
      <c r="F701" s="10">
        <f>VALUE(TRIM(Dataset!F701))</f>
        <v>614.15</v>
      </c>
      <c r="G701" s="6" t="str">
        <f>TRIM(Dataset!G701)</f>
        <v>897 Main St</v>
      </c>
      <c r="H701" s="6" t="str">
        <f>TRIM(Dataset!H701)</f>
        <v>Gift Card</v>
      </c>
      <c r="I701" s="6" t="str">
        <f>TRIM(Dataset!I701)</f>
        <v>Cancelled</v>
      </c>
      <c r="J701" s="6" t="str">
        <f>TRIM(Dataset!J701)</f>
        <v>TRK84088900</v>
      </c>
      <c r="K701" s="8" t="str">
        <f>TRIM(Dataset!K701)</f>
        <v>3</v>
      </c>
      <c r="L701" s="6" t="s">
        <v>4284</v>
      </c>
      <c r="M701" s="6" t="str">
        <f>TRIM(Dataset!M701)</f>
        <v>Facebook</v>
      </c>
      <c r="N701" s="10">
        <f>VALUE(TRIM(Dataset!N701))</f>
        <v>1842.45</v>
      </c>
    </row>
    <row r="702" spans="1:14" x14ac:dyDescent="0.35">
      <c r="A702" s="6" t="str">
        <f>TRIM(Dataset!A702)</f>
        <v>ORD200700</v>
      </c>
      <c r="B702" s="4">
        <f>Dataset!B702</f>
        <v>45560</v>
      </c>
      <c r="C702" s="6" t="str">
        <f>TRIM(Dataset!C702)</f>
        <v>C40201</v>
      </c>
      <c r="D702" s="6" t="str">
        <f>TRIM(Dataset!D702)</f>
        <v>Laptop</v>
      </c>
      <c r="E702" s="13">
        <f>VALUE(TRIM(Dataset!E702))</f>
        <v>2</v>
      </c>
      <c r="F702" s="10">
        <f>VALUE(TRIM(Dataset!F702))</f>
        <v>92.91</v>
      </c>
      <c r="G702" s="6" t="str">
        <f>TRIM(Dataset!G702)</f>
        <v>555 Main St</v>
      </c>
      <c r="H702" s="6" t="str">
        <f>TRIM(Dataset!H702)</f>
        <v>Cash</v>
      </c>
      <c r="I702" s="6" t="str">
        <f>TRIM(Dataset!I702)</f>
        <v>Returned</v>
      </c>
      <c r="J702" s="6" t="str">
        <f>TRIM(Dataset!J702)</f>
        <v>TRK30198779</v>
      </c>
      <c r="K702" s="8" t="str">
        <f>TRIM(Dataset!K702)</f>
        <v>3</v>
      </c>
      <c r="L702" s="6" t="str">
        <f>Dataset!L702</f>
        <v>WINTER15</v>
      </c>
      <c r="M702" s="6" t="str">
        <f>TRIM(Dataset!M702)</f>
        <v>Instagram</v>
      </c>
      <c r="N702" s="10">
        <f>VALUE(TRIM(Dataset!N702))</f>
        <v>185.82</v>
      </c>
    </row>
    <row r="703" spans="1:14" x14ac:dyDescent="0.35">
      <c r="A703" s="6" t="str">
        <f>TRIM(Dataset!A703)</f>
        <v>ORD200701</v>
      </c>
      <c r="B703" s="4">
        <f>Dataset!B703</f>
        <v>45466</v>
      </c>
      <c r="C703" s="6" t="str">
        <f>TRIM(Dataset!C703)</f>
        <v>C75456</v>
      </c>
      <c r="D703" s="6" t="str">
        <f>TRIM(Dataset!D703)</f>
        <v>Monitor</v>
      </c>
      <c r="E703" s="13">
        <f>VALUE(TRIM(Dataset!E703))</f>
        <v>3</v>
      </c>
      <c r="F703" s="10">
        <f>VALUE(TRIM(Dataset!F703))</f>
        <v>92.22</v>
      </c>
      <c r="G703" s="6" t="str">
        <f>TRIM(Dataset!G703)</f>
        <v>115 Main St</v>
      </c>
      <c r="H703" s="6" t="str">
        <f>TRIM(Dataset!H703)</f>
        <v>Credit Card</v>
      </c>
      <c r="I703" s="6" t="str">
        <f>TRIM(Dataset!I703)</f>
        <v>Delivered</v>
      </c>
      <c r="J703" s="6" t="str">
        <f>TRIM(Dataset!J703)</f>
        <v>TRK90519490</v>
      </c>
      <c r="K703" s="8" t="str">
        <f>TRIM(Dataset!K703)</f>
        <v>5</v>
      </c>
      <c r="L703" s="6" t="str">
        <f>Dataset!L703</f>
        <v>FREESHIP</v>
      </c>
      <c r="M703" s="6" t="str">
        <f>TRIM(Dataset!M703)</f>
        <v>Email</v>
      </c>
      <c r="N703" s="10">
        <f>VALUE(TRIM(Dataset!N703))</f>
        <v>276.66000000000003</v>
      </c>
    </row>
    <row r="704" spans="1:14" x14ac:dyDescent="0.35">
      <c r="A704" s="6" t="str">
        <f>TRIM(Dataset!A704)</f>
        <v>ORD200702</v>
      </c>
      <c r="B704" s="4">
        <f>Dataset!B704</f>
        <v>45452</v>
      </c>
      <c r="C704" s="6" t="str">
        <f>TRIM(Dataset!C704)</f>
        <v>C33315</v>
      </c>
      <c r="D704" s="6" t="str">
        <f>TRIM(Dataset!D704)</f>
        <v>Printer</v>
      </c>
      <c r="E704" s="13">
        <f>VALUE(TRIM(Dataset!E704))</f>
        <v>3</v>
      </c>
      <c r="F704" s="10">
        <f>VALUE(TRIM(Dataset!F704))</f>
        <v>562.54999999999995</v>
      </c>
      <c r="G704" s="6" t="str">
        <f>TRIM(Dataset!G704)</f>
        <v>154 Main St</v>
      </c>
      <c r="H704" s="6" t="str">
        <f>TRIM(Dataset!H704)</f>
        <v>Debit Card</v>
      </c>
      <c r="I704" s="6" t="str">
        <f>TRIM(Dataset!I704)</f>
        <v>Returned</v>
      </c>
      <c r="J704" s="6" t="str">
        <f>TRIM(Dataset!J704)</f>
        <v>TRK43589369</v>
      </c>
      <c r="K704" s="8" t="str">
        <f>TRIM(Dataset!K704)</f>
        <v>6</v>
      </c>
      <c r="L704" s="6" t="s">
        <v>4284</v>
      </c>
      <c r="M704" s="6" t="str">
        <f>TRIM(Dataset!M704)</f>
        <v>Email</v>
      </c>
      <c r="N704" s="10">
        <f>VALUE(TRIM(Dataset!N704))</f>
        <v>1687.65</v>
      </c>
    </row>
    <row r="705" spans="1:14" x14ac:dyDescent="0.35">
      <c r="A705" s="6" t="str">
        <f>TRIM(Dataset!A705)</f>
        <v>ORD200703</v>
      </c>
      <c r="B705" s="4">
        <f>Dataset!B705</f>
        <v>45007</v>
      </c>
      <c r="C705" s="6" t="str">
        <f>TRIM(Dataset!C705)</f>
        <v>C89336</v>
      </c>
      <c r="D705" s="6" t="str">
        <f>TRIM(Dataset!D705)</f>
        <v>Desk</v>
      </c>
      <c r="E705" s="13">
        <f>VALUE(TRIM(Dataset!E705))</f>
        <v>1</v>
      </c>
      <c r="F705" s="10">
        <f>VALUE(TRIM(Dataset!F705))</f>
        <v>92.79</v>
      </c>
      <c r="G705" s="6" t="str">
        <f>TRIM(Dataset!G705)</f>
        <v>799 Main St</v>
      </c>
      <c r="H705" s="6" t="str">
        <f>TRIM(Dataset!H705)</f>
        <v>Cash</v>
      </c>
      <c r="I705" s="6" t="str">
        <f>TRIM(Dataset!I705)</f>
        <v>Pending</v>
      </c>
      <c r="J705" s="6" t="str">
        <f>TRIM(Dataset!J705)</f>
        <v>TRK47665103</v>
      </c>
      <c r="K705" s="8" t="str">
        <f>TRIM(Dataset!K705)</f>
        <v>3</v>
      </c>
      <c r="L705" s="6" t="str">
        <f>Dataset!L705</f>
        <v>WINTER15</v>
      </c>
      <c r="M705" s="6" t="str">
        <f>TRIM(Dataset!M705)</f>
        <v>Email</v>
      </c>
      <c r="N705" s="10">
        <f>VALUE(TRIM(Dataset!N705))</f>
        <v>92.79</v>
      </c>
    </row>
    <row r="706" spans="1:14" x14ac:dyDescent="0.35">
      <c r="A706" s="6" t="str">
        <f>TRIM(Dataset!A706)</f>
        <v>ORD200704</v>
      </c>
      <c r="B706" s="4">
        <f>Dataset!B706</f>
        <v>45080</v>
      </c>
      <c r="C706" s="6" t="str">
        <f>TRIM(Dataset!C706)</f>
        <v>C96034</v>
      </c>
      <c r="D706" s="6" t="str">
        <f>TRIM(Dataset!D706)</f>
        <v>Desk</v>
      </c>
      <c r="E706" s="13">
        <f>VALUE(TRIM(Dataset!E706))</f>
        <v>4</v>
      </c>
      <c r="F706" s="10">
        <f>VALUE(TRIM(Dataset!F706))</f>
        <v>30.27</v>
      </c>
      <c r="G706" s="6" t="str">
        <f>TRIM(Dataset!G706)</f>
        <v>819 Main St</v>
      </c>
      <c r="H706" s="6" t="str">
        <f>TRIM(Dataset!H706)</f>
        <v>Online</v>
      </c>
      <c r="I706" s="6" t="str">
        <f>TRIM(Dataset!I706)</f>
        <v>Delivered</v>
      </c>
      <c r="J706" s="6" t="str">
        <f>TRIM(Dataset!J706)</f>
        <v>TRK87261034</v>
      </c>
      <c r="K706" s="8" t="str">
        <f>TRIM(Dataset!K706)</f>
        <v>9</v>
      </c>
      <c r="L706" s="6" t="str">
        <f>Dataset!L706</f>
        <v>FREESHIP</v>
      </c>
      <c r="M706" s="6" t="str">
        <f>TRIM(Dataset!M706)</f>
        <v>Google</v>
      </c>
      <c r="N706" s="10">
        <f>VALUE(TRIM(Dataset!N706))</f>
        <v>121.08</v>
      </c>
    </row>
    <row r="707" spans="1:14" x14ac:dyDescent="0.35">
      <c r="A707" s="6" t="str">
        <f>TRIM(Dataset!A707)</f>
        <v>ORD200705</v>
      </c>
      <c r="B707" s="4">
        <f>Dataset!B707</f>
        <v>45746</v>
      </c>
      <c r="C707" s="6" t="str">
        <f>TRIM(Dataset!C707)</f>
        <v>C50114</v>
      </c>
      <c r="D707" s="6" t="str">
        <f>TRIM(Dataset!D707)</f>
        <v>Monitor</v>
      </c>
      <c r="E707" s="13">
        <f>VALUE(TRIM(Dataset!E707))</f>
        <v>2</v>
      </c>
      <c r="F707" s="10">
        <f>VALUE(TRIM(Dataset!F707))</f>
        <v>49.08</v>
      </c>
      <c r="G707" s="6" t="str">
        <f>TRIM(Dataset!G707)</f>
        <v>420 Main St</v>
      </c>
      <c r="H707" s="6" t="str">
        <f>TRIM(Dataset!H707)</f>
        <v>Debit Card</v>
      </c>
      <c r="I707" s="6" t="str">
        <f>TRIM(Dataset!I707)</f>
        <v>Returned</v>
      </c>
      <c r="J707" s="6" t="str">
        <f>TRIM(Dataset!J707)</f>
        <v>TRK20214786</v>
      </c>
      <c r="K707" s="8" t="str">
        <f>TRIM(Dataset!K707)</f>
        <v>7</v>
      </c>
      <c r="L707" s="6" t="str">
        <f>Dataset!L707</f>
        <v>FREESHIP</v>
      </c>
      <c r="M707" s="6" t="str">
        <f>TRIM(Dataset!M707)</f>
        <v>Instagram</v>
      </c>
      <c r="N707" s="10">
        <f>VALUE(TRIM(Dataset!N707))</f>
        <v>98.16</v>
      </c>
    </row>
    <row r="708" spans="1:14" x14ac:dyDescent="0.35">
      <c r="A708" s="6" t="str">
        <f>TRIM(Dataset!A708)</f>
        <v>ORD200706</v>
      </c>
      <c r="B708" s="4">
        <f>Dataset!B708</f>
        <v>45718</v>
      </c>
      <c r="C708" s="6" t="str">
        <f>TRIM(Dataset!C708)</f>
        <v>C85330</v>
      </c>
      <c r="D708" s="6" t="str">
        <f>TRIM(Dataset!D708)</f>
        <v>Desk</v>
      </c>
      <c r="E708" s="13">
        <f>VALUE(TRIM(Dataset!E708))</f>
        <v>5</v>
      </c>
      <c r="F708" s="10">
        <f>VALUE(TRIM(Dataset!F708))</f>
        <v>228.09</v>
      </c>
      <c r="G708" s="6" t="str">
        <f>TRIM(Dataset!G708)</f>
        <v>969 Main St</v>
      </c>
      <c r="H708" s="6" t="str">
        <f>TRIM(Dataset!H708)</f>
        <v>Gift Card</v>
      </c>
      <c r="I708" s="6" t="str">
        <f>TRIM(Dataset!I708)</f>
        <v>Returned</v>
      </c>
      <c r="J708" s="6" t="str">
        <f>TRIM(Dataset!J708)</f>
        <v>TRK97693301</v>
      </c>
      <c r="K708" s="8" t="str">
        <f>TRIM(Dataset!K708)</f>
        <v>9</v>
      </c>
      <c r="L708" s="6" t="str">
        <f>Dataset!L708</f>
        <v>FREESHIP</v>
      </c>
      <c r="M708" s="6" t="str">
        <f>TRIM(Dataset!M708)</f>
        <v>Facebook</v>
      </c>
      <c r="N708" s="10">
        <f>VALUE(TRIM(Dataset!N708))</f>
        <v>1140.45</v>
      </c>
    </row>
    <row r="709" spans="1:14" x14ac:dyDescent="0.35">
      <c r="A709" s="6" t="str">
        <f>TRIM(Dataset!A709)</f>
        <v>ORD200707</v>
      </c>
      <c r="B709" s="4">
        <f>Dataset!B709</f>
        <v>45597</v>
      </c>
      <c r="C709" s="6" t="str">
        <f>TRIM(Dataset!C709)</f>
        <v>C31761</v>
      </c>
      <c r="D709" s="6" t="str">
        <f>TRIM(Dataset!D709)</f>
        <v>Chair</v>
      </c>
      <c r="E709" s="13">
        <f>VALUE(TRIM(Dataset!E709))</f>
        <v>4</v>
      </c>
      <c r="F709" s="10">
        <f>VALUE(TRIM(Dataset!F709))</f>
        <v>650.04</v>
      </c>
      <c r="G709" s="6" t="str">
        <f>TRIM(Dataset!G709)</f>
        <v>989 Main St</v>
      </c>
      <c r="H709" s="6" t="str">
        <f>TRIM(Dataset!H709)</f>
        <v>Gift Card</v>
      </c>
      <c r="I709" s="6" t="str">
        <f>TRIM(Dataset!I709)</f>
        <v>Cancelled</v>
      </c>
      <c r="J709" s="6" t="str">
        <f>TRIM(Dataset!J709)</f>
        <v>TRK17628852</v>
      </c>
      <c r="K709" s="8" t="str">
        <f>TRIM(Dataset!K709)</f>
        <v>6</v>
      </c>
      <c r="L709" s="6" t="str">
        <f>Dataset!L709</f>
        <v>SAVE10</v>
      </c>
      <c r="M709" s="6" t="str">
        <f>TRIM(Dataset!M709)</f>
        <v>Facebook</v>
      </c>
      <c r="N709" s="10">
        <f>VALUE(TRIM(Dataset!N709))</f>
        <v>2600.16</v>
      </c>
    </row>
    <row r="710" spans="1:14" x14ac:dyDescent="0.35">
      <c r="A710" s="6" t="str">
        <f>TRIM(Dataset!A710)</f>
        <v>ORD200708</v>
      </c>
      <c r="B710" s="4">
        <f>Dataset!B710</f>
        <v>45720</v>
      </c>
      <c r="C710" s="6" t="str">
        <f>TRIM(Dataset!C710)</f>
        <v>C25268</v>
      </c>
      <c r="D710" s="6" t="str">
        <f>TRIM(Dataset!D710)</f>
        <v>Printer</v>
      </c>
      <c r="E710" s="13">
        <f>VALUE(TRIM(Dataset!E710))</f>
        <v>1</v>
      </c>
      <c r="F710" s="10">
        <f>VALUE(TRIM(Dataset!F710))</f>
        <v>665.11</v>
      </c>
      <c r="G710" s="6" t="str">
        <f>TRIM(Dataset!G710)</f>
        <v>788 Main St</v>
      </c>
      <c r="H710" s="6" t="str">
        <f>TRIM(Dataset!H710)</f>
        <v>Cash</v>
      </c>
      <c r="I710" s="6" t="str">
        <f>TRIM(Dataset!I710)</f>
        <v>Pending</v>
      </c>
      <c r="J710" s="6" t="str">
        <f>TRIM(Dataset!J710)</f>
        <v>TRK20481215</v>
      </c>
      <c r="K710" s="8" t="str">
        <f>TRIM(Dataset!K710)</f>
        <v>3</v>
      </c>
      <c r="L710" s="6" t="str">
        <f>Dataset!L710</f>
        <v>FREESHIP</v>
      </c>
      <c r="M710" s="6" t="str">
        <f>TRIM(Dataset!M710)</f>
        <v>Instagram</v>
      </c>
      <c r="N710" s="10">
        <f>VALUE(TRIM(Dataset!N710))</f>
        <v>665.11</v>
      </c>
    </row>
    <row r="711" spans="1:14" x14ac:dyDescent="0.35">
      <c r="A711" s="6" t="str">
        <f>TRIM(Dataset!A711)</f>
        <v>ORD200709</v>
      </c>
      <c r="B711" s="4">
        <f>Dataset!B711</f>
        <v>45633</v>
      </c>
      <c r="C711" s="6" t="str">
        <f>TRIM(Dataset!C711)</f>
        <v>C17132</v>
      </c>
      <c r="D711" s="6" t="str">
        <f>TRIM(Dataset!D711)</f>
        <v>Desk</v>
      </c>
      <c r="E711" s="13">
        <f>VALUE(TRIM(Dataset!E711))</f>
        <v>1</v>
      </c>
      <c r="F711" s="10">
        <f>VALUE(TRIM(Dataset!F711))</f>
        <v>386.03</v>
      </c>
      <c r="G711" s="6" t="str">
        <f>TRIM(Dataset!G711)</f>
        <v>855 Main St</v>
      </c>
      <c r="H711" s="6" t="str">
        <f>TRIM(Dataset!H711)</f>
        <v>Online</v>
      </c>
      <c r="I711" s="6" t="str">
        <f>TRIM(Dataset!I711)</f>
        <v>Pending</v>
      </c>
      <c r="J711" s="6" t="str">
        <f>TRIM(Dataset!J711)</f>
        <v>TRK37504692</v>
      </c>
      <c r="K711" s="8" t="str">
        <f>TRIM(Dataset!K711)</f>
        <v>4</v>
      </c>
      <c r="L711" s="6" t="str">
        <f>Dataset!L711</f>
        <v>FREESHIP</v>
      </c>
      <c r="M711" s="6" t="str">
        <f>TRIM(Dataset!M711)</f>
        <v>Google</v>
      </c>
      <c r="N711" s="10">
        <f>VALUE(TRIM(Dataset!N711))</f>
        <v>386.03</v>
      </c>
    </row>
    <row r="712" spans="1:14" x14ac:dyDescent="0.35">
      <c r="A712" s="6" t="str">
        <f>TRIM(Dataset!A712)</f>
        <v>ORD200710</v>
      </c>
      <c r="B712" s="4">
        <f>Dataset!B712</f>
        <v>45495</v>
      </c>
      <c r="C712" s="6" t="str">
        <f>TRIM(Dataset!C712)</f>
        <v>C48790</v>
      </c>
      <c r="D712" s="6" t="str">
        <f>TRIM(Dataset!D712)</f>
        <v>Laptop</v>
      </c>
      <c r="E712" s="13">
        <f>VALUE(TRIM(Dataset!E712))</f>
        <v>5</v>
      </c>
      <c r="F712" s="10">
        <f>VALUE(TRIM(Dataset!F712))</f>
        <v>21.54</v>
      </c>
      <c r="G712" s="6" t="str">
        <f>TRIM(Dataset!G712)</f>
        <v>113 Main St</v>
      </c>
      <c r="H712" s="6" t="str">
        <f>TRIM(Dataset!H712)</f>
        <v>Gift Card</v>
      </c>
      <c r="I712" s="6" t="str">
        <f>TRIM(Dataset!I712)</f>
        <v>Returned</v>
      </c>
      <c r="J712" s="6" t="str">
        <f>TRIM(Dataset!J712)</f>
        <v>TRK19086608</v>
      </c>
      <c r="K712" s="8" t="str">
        <f>TRIM(Dataset!K712)</f>
        <v>10</v>
      </c>
      <c r="L712" s="6" t="s">
        <v>4284</v>
      </c>
      <c r="M712" s="6" t="str">
        <f>TRIM(Dataset!M712)</f>
        <v>Google</v>
      </c>
      <c r="N712" s="10">
        <f>VALUE(TRIM(Dataset!N712))</f>
        <v>107.7</v>
      </c>
    </row>
    <row r="713" spans="1:14" x14ac:dyDescent="0.35">
      <c r="A713" s="6" t="str">
        <f>TRIM(Dataset!A713)</f>
        <v>ORD200711</v>
      </c>
      <c r="B713" s="4">
        <f>Dataset!B713</f>
        <v>45477</v>
      </c>
      <c r="C713" s="6" t="str">
        <f>TRIM(Dataset!C713)</f>
        <v>C61070</v>
      </c>
      <c r="D713" s="6" t="str">
        <f>TRIM(Dataset!D713)</f>
        <v>Tablet</v>
      </c>
      <c r="E713" s="13">
        <f>VALUE(TRIM(Dataset!E713))</f>
        <v>2</v>
      </c>
      <c r="F713" s="10">
        <f>VALUE(TRIM(Dataset!F713))</f>
        <v>475.78</v>
      </c>
      <c r="G713" s="6" t="str">
        <f>TRIM(Dataset!G713)</f>
        <v>632 Main St</v>
      </c>
      <c r="H713" s="6" t="str">
        <f>TRIM(Dataset!H713)</f>
        <v>Online</v>
      </c>
      <c r="I713" s="6" t="str">
        <f>TRIM(Dataset!I713)</f>
        <v>Shipped</v>
      </c>
      <c r="J713" s="6" t="str">
        <f>TRIM(Dataset!J713)</f>
        <v>TRK90764894</v>
      </c>
      <c r="K713" s="8" t="str">
        <f>TRIM(Dataset!K713)</f>
        <v>2</v>
      </c>
      <c r="L713" s="6" t="str">
        <f>Dataset!L713</f>
        <v>WINTER15</v>
      </c>
      <c r="M713" s="6" t="str">
        <f>TRIM(Dataset!M713)</f>
        <v>Google</v>
      </c>
      <c r="N713" s="10">
        <f>VALUE(TRIM(Dataset!N713))</f>
        <v>951.56</v>
      </c>
    </row>
    <row r="714" spans="1:14" x14ac:dyDescent="0.35">
      <c r="A714" s="6" t="str">
        <f>TRIM(Dataset!A714)</f>
        <v>ORD200712</v>
      </c>
      <c r="B714" s="4">
        <f>Dataset!B714</f>
        <v>45300</v>
      </c>
      <c r="C714" s="6" t="str">
        <f>TRIM(Dataset!C714)</f>
        <v>C56969</v>
      </c>
      <c r="D714" s="6" t="str">
        <f>TRIM(Dataset!D714)</f>
        <v>Tablet</v>
      </c>
      <c r="E714" s="13">
        <f>VALUE(TRIM(Dataset!E714))</f>
        <v>2</v>
      </c>
      <c r="F714" s="10">
        <f>VALUE(TRIM(Dataset!F714))</f>
        <v>68.400000000000006</v>
      </c>
      <c r="G714" s="6" t="str">
        <f>TRIM(Dataset!G714)</f>
        <v>993 Main St</v>
      </c>
      <c r="H714" s="6" t="str">
        <f>TRIM(Dataset!H714)</f>
        <v>Gift Card</v>
      </c>
      <c r="I714" s="6" t="str">
        <f>TRIM(Dataset!I714)</f>
        <v>Pending</v>
      </c>
      <c r="J714" s="6" t="str">
        <f>TRIM(Dataset!J714)</f>
        <v>TRK10513339</v>
      </c>
      <c r="K714" s="8" t="str">
        <f>TRIM(Dataset!K714)</f>
        <v>7</v>
      </c>
      <c r="L714" s="6" t="str">
        <f>Dataset!L714</f>
        <v>FREESHIP</v>
      </c>
      <c r="M714" s="6" t="str">
        <f>TRIM(Dataset!M714)</f>
        <v>Email</v>
      </c>
      <c r="N714" s="10">
        <f>VALUE(TRIM(Dataset!N714))</f>
        <v>136.80000000000001</v>
      </c>
    </row>
    <row r="715" spans="1:14" x14ac:dyDescent="0.35">
      <c r="A715" s="6" t="str">
        <f>TRIM(Dataset!A715)</f>
        <v>ORD200713</v>
      </c>
      <c r="B715" s="4">
        <f>Dataset!B715</f>
        <v>45829</v>
      </c>
      <c r="C715" s="6" t="str">
        <f>TRIM(Dataset!C715)</f>
        <v>C65056</v>
      </c>
      <c r="D715" s="6" t="str">
        <f>TRIM(Dataset!D715)</f>
        <v>Tablet</v>
      </c>
      <c r="E715" s="13">
        <f>VALUE(TRIM(Dataset!E715))</f>
        <v>4</v>
      </c>
      <c r="F715" s="10">
        <f>VALUE(TRIM(Dataset!F715))</f>
        <v>532.49</v>
      </c>
      <c r="G715" s="6" t="str">
        <f>TRIM(Dataset!G715)</f>
        <v>638 Main St</v>
      </c>
      <c r="H715" s="6" t="str">
        <f>TRIM(Dataset!H715)</f>
        <v>Online</v>
      </c>
      <c r="I715" s="6" t="str">
        <f>TRIM(Dataset!I715)</f>
        <v>Cancelled</v>
      </c>
      <c r="J715" s="6" t="str">
        <f>TRIM(Dataset!J715)</f>
        <v>TRK31705278</v>
      </c>
      <c r="K715" s="8" t="str">
        <f>TRIM(Dataset!K715)</f>
        <v>6</v>
      </c>
      <c r="L715" s="6" t="str">
        <f>Dataset!L715</f>
        <v>SAVE10</v>
      </c>
      <c r="M715" s="6" t="str">
        <f>TRIM(Dataset!M715)</f>
        <v>Facebook</v>
      </c>
      <c r="N715" s="10">
        <f>VALUE(TRIM(Dataset!N715))</f>
        <v>2129.96</v>
      </c>
    </row>
    <row r="716" spans="1:14" x14ac:dyDescent="0.35">
      <c r="A716" s="6" t="str">
        <f>TRIM(Dataset!A716)</f>
        <v>ORD200714</v>
      </c>
      <c r="B716" s="4">
        <f>Dataset!B716</f>
        <v>45037</v>
      </c>
      <c r="C716" s="6" t="str">
        <f>TRIM(Dataset!C716)</f>
        <v>C84888</v>
      </c>
      <c r="D716" s="6" t="str">
        <f>TRIM(Dataset!D716)</f>
        <v>Laptop</v>
      </c>
      <c r="E716" s="13">
        <f>VALUE(TRIM(Dataset!E716))</f>
        <v>1</v>
      </c>
      <c r="F716" s="10">
        <f>VALUE(TRIM(Dataset!F716))</f>
        <v>51.73</v>
      </c>
      <c r="G716" s="6" t="str">
        <f>TRIM(Dataset!G716)</f>
        <v>278 Main St</v>
      </c>
      <c r="H716" s="6" t="str">
        <f>TRIM(Dataset!H716)</f>
        <v>Debit Card</v>
      </c>
      <c r="I716" s="6" t="str">
        <f>TRIM(Dataset!I716)</f>
        <v>Pending</v>
      </c>
      <c r="J716" s="6" t="str">
        <f>TRIM(Dataset!J716)</f>
        <v>TRK23612847</v>
      </c>
      <c r="K716" s="8" t="str">
        <f>TRIM(Dataset!K716)</f>
        <v>1</v>
      </c>
      <c r="L716" s="6" t="str">
        <f>Dataset!L716</f>
        <v>FREESHIP</v>
      </c>
      <c r="M716" s="6" t="str">
        <f>TRIM(Dataset!M716)</f>
        <v>Facebook</v>
      </c>
      <c r="N716" s="10">
        <f>VALUE(TRIM(Dataset!N716))</f>
        <v>51.73</v>
      </c>
    </row>
    <row r="717" spans="1:14" x14ac:dyDescent="0.35">
      <c r="A717" s="6" t="str">
        <f>TRIM(Dataset!A717)</f>
        <v>ORD200715</v>
      </c>
      <c r="B717" s="4">
        <f>Dataset!B717</f>
        <v>45499</v>
      </c>
      <c r="C717" s="6" t="str">
        <f>TRIM(Dataset!C717)</f>
        <v>C68266</v>
      </c>
      <c r="D717" s="6" t="str">
        <f>TRIM(Dataset!D717)</f>
        <v>Printer</v>
      </c>
      <c r="E717" s="13">
        <f>VALUE(TRIM(Dataset!E717))</f>
        <v>3</v>
      </c>
      <c r="F717" s="10">
        <f>VALUE(TRIM(Dataset!F717))</f>
        <v>653.63</v>
      </c>
      <c r="G717" s="6" t="str">
        <f>TRIM(Dataset!G717)</f>
        <v>281 Main St</v>
      </c>
      <c r="H717" s="6" t="str">
        <f>TRIM(Dataset!H717)</f>
        <v>Online</v>
      </c>
      <c r="I717" s="6" t="str">
        <f>TRIM(Dataset!I717)</f>
        <v>Delivered</v>
      </c>
      <c r="J717" s="6" t="str">
        <f>TRIM(Dataset!J717)</f>
        <v>TRK96161062</v>
      </c>
      <c r="K717" s="8" t="str">
        <f>TRIM(Dataset!K717)</f>
        <v>7</v>
      </c>
      <c r="L717" s="6" t="str">
        <f>Dataset!L717</f>
        <v>FREESHIP</v>
      </c>
      <c r="M717" s="6" t="str">
        <f>TRIM(Dataset!M717)</f>
        <v>Email</v>
      </c>
      <c r="N717" s="10">
        <f>VALUE(TRIM(Dataset!N717))</f>
        <v>1960.89</v>
      </c>
    </row>
    <row r="718" spans="1:14" x14ac:dyDescent="0.35">
      <c r="A718" s="6" t="str">
        <f>TRIM(Dataset!A718)</f>
        <v>ORD200716</v>
      </c>
      <c r="B718" s="4">
        <f>Dataset!B718</f>
        <v>45456</v>
      </c>
      <c r="C718" s="6" t="str">
        <f>TRIM(Dataset!C718)</f>
        <v>C84115</v>
      </c>
      <c r="D718" s="6" t="str">
        <f>TRIM(Dataset!D718)</f>
        <v>Chair</v>
      </c>
      <c r="E718" s="13">
        <f>VALUE(TRIM(Dataset!E718))</f>
        <v>3</v>
      </c>
      <c r="F718" s="10">
        <f>VALUE(TRIM(Dataset!F718))</f>
        <v>454.29</v>
      </c>
      <c r="G718" s="6" t="str">
        <f>TRIM(Dataset!G718)</f>
        <v>891 Main St</v>
      </c>
      <c r="H718" s="6" t="str">
        <f>TRIM(Dataset!H718)</f>
        <v>Credit Card</v>
      </c>
      <c r="I718" s="6" t="str">
        <f>TRIM(Dataset!I718)</f>
        <v>Pending</v>
      </c>
      <c r="J718" s="6" t="str">
        <f>TRIM(Dataset!J718)</f>
        <v>TRK25466842</v>
      </c>
      <c r="K718" s="8" t="str">
        <f>TRIM(Dataset!K718)</f>
        <v>4</v>
      </c>
      <c r="L718" s="6" t="str">
        <f>Dataset!L718</f>
        <v>WINTER15</v>
      </c>
      <c r="M718" s="6" t="str">
        <f>TRIM(Dataset!M718)</f>
        <v>Google</v>
      </c>
      <c r="N718" s="10">
        <f>VALUE(TRIM(Dataset!N718))</f>
        <v>1362.87</v>
      </c>
    </row>
    <row r="719" spans="1:14" x14ac:dyDescent="0.35">
      <c r="A719" s="6" t="str">
        <f>TRIM(Dataset!A719)</f>
        <v>ORD200717</v>
      </c>
      <c r="B719" s="4">
        <f>Dataset!B719</f>
        <v>45215</v>
      </c>
      <c r="C719" s="6" t="str">
        <f>TRIM(Dataset!C719)</f>
        <v>C50087</v>
      </c>
      <c r="D719" s="6" t="str">
        <f>TRIM(Dataset!D719)</f>
        <v>Chair</v>
      </c>
      <c r="E719" s="13">
        <f>VALUE(TRIM(Dataset!E719))</f>
        <v>3</v>
      </c>
      <c r="F719" s="10">
        <f>VALUE(TRIM(Dataset!F719))</f>
        <v>122.11</v>
      </c>
      <c r="G719" s="6" t="str">
        <f>TRIM(Dataset!G719)</f>
        <v>707 Main St</v>
      </c>
      <c r="H719" s="6" t="str">
        <f>TRIM(Dataset!H719)</f>
        <v>Online</v>
      </c>
      <c r="I719" s="6" t="str">
        <f>TRIM(Dataset!I719)</f>
        <v>Delivered</v>
      </c>
      <c r="J719" s="6" t="str">
        <f>TRIM(Dataset!J719)</f>
        <v>TRK31143760</v>
      </c>
      <c r="K719" s="8" t="str">
        <f>TRIM(Dataset!K719)</f>
        <v>4</v>
      </c>
      <c r="L719" s="6" t="str">
        <f>Dataset!L719</f>
        <v>WINTER15</v>
      </c>
      <c r="M719" s="6" t="str">
        <f>TRIM(Dataset!M719)</f>
        <v>Email</v>
      </c>
      <c r="N719" s="10">
        <f>VALUE(TRIM(Dataset!N719))</f>
        <v>366.33</v>
      </c>
    </row>
    <row r="720" spans="1:14" x14ac:dyDescent="0.35">
      <c r="A720" s="6" t="str">
        <f>TRIM(Dataset!A720)</f>
        <v>ORD200718</v>
      </c>
      <c r="B720" s="4">
        <f>Dataset!B720</f>
        <v>45024</v>
      </c>
      <c r="C720" s="6" t="str">
        <f>TRIM(Dataset!C720)</f>
        <v>C16790</v>
      </c>
      <c r="D720" s="6" t="str">
        <f>TRIM(Dataset!D720)</f>
        <v>Laptop</v>
      </c>
      <c r="E720" s="13">
        <f>VALUE(TRIM(Dataset!E720))</f>
        <v>4</v>
      </c>
      <c r="F720" s="10">
        <f>VALUE(TRIM(Dataset!F720))</f>
        <v>64.739999999999995</v>
      </c>
      <c r="G720" s="6" t="str">
        <f>TRIM(Dataset!G720)</f>
        <v>718 Main St</v>
      </c>
      <c r="H720" s="6" t="str">
        <f>TRIM(Dataset!H720)</f>
        <v>Gift Card</v>
      </c>
      <c r="I720" s="6" t="str">
        <f>TRIM(Dataset!I720)</f>
        <v>Cancelled</v>
      </c>
      <c r="J720" s="6" t="str">
        <f>TRIM(Dataset!J720)</f>
        <v>TRK91791367</v>
      </c>
      <c r="K720" s="8" t="str">
        <f>TRIM(Dataset!K720)</f>
        <v>8</v>
      </c>
      <c r="L720" s="6" t="str">
        <f>Dataset!L720</f>
        <v>SAVE10</v>
      </c>
      <c r="M720" s="6" t="str">
        <f>TRIM(Dataset!M720)</f>
        <v>Google</v>
      </c>
      <c r="N720" s="10">
        <f>VALUE(TRIM(Dataset!N720))</f>
        <v>258.95999999999998</v>
      </c>
    </row>
    <row r="721" spans="1:14" x14ac:dyDescent="0.35">
      <c r="A721" s="6" t="str">
        <f>TRIM(Dataset!A721)</f>
        <v>ORD200719</v>
      </c>
      <c r="B721" s="4">
        <f>Dataset!B721</f>
        <v>45312</v>
      </c>
      <c r="C721" s="6" t="str">
        <f>TRIM(Dataset!C721)</f>
        <v>C46920</v>
      </c>
      <c r="D721" s="6" t="str">
        <f>TRIM(Dataset!D721)</f>
        <v>Laptop</v>
      </c>
      <c r="E721" s="13">
        <f>VALUE(TRIM(Dataset!E721))</f>
        <v>2</v>
      </c>
      <c r="F721" s="10">
        <f>VALUE(TRIM(Dataset!F721))</f>
        <v>681.06</v>
      </c>
      <c r="G721" s="6" t="str">
        <f>TRIM(Dataset!G721)</f>
        <v>703 Main St</v>
      </c>
      <c r="H721" s="6" t="str">
        <f>TRIM(Dataset!H721)</f>
        <v>Debit Card</v>
      </c>
      <c r="I721" s="6" t="str">
        <f>TRIM(Dataset!I721)</f>
        <v>Shipped</v>
      </c>
      <c r="J721" s="6" t="str">
        <f>TRIM(Dataset!J721)</f>
        <v>TRK86403837</v>
      </c>
      <c r="K721" s="8" t="str">
        <f>TRIM(Dataset!K721)</f>
        <v>3</v>
      </c>
      <c r="L721" s="6" t="str">
        <f>Dataset!L721</f>
        <v>FREESHIP</v>
      </c>
      <c r="M721" s="6" t="str">
        <f>TRIM(Dataset!M721)</f>
        <v>Facebook</v>
      </c>
      <c r="N721" s="10">
        <f>VALUE(TRIM(Dataset!N721))</f>
        <v>1362.12</v>
      </c>
    </row>
    <row r="722" spans="1:14" x14ac:dyDescent="0.35">
      <c r="A722" s="6" t="str">
        <f>TRIM(Dataset!A722)</f>
        <v>ORD200720</v>
      </c>
      <c r="B722" s="4">
        <f>Dataset!B722</f>
        <v>45190</v>
      </c>
      <c r="C722" s="6" t="str">
        <f>TRIM(Dataset!C722)</f>
        <v>C12740</v>
      </c>
      <c r="D722" s="6" t="str">
        <f>TRIM(Dataset!D722)</f>
        <v>Desk</v>
      </c>
      <c r="E722" s="13">
        <f>VALUE(TRIM(Dataset!E722))</f>
        <v>5</v>
      </c>
      <c r="F722" s="10">
        <f>VALUE(TRIM(Dataset!F722))</f>
        <v>128.94999999999999</v>
      </c>
      <c r="G722" s="6" t="str">
        <f>TRIM(Dataset!G722)</f>
        <v>305 Main St</v>
      </c>
      <c r="H722" s="6" t="str">
        <f>TRIM(Dataset!H722)</f>
        <v>Cash</v>
      </c>
      <c r="I722" s="6" t="str">
        <f>TRIM(Dataset!I722)</f>
        <v>Pending</v>
      </c>
      <c r="J722" s="6" t="str">
        <f>TRIM(Dataset!J722)</f>
        <v>TRK98506513</v>
      </c>
      <c r="K722" s="8" t="str">
        <f>TRIM(Dataset!K722)</f>
        <v>10</v>
      </c>
      <c r="L722" s="6" t="str">
        <f>Dataset!L722</f>
        <v>FREESHIP</v>
      </c>
      <c r="M722" s="6" t="str">
        <f>TRIM(Dataset!M722)</f>
        <v>Instagram</v>
      </c>
      <c r="N722" s="10">
        <f>VALUE(TRIM(Dataset!N722))</f>
        <v>644.75</v>
      </c>
    </row>
    <row r="723" spans="1:14" x14ac:dyDescent="0.35">
      <c r="A723" s="6" t="str">
        <f>TRIM(Dataset!A723)</f>
        <v>ORD200721</v>
      </c>
      <c r="B723" s="4">
        <f>Dataset!B723</f>
        <v>45369</v>
      </c>
      <c r="C723" s="6" t="str">
        <f>TRIM(Dataset!C723)</f>
        <v>C46557</v>
      </c>
      <c r="D723" s="6" t="str">
        <f>TRIM(Dataset!D723)</f>
        <v>Desk</v>
      </c>
      <c r="E723" s="13">
        <f>VALUE(TRIM(Dataset!E723))</f>
        <v>2</v>
      </c>
      <c r="F723" s="10">
        <f>VALUE(TRIM(Dataset!F723))</f>
        <v>118.59</v>
      </c>
      <c r="G723" s="6" t="str">
        <f>TRIM(Dataset!G723)</f>
        <v>890 Main St</v>
      </c>
      <c r="H723" s="6" t="str">
        <f>TRIM(Dataset!H723)</f>
        <v>Credit Card</v>
      </c>
      <c r="I723" s="6" t="str">
        <f>TRIM(Dataset!I723)</f>
        <v>Delivered</v>
      </c>
      <c r="J723" s="6" t="str">
        <f>TRIM(Dataset!J723)</f>
        <v>TRK56110689</v>
      </c>
      <c r="K723" s="8" t="str">
        <f>TRIM(Dataset!K723)</f>
        <v>2</v>
      </c>
      <c r="L723" s="6" t="s">
        <v>4284</v>
      </c>
      <c r="M723" s="6" t="str">
        <f>TRIM(Dataset!M723)</f>
        <v>Email</v>
      </c>
      <c r="N723" s="10">
        <f>VALUE(TRIM(Dataset!N723))</f>
        <v>237.18</v>
      </c>
    </row>
    <row r="724" spans="1:14" x14ac:dyDescent="0.35">
      <c r="A724" s="6" t="str">
        <f>TRIM(Dataset!A724)</f>
        <v>ORD200722</v>
      </c>
      <c r="B724" s="4">
        <f>Dataset!B724</f>
        <v>45611</v>
      </c>
      <c r="C724" s="6" t="str">
        <f>TRIM(Dataset!C724)</f>
        <v>C58156</v>
      </c>
      <c r="D724" s="6" t="str">
        <f>TRIM(Dataset!D724)</f>
        <v>Printer</v>
      </c>
      <c r="E724" s="13">
        <f>VALUE(TRIM(Dataset!E724))</f>
        <v>1</v>
      </c>
      <c r="F724" s="10">
        <f>VALUE(TRIM(Dataset!F724))</f>
        <v>95.1</v>
      </c>
      <c r="G724" s="6" t="str">
        <f>TRIM(Dataset!G724)</f>
        <v>516 Main St</v>
      </c>
      <c r="H724" s="6" t="str">
        <f>TRIM(Dataset!H724)</f>
        <v>Gift Card</v>
      </c>
      <c r="I724" s="6" t="str">
        <f>TRIM(Dataset!I724)</f>
        <v>Pending</v>
      </c>
      <c r="J724" s="6" t="str">
        <f>TRIM(Dataset!J724)</f>
        <v>TRK49719458</v>
      </c>
      <c r="K724" s="8" t="str">
        <f>TRIM(Dataset!K724)</f>
        <v>1</v>
      </c>
      <c r="L724" s="6" t="str">
        <f>Dataset!L724</f>
        <v>WINTER15</v>
      </c>
      <c r="M724" s="6" t="str">
        <f>TRIM(Dataset!M724)</f>
        <v>Instagram</v>
      </c>
      <c r="N724" s="10">
        <f>VALUE(TRIM(Dataset!N724))</f>
        <v>95.1</v>
      </c>
    </row>
    <row r="725" spans="1:14" x14ac:dyDescent="0.35">
      <c r="A725" s="6" t="str">
        <f>TRIM(Dataset!A725)</f>
        <v>ORD200723</v>
      </c>
      <c r="B725" s="4">
        <f>Dataset!B725</f>
        <v>45269</v>
      </c>
      <c r="C725" s="6" t="str">
        <f>TRIM(Dataset!C725)</f>
        <v>C14455</v>
      </c>
      <c r="D725" s="6" t="str">
        <f>TRIM(Dataset!D725)</f>
        <v>Desk</v>
      </c>
      <c r="E725" s="13">
        <f>VALUE(TRIM(Dataset!E725))</f>
        <v>3</v>
      </c>
      <c r="F725" s="10">
        <f>VALUE(TRIM(Dataset!F725))</f>
        <v>54.95</v>
      </c>
      <c r="G725" s="6" t="str">
        <f>TRIM(Dataset!G725)</f>
        <v>385 Main St</v>
      </c>
      <c r="H725" s="6" t="str">
        <f>TRIM(Dataset!H725)</f>
        <v>Cash</v>
      </c>
      <c r="I725" s="6" t="str">
        <f>TRIM(Dataset!I725)</f>
        <v>Returned</v>
      </c>
      <c r="J725" s="6" t="str">
        <f>TRIM(Dataset!J725)</f>
        <v>TRK50933724</v>
      </c>
      <c r="K725" s="8" t="str">
        <f>TRIM(Dataset!K725)</f>
        <v>8</v>
      </c>
      <c r="L725" s="6" t="str">
        <f>Dataset!L725</f>
        <v>SAVE10</v>
      </c>
      <c r="M725" s="6" t="str">
        <f>TRIM(Dataset!M725)</f>
        <v>Referral</v>
      </c>
      <c r="N725" s="10">
        <f>VALUE(TRIM(Dataset!N725))</f>
        <v>164.85</v>
      </c>
    </row>
    <row r="726" spans="1:14" x14ac:dyDescent="0.35">
      <c r="A726" s="6" t="str">
        <f>TRIM(Dataset!A726)</f>
        <v>ORD200724</v>
      </c>
      <c r="B726" s="4">
        <f>Dataset!B726</f>
        <v>45583</v>
      </c>
      <c r="C726" s="6" t="str">
        <f>TRIM(Dataset!C726)</f>
        <v>C63150</v>
      </c>
      <c r="D726" s="6" t="str">
        <f>TRIM(Dataset!D726)</f>
        <v>Printer</v>
      </c>
      <c r="E726" s="13">
        <f>VALUE(TRIM(Dataset!E726))</f>
        <v>3</v>
      </c>
      <c r="F726" s="10">
        <f>VALUE(TRIM(Dataset!F726))</f>
        <v>136.97</v>
      </c>
      <c r="G726" s="6" t="str">
        <f>TRIM(Dataset!G726)</f>
        <v>326 Main St</v>
      </c>
      <c r="H726" s="6" t="str">
        <f>TRIM(Dataset!H726)</f>
        <v>Credit Card</v>
      </c>
      <c r="I726" s="6" t="str">
        <f>TRIM(Dataset!I726)</f>
        <v>Returned</v>
      </c>
      <c r="J726" s="6" t="str">
        <f>TRIM(Dataset!J726)</f>
        <v>TRK19348078</v>
      </c>
      <c r="K726" s="8" t="str">
        <f>TRIM(Dataset!K726)</f>
        <v>4</v>
      </c>
      <c r="L726" s="6" t="str">
        <f>Dataset!L726</f>
        <v>FREESHIP</v>
      </c>
      <c r="M726" s="6" t="str">
        <f>TRIM(Dataset!M726)</f>
        <v>Referral</v>
      </c>
      <c r="N726" s="10">
        <f>VALUE(TRIM(Dataset!N726))</f>
        <v>410.91</v>
      </c>
    </row>
    <row r="727" spans="1:14" x14ac:dyDescent="0.35">
      <c r="A727" s="6" t="str">
        <f>TRIM(Dataset!A727)</f>
        <v>ORD200725</v>
      </c>
      <c r="B727" s="4">
        <f>Dataset!B727</f>
        <v>44997</v>
      </c>
      <c r="C727" s="6" t="str">
        <f>TRIM(Dataset!C727)</f>
        <v>C95269</v>
      </c>
      <c r="D727" s="6" t="str">
        <f>TRIM(Dataset!D727)</f>
        <v>Chair</v>
      </c>
      <c r="E727" s="13">
        <f>VALUE(TRIM(Dataset!E727))</f>
        <v>2</v>
      </c>
      <c r="F727" s="10">
        <f>VALUE(TRIM(Dataset!F727))</f>
        <v>194.85</v>
      </c>
      <c r="G727" s="6" t="str">
        <f>TRIM(Dataset!G727)</f>
        <v>372 Main St</v>
      </c>
      <c r="H727" s="6" t="str">
        <f>TRIM(Dataset!H727)</f>
        <v>Gift Card</v>
      </c>
      <c r="I727" s="6" t="str">
        <f>TRIM(Dataset!I727)</f>
        <v>Returned</v>
      </c>
      <c r="J727" s="6" t="str">
        <f>TRIM(Dataset!J727)</f>
        <v>TRK45670926</v>
      </c>
      <c r="K727" s="8" t="str">
        <f>TRIM(Dataset!K727)</f>
        <v>5</v>
      </c>
      <c r="L727" s="6" t="s">
        <v>4284</v>
      </c>
      <c r="M727" s="6" t="str">
        <f>TRIM(Dataset!M727)</f>
        <v>Referral</v>
      </c>
      <c r="N727" s="10">
        <f>VALUE(TRIM(Dataset!N727))</f>
        <v>389.7</v>
      </c>
    </row>
    <row r="728" spans="1:14" x14ac:dyDescent="0.35">
      <c r="A728" s="6" t="str">
        <f>TRIM(Dataset!A728)</f>
        <v>ORD200726</v>
      </c>
      <c r="B728" s="4">
        <f>Dataset!B728</f>
        <v>45590</v>
      </c>
      <c r="C728" s="6" t="str">
        <f>TRIM(Dataset!C728)</f>
        <v>C18105</v>
      </c>
      <c r="D728" s="6" t="str">
        <f>TRIM(Dataset!D728)</f>
        <v>Laptop</v>
      </c>
      <c r="E728" s="13">
        <f>VALUE(TRIM(Dataset!E728))</f>
        <v>4</v>
      </c>
      <c r="F728" s="10">
        <f>VALUE(TRIM(Dataset!F728))</f>
        <v>583.02</v>
      </c>
      <c r="G728" s="6" t="str">
        <f>TRIM(Dataset!G728)</f>
        <v>338 Main St</v>
      </c>
      <c r="H728" s="6" t="str">
        <f>TRIM(Dataset!H728)</f>
        <v>Online</v>
      </c>
      <c r="I728" s="6" t="str">
        <f>TRIM(Dataset!I728)</f>
        <v>Delivered</v>
      </c>
      <c r="J728" s="6" t="str">
        <f>TRIM(Dataset!J728)</f>
        <v>TRK94006117</v>
      </c>
      <c r="K728" s="8" t="str">
        <f>TRIM(Dataset!K728)</f>
        <v>4</v>
      </c>
      <c r="L728" s="6" t="str">
        <f>Dataset!L728</f>
        <v>FREESHIP</v>
      </c>
      <c r="M728" s="6" t="str">
        <f>TRIM(Dataset!M728)</f>
        <v>Facebook</v>
      </c>
      <c r="N728" s="10">
        <f>VALUE(TRIM(Dataset!N728))</f>
        <v>2332.08</v>
      </c>
    </row>
    <row r="729" spans="1:14" x14ac:dyDescent="0.35">
      <c r="A729" s="6" t="str">
        <f>TRIM(Dataset!A729)</f>
        <v>ORD200727</v>
      </c>
      <c r="B729" s="4">
        <f>Dataset!B729</f>
        <v>45564</v>
      </c>
      <c r="C729" s="6" t="str">
        <f>TRIM(Dataset!C729)</f>
        <v>C29063</v>
      </c>
      <c r="D729" s="6" t="str">
        <f>TRIM(Dataset!D729)</f>
        <v>Chair</v>
      </c>
      <c r="E729" s="13">
        <f>VALUE(TRIM(Dataset!E729))</f>
        <v>5</v>
      </c>
      <c r="F729" s="10">
        <f>VALUE(TRIM(Dataset!F729))</f>
        <v>95.75</v>
      </c>
      <c r="G729" s="6" t="str">
        <f>TRIM(Dataset!G729)</f>
        <v>379 Main St</v>
      </c>
      <c r="H729" s="6" t="str">
        <f>TRIM(Dataset!H729)</f>
        <v>Online</v>
      </c>
      <c r="I729" s="6" t="str">
        <f>TRIM(Dataset!I729)</f>
        <v>Shipped</v>
      </c>
      <c r="J729" s="6" t="str">
        <f>TRIM(Dataset!J729)</f>
        <v>TRK92745947</v>
      </c>
      <c r="K729" s="8" t="str">
        <f>TRIM(Dataset!K729)</f>
        <v>8</v>
      </c>
      <c r="L729" s="6" t="str">
        <f>Dataset!L729</f>
        <v>SAVE10</v>
      </c>
      <c r="M729" s="6" t="str">
        <f>TRIM(Dataset!M729)</f>
        <v>Instagram</v>
      </c>
      <c r="N729" s="10">
        <f>VALUE(TRIM(Dataset!N729))</f>
        <v>478.75</v>
      </c>
    </row>
    <row r="730" spans="1:14" x14ac:dyDescent="0.35">
      <c r="A730" s="6" t="str">
        <f>TRIM(Dataset!A730)</f>
        <v>ORD200728</v>
      </c>
      <c r="B730" s="4">
        <f>Dataset!B730</f>
        <v>45502</v>
      </c>
      <c r="C730" s="6" t="str">
        <f>TRIM(Dataset!C730)</f>
        <v>C10154</v>
      </c>
      <c r="D730" s="6" t="str">
        <f>TRIM(Dataset!D730)</f>
        <v>Desk</v>
      </c>
      <c r="E730" s="13">
        <f>VALUE(TRIM(Dataset!E730))</f>
        <v>4</v>
      </c>
      <c r="F730" s="10">
        <f>VALUE(TRIM(Dataset!F730))</f>
        <v>325.76</v>
      </c>
      <c r="G730" s="6" t="str">
        <f>TRIM(Dataset!G730)</f>
        <v>827 Main St</v>
      </c>
      <c r="H730" s="6" t="str">
        <f>TRIM(Dataset!H730)</f>
        <v>Gift Card</v>
      </c>
      <c r="I730" s="6" t="str">
        <f>TRIM(Dataset!I730)</f>
        <v>Shipped</v>
      </c>
      <c r="J730" s="6" t="str">
        <f>TRIM(Dataset!J730)</f>
        <v>TRK79793300</v>
      </c>
      <c r="K730" s="8" t="str">
        <f>TRIM(Dataset!K730)</f>
        <v>8</v>
      </c>
      <c r="L730" s="6" t="str">
        <f>Dataset!L730</f>
        <v>WINTER15</v>
      </c>
      <c r="M730" s="6" t="str">
        <f>TRIM(Dataset!M730)</f>
        <v>Email</v>
      </c>
      <c r="N730" s="10">
        <f>VALUE(TRIM(Dataset!N730))</f>
        <v>1303.04</v>
      </c>
    </row>
    <row r="731" spans="1:14" x14ac:dyDescent="0.35">
      <c r="A731" s="6" t="str">
        <f>TRIM(Dataset!A731)</f>
        <v>ORD200729</v>
      </c>
      <c r="B731" s="4">
        <f>Dataset!B731</f>
        <v>45177</v>
      </c>
      <c r="C731" s="6" t="str">
        <f>TRIM(Dataset!C731)</f>
        <v>C36997</v>
      </c>
      <c r="D731" s="6" t="str">
        <f>TRIM(Dataset!D731)</f>
        <v>Phone</v>
      </c>
      <c r="E731" s="13">
        <f>VALUE(TRIM(Dataset!E731))</f>
        <v>4</v>
      </c>
      <c r="F731" s="10">
        <f>VALUE(TRIM(Dataset!F731))</f>
        <v>186.41</v>
      </c>
      <c r="G731" s="6" t="str">
        <f>TRIM(Dataset!G731)</f>
        <v>819 Main St</v>
      </c>
      <c r="H731" s="6" t="str">
        <f>TRIM(Dataset!H731)</f>
        <v>Gift Card</v>
      </c>
      <c r="I731" s="6" t="str">
        <f>TRIM(Dataset!I731)</f>
        <v>Pending</v>
      </c>
      <c r="J731" s="6" t="str">
        <f>TRIM(Dataset!J731)</f>
        <v>TRK92794872</v>
      </c>
      <c r="K731" s="8" t="str">
        <f>TRIM(Dataset!K731)</f>
        <v>6</v>
      </c>
      <c r="L731" s="6" t="str">
        <f>Dataset!L731</f>
        <v>SAVE10</v>
      </c>
      <c r="M731" s="6" t="str">
        <f>TRIM(Dataset!M731)</f>
        <v>Google</v>
      </c>
      <c r="N731" s="10">
        <f>VALUE(TRIM(Dataset!N731))</f>
        <v>745.64</v>
      </c>
    </row>
    <row r="732" spans="1:14" x14ac:dyDescent="0.35">
      <c r="A732" s="6" t="str">
        <f>TRIM(Dataset!A732)</f>
        <v>ORD200730</v>
      </c>
      <c r="B732" s="4">
        <f>Dataset!B732</f>
        <v>45710</v>
      </c>
      <c r="C732" s="6" t="str">
        <f>TRIM(Dataset!C732)</f>
        <v>C77357</v>
      </c>
      <c r="D732" s="6" t="str">
        <f>TRIM(Dataset!D732)</f>
        <v>Phone</v>
      </c>
      <c r="E732" s="13">
        <f>VALUE(TRIM(Dataset!E732))</f>
        <v>1</v>
      </c>
      <c r="F732" s="10">
        <f>VALUE(TRIM(Dataset!F732))</f>
        <v>474.6</v>
      </c>
      <c r="G732" s="6" t="str">
        <f>TRIM(Dataset!G732)</f>
        <v>407 Main St</v>
      </c>
      <c r="H732" s="6" t="str">
        <f>TRIM(Dataset!H732)</f>
        <v>Debit Card</v>
      </c>
      <c r="I732" s="6" t="str">
        <f>TRIM(Dataset!I732)</f>
        <v>Delivered</v>
      </c>
      <c r="J732" s="6" t="str">
        <f>TRIM(Dataset!J732)</f>
        <v>TRK91943923</v>
      </c>
      <c r="K732" s="8" t="str">
        <f>TRIM(Dataset!K732)</f>
        <v>4</v>
      </c>
      <c r="L732" s="6" t="str">
        <f>Dataset!L732</f>
        <v>SAVE10</v>
      </c>
      <c r="M732" s="6" t="str">
        <f>TRIM(Dataset!M732)</f>
        <v>Email</v>
      </c>
      <c r="N732" s="10">
        <f>VALUE(TRIM(Dataset!N732))</f>
        <v>474.6</v>
      </c>
    </row>
    <row r="733" spans="1:14" x14ac:dyDescent="0.35">
      <c r="A733" s="6" t="str">
        <f>TRIM(Dataset!A733)</f>
        <v>ORD200731</v>
      </c>
      <c r="B733" s="4">
        <f>Dataset!B733</f>
        <v>45450</v>
      </c>
      <c r="C733" s="6" t="str">
        <f>TRIM(Dataset!C733)</f>
        <v>C71310</v>
      </c>
      <c r="D733" s="6" t="str">
        <f>TRIM(Dataset!D733)</f>
        <v>Printer</v>
      </c>
      <c r="E733" s="13">
        <f>VALUE(TRIM(Dataset!E733))</f>
        <v>5</v>
      </c>
      <c r="F733" s="10">
        <f>VALUE(TRIM(Dataset!F733))</f>
        <v>584.46</v>
      </c>
      <c r="G733" s="6" t="str">
        <f>TRIM(Dataset!G733)</f>
        <v>308 Main St</v>
      </c>
      <c r="H733" s="6" t="str">
        <f>TRIM(Dataset!H733)</f>
        <v>Credit Card</v>
      </c>
      <c r="I733" s="6" t="str">
        <f>TRIM(Dataset!I733)</f>
        <v>Returned</v>
      </c>
      <c r="J733" s="6" t="str">
        <f>TRIM(Dataset!J733)</f>
        <v>TRK48292586</v>
      </c>
      <c r="K733" s="8" t="str">
        <f>TRIM(Dataset!K733)</f>
        <v>8</v>
      </c>
      <c r="L733" s="6" t="s">
        <v>4284</v>
      </c>
      <c r="M733" s="6" t="str">
        <f>TRIM(Dataset!M733)</f>
        <v>Email</v>
      </c>
      <c r="N733" s="10">
        <f>VALUE(TRIM(Dataset!N733))</f>
        <v>2922.3</v>
      </c>
    </row>
    <row r="734" spans="1:14" x14ac:dyDescent="0.35">
      <c r="A734" s="6" t="str">
        <f>TRIM(Dataset!A734)</f>
        <v>ORD200732</v>
      </c>
      <c r="B734" s="4">
        <f>Dataset!B734</f>
        <v>45723</v>
      </c>
      <c r="C734" s="6" t="str">
        <f>TRIM(Dataset!C734)</f>
        <v>C80987</v>
      </c>
      <c r="D734" s="6" t="str">
        <f>TRIM(Dataset!D734)</f>
        <v>Laptop</v>
      </c>
      <c r="E734" s="13">
        <f>VALUE(TRIM(Dataset!E734))</f>
        <v>1</v>
      </c>
      <c r="F734" s="10">
        <f>VALUE(TRIM(Dataset!F734))</f>
        <v>132.05000000000001</v>
      </c>
      <c r="G734" s="6" t="str">
        <f>TRIM(Dataset!G734)</f>
        <v>787 Main St</v>
      </c>
      <c r="H734" s="6" t="str">
        <f>TRIM(Dataset!H734)</f>
        <v>Online</v>
      </c>
      <c r="I734" s="6" t="str">
        <f>TRIM(Dataset!I734)</f>
        <v>Delivered</v>
      </c>
      <c r="J734" s="6" t="str">
        <f>TRIM(Dataset!J734)</f>
        <v>TRK42187776</v>
      </c>
      <c r="K734" s="8" t="str">
        <f>TRIM(Dataset!K734)</f>
        <v>2</v>
      </c>
      <c r="L734" s="6" t="s">
        <v>4284</v>
      </c>
      <c r="M734" s="6" t="str">
        <f>TRIM(Dataset!M734)</f>
        <v>Google</v>
      </c>
      <c r="N734" s="10">
        <f>VALUE(TRIM(Dataset!N734))</f>
        <v>132.05000000000001</v>
      </c>
    </row>
    <row r="735" spans="1:14" x14ac:dyDescent="0.35">
      <c r="A735" s="6" t="str">
        <f>TRIM(Dataset!A735)</f>
        <v>ORD200733</v>
      </c>
      <c r="B735" s="4">
        <f>Dataset!B735</f>
        <v>45264</v>
      </c>
      <c r="C735" s="6" t="str">
        <f>TRIM(Dataset!C735)</f>
        <v>C90757</v>
      </c>
      <c r="D735" s="6" t="str">
        <f>TRIM(Dataset!D735)</f>
        <v>Tablet</v>
      </c>
      <c r="E735" s="13">
        <f>VALUE(TRIM(Dataset!E735))</f>
        <v>4</v>
      </c>
      <c r="F735" s="10">
        <f>VALUE(TRIM(Dataset!F735))</f>
        <v>494.84</v>
      </c>
      <c r="G735" s="6" t="str">
        <f>TRIM(Dataset!G735)</f>
        <v>694 Main St</v>
      </c>
      <c r="H735" s="6" t="str">
        <f>TRIM(Dataset!H735)</f>
        <v>Cash</v>
      </c>
      <c r="I735" s="6" t="str">
        <f>TRIM(Dataset!I735)</f>
        <v>Returned</v>
      </c>
      <c r="J735" s="6" t="str">
        <f>TRIM(Dataset!J735)</f>
        <v>TRK87991608</v>
      </c>
      <c r="K735" s="8" t="str">
        <f>TRIM(Dataset!K735)</f>
        <v>8</v>
      </c>
      <c r="L735" s="6" t="str">
        <f>Dataset!L735</f>
        <v>SAVE10</v>
      </c>
      <c r="M735" s="6" t="str">
        <f>TRIM(Dataset!M735)</f>
        <v>Email</v>
      </c>
      <c r="N735" s="10">
        <f>VALUE(TRIM(Dataset!N735))</f>
        <v>1979.36</v>
      </c>
    </row>
    <row r="736" spans="1:14" x14ac:dyDescent="0.35">
      <c r="A736" s="6" t="str">
        <f>TRIM(Dataset!A736)</f>
        <v>ORD200734</v>
      </c>
      <c r="B736" s="4">
        <f>Dataset!B736</f>
        <v>45314</v>
      </c>
      <c r="C736" s="6" t="str">
        <f>TRIM(Dataset!C736)</f>
        <v>C51898</v>
      </c>
      <c r="D736" s="6" t="str">
        <f>TRIM(Dataset!D736)</f>
        <v>Printer</v>
      </c>
      <c r="E736" s="13">
        <f>VALUE(TRIM(Dataset!E736))</f>
        <v>4</v>
      </c>
      <c r="F736" s="10">
        <f>VALUE(TRIM(Dataset!F736))</f>
        <v>224.61</v>
      </c>
      <c r="G736" s="6" t="str">
        <f>TRIM(Dataset!G736)</f>
        <v>630 Main St</v>
      </c>
      <c r="H736" s="6" t="str">
        <f>TRIM(Dataset!H736)</f>
        <v>Credit Card</v>
      </c>
      <c r="I736" s="6" t="str">
        <f>TRIM(Dataset!I736)</f>
        <v>Returned</v>
      </c>
      <c r="J736" s="6" t="str">
        <f>TRIM(Dataset!J736)</f>
        <v>TRK19767885</v>
      </c>
      <c r="K736" s="8" t="str">
        <f>TRIM(Dataset!K736)</f>
        <v>6</v>
      </c>
      <c r="L736" s="6" t="str">
        <f>Dataset!L736</f>
        <v>WINTER15</v>
      </c>
      <c r="M736" s="6" t="str">
        <f>TRIM(Dataset!M736)</f>
        <v>Facebook</v>
      </c>
      <c r="N736" s="10">
        <f>VALUE(TRIM(Dataset!N736))</f>
        <v>898.44</v>
      </c>
    </row>
    <row r="737" spans="1:14" x14ac:dyDescent="0.35">
      <c r="A737" s="6" t="str">
        <f>TRIM(Dataset!A737)</f>
        <v>ORD200735</v>
      </c>
      <c r="B737" s="4">
        <f>Dataset!B737</f>
        <v>45471</v>
      </c>
      <c r="C737" s="6" t="str">
        <f>TRIM(Dataset!C737)</f>
        <v>C94508</v>
      </c>
      <c r="D737" s="6" t="str">
        <f>TRIM(Dataset!D737)</f>
        <v>Monitor</v>
      </c>
      <c r="E737" s="13">
        <f>VALUE(TRIM(Dataset!E737))</f>
        <v>4</v>
      </c>
      <c r="F737" s="10">
        <f>VALUE(TRIM(Dataset!F737))</f>
        <v>44.07</v>
      </c>
      <c r="G737" s="6" t="str">
        <f>TRIM(Dataset!G737)</f>
        <v>359 Main St</v>
      </c>
      <c r="H737" s="6" t="str">
        <f>TRIM(Dataset!H737)</f>
        <v>Debit Card</v>
      </c>
      <c r="I737" s="6" t="str">
        <f>TRIM(Dataset!I737)</f>
        <v>Pending</v>
      </c>
      <c r="J737" s="6" t="str">
        <f>TRIM(Dataset!J737)</f>
        <v>TRK13443264</v>
      </c>
      <c r="K737" s="8" t="str">
        <f>TRIM(Dataset!K737)</f>
        <v>6</v>
      </c>
      <c r="L737" s="6" t="s">
        <v>4284</v>
      </c>
      <c r="M737" s="6" t="str">
        <f>TRIM(Dataset!M737)</f>
        <v>Email</v>
      </c>
      <c r="N737" s="10">
        <f>VALUE(TRIM(Dataset!N737))</f>
        <v>176.28</v>
      </c>
    </row>
    <row r="738" spans="1:14" x14ac:dyDescent="0.35">
      <c r="A738" s="6" t="str">
        <f>TRIM(Dataset!A738)</f>
        <v>ORD200736</v>
      </c>
      <c r="B738" s="4">
        <f>Dataset!B738</f>
        <v>45331</v>
      </c>
      <c r="C738" s="6" t="str">
        <f>TRIM(Dataset!C738)</f>
        <v>C59441</v>
      </c>
      <c r="D738" s="6" t="str">
        <f>TRIM(Dataset!D738)</f>
        <v>Monitor</v>
      </c>
      <c r="E738" s="13">
        <f>VALUE(TRIM(Dataset!E738))</f>
        <v>5</v>
      </c>
      <c r="F738" s="10">
        <f>VALUE(TRIM(Dataset!F738))</f>
        <v>418.53</v>
      </c>
      <c r="G738" s="6" t="str">
        <f>TRIM(Dataset!G738)</f>
        <v>696 Main St</v>
      </c>
      <c r="H738" s="6" t="str">
        <f>TRIM(Dataset!H738)</f>
        <v>Credit Card</v>
      </c>
      <c r="I738" s="6" t="str">
        <f>TRIM(Dataset!I738)</f>
        <v>Pending</v>
      </c>
      <c r="J738" s="6" t="str">
        <f>TRIM(Dataset!J738)</f>
        <v>TRK66186874</v>
      </c>
      <c r="K738" s="8" t="str">
        <f>TRIM(Dataset!K738)</f>
        <v>6</v>
      </c>
      <c r="L738" s="6" t="str">
        <f>Dataset!L738</f>
        <v>FREESHIP</v>
      </c>
      <c r="M738" s="6" t="str">
        <f>TRIM(Dataset!M738)</f>
        <v>Google</v>
      </c>
      <c r="N738" s="10">
        <f>VALUE(TRIM(Dataset!N738))</f>
        <v>2092.65</v>
      </c>
    </row>
    <row r="739" spans="1:14" x14ac:dyDescent="0.35">
      <c r="A739" s="6" t="str">
        <f>TRIM(Dataset!A739)</f>
        <v>ORD200737</v>
      </c>
      <c r="B739" s="4">
        <f>Dataset!B739</f>
        <v>45294</v>
      </c>
      <c r="C739" s="6" t="str">
        <f>TRIM(Dataset!C739)</f>
        <v>C91029</v>
      </c>
      <c r="D739" s="6" t="str">
        <f>TRIM(Dataset!D739)</f>
        <v>Phone</v>
      </c>
      <c r="E739" s="13">
        <f>VALUE(TRIM(Dataset!E739))</f>
        <v>4</v>
      </c>
      <c r="F739" s="10">
        <f>VALUE(TRIM(Dataset!F739))</f>
        <v>532.87</v>
      </c>
      <c r="G739" s="6" t="str">
        <f>TRIM(Dataset!G739)</f>
        <v>972 Main St</v>
      </c>
      <c r="H739" s="6" t="str">
        <f>TRIM(Dataset!H739)</f>
        <v>Cash</v>
      </c>
      <c r="I739" s="6" t="str">
        <f>TRIM(Dataset!I739)</f>
        <v>Pending</v>
      </c>
      <c r="J739" s="6" t="str">
        <f>TRIM(Dataset!J739)</f>
        <v>TRK25501930</v>
      </c>
      <c r="K739" s="8" t="str">
        <f>TRIM(Dataset!K739)</f>
        <v>9</v>
      </c>
      <c r="L739" s="6" t="str">
        <f>Dataset!L739</f>
        <v>FREESHIP</v>
      </c>
      <c r="M739" s="6" t="str">
        <f>TRIM(Dataset!M739)</f>
        <v>Instagram</v>
      </c>
      <c r="N739" s="10">
        <f>VALUE(TRIM(Dataset!N739))</f>
        <v>2131.48</v>
      </c>
    </row>
    <row r="740" spans="1:14" x14ac:dyDescent="0.35">
      <c r="A740" s="6" t="str">
        <f>TRIM(Dataset!A740)</f>
        <v>ORD200738</v>
      </c>
      <c r="B740" s="4">
        <f>Dataset!B740</f>
        <v>45812</v>
      </c>
      <c r="C740" s="6" t="str">
        <f>TRIM(Dataset!C740)</f>
        <v>C96261</v>
      </c>
      <c r="D740" s="6" t="str">
        <f>TRIM(Dataset!D740)</f>
        <v>Phone</v>
      </c>
      <c r="E740" s="13">
        <f>VALUE(TRIM(Dataset!E740))</f>
        <v>2</v>
      </c>
      <c r="F740" s="10">
        <f>VALUE(TRIM(Dataset!F740))</f>
        <v>485.37</v>
      </c>
      <c r="G740" s="6" t="str">
        <f>TRIM(Dataset!G740)</f>
        <v>264 Main St</v>
      </c>
      <c r="H740" s="6" t="str">
        <f>TRIM(Dataset!H740)</f>
        <v>Credit Card</v>
      </c>
      <c r="I740" s="6" t="str">
        <f>TRIM(Dataset!I740)</f>
        <v>Shipped</v>
      </c>
      <c r="J740" s="6" t="str">
        <f>TRIM(Dataset!J740)</f>
        <v>TRK44998396</v>
      </c>
      <c r="K740" s="8" t="str">
        <f>TRIM(Dataset!K740)</f>
        <v>5</v>
      </c>
      <c r="L740" s="6" t="str">
        <f>Dataset!L740</f>
        <v>SAVE10</v>
      </c>
      <c r="M740" s="6" t="str">
        <f>TRIM(Dataset!M740)</f>
        <v>Email</v>
      </c>
      <c r="N740" s="10">
        <f>VALUE(TRIM(Dataset!N740))</f>
        <v>970.74</v>
      </c>
    </row>
    <row r="741" spans="1:14" x14ac:dyDescent="0.35">
      <c r="A741" s="6" t="str">
        <f>TRIM(Dataset!A741)</f>
        <v>ORD200739</v>
      </c>
      <c r="B741" s="4">
        <f>Dataset!B741</f>
        <v>45456</v>
      </c>
      <c r="C741" s="6" t="str">
        <f>TRIM(Dataset!C741)</f>
        <v>C35123</v>
      </c>
      <c r="D741" s="6" t="str">
        <f>TRIM(Dataset!D741)</f>
        <v>Phone</v>
      </c>
      <c r="E741" s="13">
        <f>VALUE(TRIM(Dataset!E741))</f>
        <v>4</v>
      </c>
      <c r="F741" s="10">
        <f>VALUE(TRIM(Dataset!F741))</f>
        <v>386.73</v>
      </c>
      <c r="G741" s="6" t="str">
        <f>TRIM(Dataset!G741)</f>
        <v>513 Main St</v>
      </c>
      <c r="H741" s="6" t="str">
        <f>TRIM(Dataset!H741)</f>
        <v>Cash</v>
      </c>
      <c r="I741" s="6" t="str">
        <f>TRIM(Dataset!I741)</f>
        <v>Delivered</v>
      </c>
      <c r="J741" s="6" t="str">
        <f>TRIM(Dataset!J741)</f>
        <v>TRK58979275</v>
      </c>
      <c r="K741" s="8" t="str">
        <f>TRIM(Dataset!K741)</f>
        <v>4</v>
      </c>
      <c r="L741" s="6" t="str">
        <f>Dataset!L741</f>
        <v>SAVE10</v>
      </c>
      <c r="M741" s="6" t="str">
        <f>TRIM(Dataset!M741)</f>
        <v>Facebook</v>
      </c>
      <c r="N741" s="10">
        <f>VALUE(TRIM(Dataset!N741))</f>
        <v>1546.92</v>
      </c>
    </row>
    <row r="742" spans="1:14" x14ac:dyDescent="0.35">
      <c r="A742" s="6" t="str">
        <f>TRIM(Dataset!A742)</f>
        <v>ORD200740</v>
      </c>
      <c r="B742" s="4">
        <f>Dataset!B742</f>
        <v>45493</v>
      </c>
      <c r="C742" s="6" t="str">
        <f>TRIM(Dataset!C742)</f>
        <v>C10892</v>
      </c>
      <c r="D742" s="6" t="str">
        <f>TRIM(Dataset!D742)</f>
        <v>Desk</v>
      </c>
      <c r="E742" s="13">
        <f>VALUE(TRIM(Dataset!E742))</f>
        <v>2</v>
      </c>
      <c r="F742" s="10">
        <f>VALUE(TRIM(Dataset!F742))</f>
        <v>377.47</v>
      </c>
      <c r="G742" s="6" t="str">
        <f>TRIM(Dataset!G742)</f>
        <v>433 Main St</v>
      </c>
      <c r="H742" s="6" t="str">
        <f>TRIM(Dataset!H742)</f>
        <v>Cash</v>
      </c>
      <c r="I742" s="6" t="str">
        <f>TRIM(Dataset!I742)</f>
        <v>Pending</v>
      </c>
      <c r="J742" s="6" t="str">
        <f>TRIM(Dataset!J742)</f>
        <v>TRK76154554</v>
      </c>
      <c r="K742" s="8" t="str">
        <f>TRIM(Dataset!K742)</f>
        <v>7</v>
      </c>
      <c r="L742" s="6" t="s">
        <v>4284</v>
      </c>
      <c r="M742" s="6" t="str">
        <f>TRIM(Dataset!M742)</f>
        <v>Google</v>
      </c>
      <c r="N742" s="10">
        <f>VALUE(TRIM(Dataset!N742))</f>
        <v>754.94</v>
      </c>
    </row>
    <row r="743" spans="1:14" x14ac:dyDescent="0.35">
      <c r="A743" s="6" t="str">
        <f>TRIM(Dataset!A743)</f>
        <v>ORD200741</v>
      </c>
      <c r="B743" s="4">
        <f>Dataset!B743</f>
        <v>45680</v>
      </c>
      <c r="C743" s="6" t="str">
        <f>TRIM(Dataset!C743)</f>
        <v>C99683</v>
      </c>
      <c r="D743" s="6" t="str">
        <f>TRIM(Dataset!D743)</f>
        <v>Monitor</v>
      </c>
      <c r="E743" s="13">
        <f>VALUE(TRIM(Dataset!E743))</f>
        <v>5</v>
      </c>
      <c r="F743" s="10">
        <f>VALUE(TRIM(Dataset!F743))</f>
        <v>332.64</v>
      </c>
      <c r="G743" s="6" t="str">
        <f>TRIM(Dataset!G743)</f>
        <v>945 Main St</v>
      </c>
      <c r="H743" s="6" t="str">
        <f>TRIM(Dataset!H743)</f>
        <v>Gift Card</v>
      </c>
      <c r="I743" s="6" t="str">
        <f>TRIM(Dataset!I743)</f>
        <v>Delivered</v>
      </c>
      <c r="J743" s="6" t="str">
        <f>TRIM(Dataset!J743)</f>
        <v>TRK87305883</v>
      </c>
      <c r="K743" s="8" t="str">
        <f>TRIM(Dataset!K743)</f>
        <v>10</v>
      </c>
      <c r="L743" s="6" t="s">
        <v>4284</v>
      </c>
      <c r="M743" s="6" t="str">
        <f>TRIM(Dataset!M743)</f>
        <v>Referral</v>
      </c>
      <c r="N743" s="10">
        <f>VALUE(TRIM(Dataset!N743))</f>
        <v>1663.2</v>
      </c>
    </row>
    <row r="744" spans="1:14" x14ac:dyDescent="0.35">
      <c r="A744" s="6" t="str">
        <f>TRIM(Dataset!A744)</f>
        <v>ORD200742</v>
      </c>
      <c r="B744" s="4">
        <f>Dataset!B744</f>
        <v>45626</v>
      </c>
      <c r="C744" s="6" t="str">
        <f>TRIM(Dataset!C744)</f>
        <v>C41974</v>
      </c>
      <c r="D744" s="6" t="str">
        <f>TRIM(Dataset!D744)</f>
        <v>Laptop</v>
      </c>
      <c r="E744" s="13">
        <f>VALUE(TRIM(Dataset!E744))</f>
        <v>3</v>
      </c>
      <c r="F744" s="10">
        <f>VALUE(TRIM(Dataset!F744))</f>
        <v>699.93</v>
      </c>
      <c r="G744" s="6" t="str">
        <f>TRIM(Dataset!G744)</f>
        <v>726 Main St</v>
      </c>
      <c r="H744" s="6" t="str">
        <f>TRIM(Dataset!H744)</f>
        <v>Cash</v>
      </c>
      <c r="I744" s="6" t="str">
        <f>TRIM(Dataset!I744)</f>
        <v>Returned</v>
      </c>
      <c r="J744" s="6" t="str">
        <f>TRIM(Dataset!J744)</f>
        <v>TRK48051468</v>
      </c>
      <c r="K744" s="8" t="str">
        <f>TRIM(Dataset!K744)</f>
        <v>7</v>
      </c>
      <c r="L744" s="6" t="str">
        <f>Dataset!L744</f>
        <v>SAVE10</v>
      </c>
      <c r="M744" s="6" t="str">
        <f>TRIM(Dataset!M744)</f>
        <v>Google</v>
      </c>
      <c r="N744" s="10">
        <f>VALUE(TRIM(Dataset!N744))</f>
        <v>2099.79</v>
      </c>
    </row>
    <row r="745" spans="1:14" x14ac:dyDescent="0.35">
      <c r="A745" s="6" t="str">
        <f>TRIM(Dataset!A745)</f>
        <v>ORD200743</v>
      </c>
      <c r="B745" s="4">
        <f>Dataset!B745</f>
        <v>45565</v>
      </c>
      <c r="C745" s="6" t="str">
        <f>TRIM(Dataset!C745)</f>
        <v>C23978</v>
      </c>
      <c r="D745" s="6" t="str">
        <f>TRIM(Dataset!D745)</f>
        <v>Monitor</v>
      </c>
      <c r="E745" s="13">
        <f>VALUE(TRIM(Dataset!E745))</f>
        <v>1</v>
      </c>
      <c r="F745" s="10">
        <f>VALUE(TRIM(Dataset!F745))</f>
        <v>576.35</v>
      </c>
      <c r="G745" s="6" t="str">
        <f>TRIM(Dataset!G745)</f>
        <v>549 Main St</v>
      </c>
      <c r="H745" s="6" t="str">
        <f>TRIM(Dataset!H745)</f>
        <v>Gift Card</v>
      </c>
      <c r="I745" s="6" t="str">
        <f>TRIM(Dataset!I745)</f>
        <v>Returned</v>
      </c>
      <c r="J745" s="6" t="str">
        <f>TRIM(Dataset!J745)</f>
        <v>TRK87090813</v>
      </c>
      <c r="K745" s="8" t="str">
        <f>TRIM(Dataset!K745)</f>
        <v>1</v>
      </c>
      <c r="L745" s="6" t="str">
        <f>Dataset!L745</f>
        <v>WINTER15</v>
      </c>
      <c r="M745" s="6" t="str">
        <f>TRIM(Dataset!M745)</f>
        <v>Instagram</v>
      </c>
      <c r="N745" s="10">
        <f>VALUE(TRIM(Dataset!N745))</f>
        <v>576.35</v>
      </c>
    </row>
    <row r="746" spans="1:14" x14ac:dyDescent="0.35">
      <c r="A746" s="6" t="str">
        <f>TRIM(Dataset!A746)</f>
        <v>ORD200744</v>
      </c>
      <c r="B746" s="4">
        <f>Dataset!B746</f>
        <v>45455</v>
      </c>
      <c r="C746" s="6" t="str">
        <f>TRIM(Dataset!C746)</f>
        <v>C10642</v>
      </c>
      <c r="D746" s="6" t="str">
        <f>TRIM(Dataset!D746)</f>
        <v>Tablet</v>
      </c>
      <c r="E746" s="13">
        <f>VALUE(TRIM(Dataset!E746))</f>
        <v>2</v>
      </c>
      <c r="F746" s="10">
        <f>VALUE(TRIM(Dataset!F746))</f>
        <v>461.37</v>
      </c>
      <c r="G746" s="6" t="str">
        <f>TRIM(Dataset!G746)</f>
        <v>200 Main St</v>
      </c>
      <c r="H746" s="6" t="str">
        <f>TRIM(Dataset!H746)</f>
        <v>Cash</v>
      </c>
      <c r="I746" s="6" t="str">
        <f>TRIM(Dataset!I746)</f>
        <v>Delivered</v>
      </c>
      <c r="J746" s="6" t="str">
        <f>TRIM(Dataset!J746)</f>
        <v>TRK98725693</v>
      </c>
      <c r="K746" s="8" t="str">
        <f>TRIM(Dataset!K746)</f>
        <v>5</v>
      </c>
      <c r="L746" s="6" t="str">
        <f>Dataset!L746</f>
        <v>SAVE10</v>
      </c>
      <c r="M746" s="6" t="str">
        <f>TRIM(Dataset!M746)</f>
        <v>Google</v>
      </c>
      <c r="N746" s="10">
        <f>VALUE(TRIM(Dataset!N746))</f>
        <v>922.74</v>
      </c>
    </row>
    <row r="747" spans="1:14" x14ac:dyDescent="0.35">
      <c r="A747" s="6" t="str">
        <f>TRIM(Dataset!A747)</f>
        <v>ORD200745</v>
      </c>
      <c r="B747" s="4">
        <f>Dataset!B747</f>
        <v>44987</v>
      </c>
      <c r="C747" s="6" t="str">
        <f>TRIM(Dataset!C747)</f>
        <v>C73813</v>
      </c>
      <c r="D747" s="6" t="str">
        <f>TRIM(Dataset!D747)</f>
        <v>Printer</v>
      </c>
      <c r="E747" s="13">
        <f>VALUE(TRIM(Dataset!E747))</f>
        <v>4</v>
      </c>
      <c r="F747" s="10">
        <f>VALUE(TRIM(Dataset!F747))</f>
        <v>111.3</v>
      </c>
      <c r="G747" s="6" t="str">
        <f>TRIM(Dataset!G747)</f>
        <v>364 Main St</v>
      </c>
      <c r="H747" s="6" t="str">
        <f>TRIM(Dataset!H747)</f>
        <v>Debit Card</v>
      </c>
      <c r="I747" s="6" t="str">
        <f>TRIM(Dataset!I747)</f>
        <v>Pending</v>
      </c>
      <c r="J747" s="6" t="str">
        <f>TRIM(Dataset!J747)</f>
        <v>TRK89906749</v>
      </c>
      <c r="K747" s="8" t="str">
        <f>TRIM(Dataset!K747)</f>
        <v>7</v>
      </c>
      <c r="L747" s="6" t="str">
        <f>Dataset!L747</f>
        <v>FREESHIP</v>
      </c>
      <c r="M747" s="6" t="str">
        <f>TRIM(Dataset!M747)</f>
        <v>Email</v>
      </c>
      <c r="N747" s="10">
        <f>VALUE(TRIM(Dataset!N747))</f>
        <v>445.2</v>
      </c>
    </row>
    <row r="748" spans="1:14" x14ac:dyDescent="0.35">
      <c r="A748" s="6" t="str">
        <f>TRIM(Dataset!A748)</f>
        <v>ORD200746</v>
      </c>
      <c r="B748" s="4">
        <f>Dataset!B748</f>
        <v>45712</v>
      </c>
      <c r="C748" s="6" t="str">
        <f>TRIM(Dataset!C748)</f>
        <v>C32183</v>
      </c>
      <c r="D748" s="6" t="str">
        <f>TRIM(Dataset!D748)</f>
        <v>Desk</v>
      </c>
      <c r="E748" s="13">
        <f>VALUE(TRIM(Dataset!E748))</f>
        <v>3</v>
      </c>
      <c r="F748" s="10">
        <f>VALUE(TRIM(Dataset!F748))</f>
        <v>661.89</v>
      </c>
      <c r="G748" s="6" t="str">
        <f>TRIM(Dataset!G748)</f>
        <v>551 Main St</v>
      </c>
      <c r="H748" s="6" t="str">
        <f>TRIM(Dataset!H748)</f>
        <v>Online</v>
      </c>
      <c r="I748" s="6" t="str">
        <f>TRIM(Dataset!I748)</f>
        <v>Cancelled</v>
      </c>
      <c r="J748" s="6" t="str">
        <f>TRIM(Dataset!J748)</f>
        <v>TRK76287027</v>
      </c>
      <c r="K748" s="8" t="str">
        <f>TRIM(Dataset!K748)</f>
        <v>6</v>
      </c>
      <c r="L748" s="6" t="str">
        <f>Dataset!L748</f>
        <v>WINTER15</v>
      </c>
      <c r="M748" s="6" t="str">
        <f>TRIM(Dataset!M748)</f>
        <v>Referral</v>
      </c>
      <c r="N748" s="10">
        <f>VALUE(TRIM(Dataset!N748))</f>
        <v>1985.67</v>
      </c>
    </row>
    <row r="749" spans="1:14" x14ac:dyDescent="0.35">
      <c r="A749" s="6" t="str">
        <f>TRIM(Dataset!A749)</f>
        <v>ORD200747</v>
      </c>
      <c r="B749" s="4">
        <f>Dataset!B749</f>
        <v>45728</v>
      </c>
      <c r="C749" s="6" t="str">
        <f>TRIM(Dataset!C749)</f>
        <v>C54277</v>
      </c>
      <c r="D749" s="6" t="str">
        <f>TRIM(Dataset!D749)</f>
        <v>Tablet</v>
      </c>
      <c r="E749" s="13">
        <f>VALUE(TRIM(Dataset!E749))</f>
        <v>2</v>
      </c>
      <c r="F749" s="10">
        <f>VALUE(TRIM(Dataset!F749))</f>
        <v>259.58</v>
      </c>
      <c r="G749" s="6" t="str">
        <f>TRIM(Dataset!G749)</f>
        <v>940 Main St</v>
      </c>
      <c r="H749" s="6" t="str">
        <f>TRIM(Dataset!H749)</f>
        <v>Debit Card</v>
      </c>
      <c r="I749" s="6" t="str">
        <f>TRIM(Dataset!I749)</f>
        <v>Delivered</v>
      </c>
      <c r="J749" s="6" t="str">
        <f>TRIM(Dataset!J749)</f>
        <v>TRK26500181</v>
      </c>
      <c r="K749" s="8" t="str">
        <f>TRIM(Dataset!K749)</f>
        <v>7</v>
      </c>
      <c r="L749" s="6" t="str">
        <f>Dataset!L749</f>
        <v>FREESHIP</v>
      </c>
      <c r="M749" s="6" t="str">
        <f>TRIM(Dataset!M749)</f>
        <v>Instagram</v>
      </c>
      <c r="N749" s="10">
        <f>VALUE(TRIM(Dataset!N749))</f>
        <v>519.16</v>
      </c>
    </row>
    <row r="750" spans="1:14" x14ac:dyDescent="0.35">
      <c r="A750" s="6" t="str">
        <f>TRIM(Dataset!A750)</f>
        <v>ORD200748</v>
      </c>
      <c r="B750" s="4">
        <f>Dataset!B750</f>
        <v>45488</v>
      </c>
      <c r="C750" s="6" t="str">
        <f>TRIM(Dataset!C750)</f>
        <v>C56553</v>
      </c>
      <c r="D750" s="6" t="str">
        <f>TRIM(Dataset!D750)</f>
        <v>Tablet</v>
      </c>
      <c r="E750" s="13">
        <f>VALUE(TRIM(Dataset!E750))</f>
        <v>3</v>
      </c>
      <c r="F750" s="10">
        <f>VALUE(TRIM(Dataset!F750))</f>
        <v>70.81</v>
      </c>
      <c r="G750" s="6" t="str">
        <f>TRIM(Dataset!G750)</f>
        <v>249 Main St</v>
      </c>
      <c r="H750" s="6" t="str">
        <f>TRIM(Dataset!H750)</f>
        <v>Credit Card</v>
      </c>
      <c r="I750" s="6" t="str">
        <f>TRIM(Dataset!I750)</f>
        <v>Shipped</v>
      </c>
      <c r="J750" s="6" t="str">
        <f>TRIM(Dataset!J750)</f>
        <v>TRK37667360</v>
      </c>
      <c r="K750" s="8" t="str">
        <f>TRIM(Dataset!K750)</f>
        <v>8</v>
      </c>
      <c r="L750" s="6" t="str">
        <f>Dataset!L750</f>
        <v>FREESHIP</v>
      </c>
      <c r="M750" s="6" t="str">
        <f>TRIM(Dataset!M750)</f>
        <v>Referral</v>
      </c>
      <c r="N750" s="10">
        <f>VALUE(TRIM(Dataset!N750))</f>
        <v>212.43</v>
      </c>
    </row>
    <row r="751" spans="1:14" x14ac:dyDescent="0.35">
      <c r="A751" s="6" t="str">
        <f>TRIM(Dataset!A751)</f>
        <v>ORD200749</v>
      </c>
      <c r="B751" s="4">
        <f>Dataset!B751</f>
        <v>45760</v>
      </c>
      <c r="C751" s="6" t="str">
        <f>TRIM(Dataset!C751)</f>
        <v>C17551</v>
      </c>
      <c r="D751" s="6" t="str">
        <f>TRIM(Dataset!D751)</f>
        <v>Laptop</v>
      </c>
      <c r="E751" s="13">
        <f>VALUE(TRIM(Dataset!E751))</f>
        <v>1</v>
      </c>
      <c r="F751" s="10">
        <f>VALUE(TRIM(Dataset!F751))</f>
        <v>518.39</v>
      </c>
      <c r="G751" s="6" t="str">
        <f>TRIM(Dataset!G751)</f>
        <v>997 Main St</v>
      </c>
      <c r="H751" s="6" t="str">
        <f>TRIM(Dataset!H751)</f>
        <v>Debit Card</v>
      </c>
      <c r="I751" s="6" t="str">
        <f>TRIM(Dataset!I751)</f>
        <v>Pending</v>
      </c>
      <c r="J751" s="6" t="str">
        <f>TRIM(Dataset!J751)</f>
        <v>TRK88797170</v>
      </c>
      <c r="K751" s="8" t="str">
        <f>TRIM(Dataset!K751)</f>
        <v>4</v>
      </c>
      <c r="L751" s="6" t="str">
        <f>Dataset!L751</f>
        <v>FREESHIP</v>
      </c>
      <c r="M751" s="6" t="str">
        <f>TRIM(Dataset!M751)</f>
        <v>Instagram</v>
      </c>
      <c r="N751" s="10">
        <f>VALUE(TRIM(Dataset!N751))</f>
        <v>518.39</v>
      </c>
    </row>
    <row r="752" spans="1:14" x14ac:dyDescent="0.35">
      <c r="A752" s="6" t="str">
        <f>TRIM(Dataset!A752)</f>
        <v>ORD200750</v>
      </c>
      <c r="B752" s="4">
        <f>Dataset!B752</f>
        <v>44940</v>
      </c>
      <c r="C752" s="6" t="str">
        <f>TRIM(Dataset!C752)</f>
        <v>C14737</v>
      </c>
      <c r="D752" s="6" t="str">
        <f>TRIM(Dataset!D752)</f>
        <v>Tablet</v>
      </c>
      <c r="E752" s="13">
        <f>VALUE(TRIM(Dataset!E752))</f>
        <v>4</v>
      </c>
      <c r="F752" s="10">
        <f>VALUE(TRIM(Dataset!F752))</f>
        <v>145.41</v>
      </c>
      <c r="G752" s="6" t="str">
        <f>TRIM(Dataset!G752)</f>
        <v>637 Main St</v>
      </c>
      <c r="H752" s="6" t="str">
        <f>TRIM(Dataset!H752)</f>
        <v>Credit Card</v>
      </c>
      <c r="I752" s="6" t="str">
        <f>TRIM(Dataset!I752)</f>
        <v>Returned</v>
      </c>
      <c r="J752" s="6" t="str">
        <f>TRIM(Dataset!J752)</f>
        <v>TRK10295115</v>
      </c>
      <c r="K752" s="8" t="str">
        <f>TRIM(Dataset!K752)</f>
        <v>7</v>
      </c>
      <c r="L752" s="6" t="str">
        <f>Dataset!L752</f>
        <v>FREESHIP</v>
      </c>
      <c r="M752" s="6" t="str">
        <f>TRIM(Dataset!M752)</f>
        <v>Email</v>
      </c>
      <c r="N752" s="10">
        <f>VALUE(TRIM(Dataset!N752))</f>
        <v>581.64</v>
      </c>
    </row>
    <row r="753" spans="1:14" x14ac:dyDescent="0.35">
      <c r="A753" s="6" t="str">
        <f>TRIM(Dataset!A753)</f>
        <v>ORD200751</v>
      </c>
      <c r="B753" s="4">
        <f>Dataset!B753</f>
        <v>44950</v>
      </c>
      <c r="C753" s="6" t="str">
        <f>TRIM(Dataset!C753)</f>
        <v>C35168</v>
      </c>
      <c r="D753" s="6" t="str">
        <f>TRIM(Dataset!D753)</f>
        <v>Tablet</v>
      </c>
      <c r="E753" s="13">
        <f>VALUE(TRIM(Dataset!E753))</f>
        <v>2</v>
      </c>
      <c r="F753" s="10">
        <f>VALUE(TRIM(Dataset!F753))</f>
        <v>599.86</v>
      </c>
      <c r="G753" s="6" t="str">
        <f>TRIM(Dataset!G753)</f>
        <v>455 Main St</v>
      </c>
      <c r="H753" s="6" t="str">
        <f>TRIM(Dataset!H753)</f>
        <v>Gift Card</v>
      </c>
      <c r="I753" s="6" t="str">
        <f>TRIM(Dataset!I753)</f>
        <v>Pending</v>
      </c>
      <c r="J753" s="6" t="str">
        <f>TRIM(Dataset!J753)</f>
        <v>TRK76960854</v>
      </c>
      <c r="K753" s="8" t="str">
        <f>TRIM(Dataset!K753)</f>
        <v>7</v>
      </c>
      <c r="L753" s="6" t="str">
        <f>Dataset!L753</f>
        <v>FREESHIP</v>
      </c>
      <c r="M753" s="6" t="str">
        <f>TRIM(Dataset!M753)</f>
        <v>Facebook</v>
      </c>
      <c r="N753" s="10">
        <f>VALUE(TRIM(Dataset!N753))</f>
        <v>1199.72</v>
      </c>
    </row>
    <row r="754" spans="1:14" x14ac:dyDescent="0.35">
      <c r="A754" s="6" t="str">
        <f>TRIM(Dataset!A754)</f>
        <v>ORD200752</v>
      </c>
      <c r="B754" s="4">
        <f>Dataset!B754</f>
        <v>45568</v>
      </c>
      <c r="C754" s="6" t="str">
        <f>TRIM(Dataset!C754)</f>
        <v>C82217</v>
      </c>
      <c r="D754" s="6" t="str">
        <f>TRIM(Dataset!D754)</f>
        <v>Phone</v>
      </c>
      <c r="E754" s="13">
        <f>VALUE(TRIM(Dataset!E754))</f>
        <v>4</v>
      </c>
      <c r="F754" s="10">
        <f>VALUE(TRIM(Dataset!F754))</f>
        <v>429.37</v>
      </c>
      <c r="G754" s="6" t="str">
        <f>TRIM(Dataset!G754)</f>
        <v>299 Main St</v>
      </c>
      <c r="H754" s="6" t="str">
        <f>TRIM(Dataset!H754)</f>
        <v>Credit Card</v>
      </c>
      <c r="I754" s="6" t="str">
        <f>TRIM(Dataset!I754)</f>
        <v>Delivered</v>
      </c>
      <c r="J754" s="6" t="str">
        <f>TRIM(Dataset!J754)</f>
        <v>TRK33305694</v>
      </c>
      <c r="K754" s="8" t="str">
        <f>TRIM(Dataset!K754)</f>
        <v>8</v>
      </c>
      <c r="L754" s="6" t="str">
        <f>Dataset!L754</f>
        <v>FREESHIP</v>
      </c>
      <c r="M754" s="6" t="str">
        <f>TRIM(Dataset!M754)</f>
        <v>Google</v>
      </c>
      <c r="N754" s="10">
        <f>VALUE(TRIM(Dataset!N754))</f>
        <v>1717.48</v>
      </c>
    </row>
    <row r="755" spans="1:14" x14ac:dyDescent="0.35">
      <c r="A755" s="6" t="str">
        <f>TRIM(Dataset!A755)</f>
        <v>ORD200753</v>
      </c>
      <c r="B755" s="4">
        <f>Dataset!B755</f>
        <v>45406</v>
      </c>
      <c r="C755" s="6" t="str">
        <f>TRIM(Dataset!C755)</f>
        <v>C42270</v>
      </c>
      <c r="D755" s="6" t="str">
        <f>TRIM(Dataset!D755)</f>
        <v>Phone</v>
      </c>
      <c r="E755" s="13">
        <f>VALUE(TRIM(Dataset!E755))</f>
        <v>2</v>
      </c>
      <c r="F755" s="10">
        <f>VALUE(TRIM(Dataset!F755))</f>
        <v>241.49</v>
      </c>
      <c r="G755" s="6" t="str">
        <f>TRIM(Dataset!G755)</f>
        <v>864 Main St</v>
      </c>
      <c r="H755" s="6" t="str">
        <f>TRIM(Dataset!H755)</f>
        <v>Debit Card</v>
      </c>
      <c r="I755" s="6" t="str">
        <f>TRIM(Dataset!I755)</f>
        <v>Returned</v>
      </c>
      <c r="J755" s="6" t="str">
        <f>TRIM(Dataset!J755)</f>
        <v>TRK72697796</v>
      </c>
      <c r="K755" s="8" t="str">
        <f>TRIM(Dataset!K755)</f>
        <v>7</v>
      </c>
      <c r="L755" s="6" t="str">
        <f>Dataset!L755</f>
        <v>FREESHIP</v>
      </c>
      <c r="M755" s="6" t="str">
        <f>TRIM(Dataset!M755)</f>
        <v>Instagram</v>
      </c>
      <c r="N755" s="10">
        <f>VALUE(TRIM(Dataset!N755))</f>
        <v>482.98</v>
      </c>
    </row>
    <row r="756" spans="1:14" x14ac:dyDescent="0.35">
      <c r="A756" s="6" t="str">
        <f>TRIM(Dataset!A756)</f>
        <v>ORD200754</v>
      </c>
      <c r="B756" s="4">
        <f>Dataset!B756</f>
        <v>45808</v>
      </c>
      <c r="C756" s="6" t="str">
        <f>TRIM(Dataset!C756)</f>
        <v>C48846</v>
      </c>
      <c r="D756" s="6" t="str">
        <f>TRIM(Dataset!D756)</f>
        <v>Printer</v>
      </c>
      <c r="E756" s="13">
        <f>VALUE(TRIM(Dataset!E756))</f>
        <v>2</v>
      </c>
      <c r="F756" s="10">
        <f>VALUE(TRIM(Dataset!F756))</f>
        <v>452.05</v>
      </c>
      <c r="G756" s="6" t="str">
        <f>TRIM(Dataset!G756)</f>
        <v>983 Main St</v>
      </c>
      <c r="H756" s="6" t="str">
        <f>TRIM(Dataset!H756)</f>
        <v>Credit Card</v>
      </c>
      <c r="I756" s="6" t="str">
        <f>TRIM(Dataset!I756)</f>
        <v>Returned</v>
      </c>
      <c r="J756" s="6" t="str">
        <f>TRIM(Dataset!J756)</f>
        <v>TRK52804097</v>
      </c>
      <c r="K756" s="8" t="str">
        <f>TRIM(Dataset!K756)</f>
        <v>3</v>
      </c>
      <c r="L756" s="6" t="str">
        <f>Dataset!L756</f>
        <v>WINTER15</v>
      </c>
      <c r="M756" s="6" t="str">
        <f>TRIM(Dataset!M756)</f>
        <v>Email</v>
      </c>
      <c r="N756" s="10">
        <f>VALUE(TRIM(Dataset!N756))</f>
        <v>904.1</v>
      </c>
    </row>
    <row r="757" spans="1:14" x14ac:dyDescent="0.35">
      <c r="A757" s="6" t="str">
        <f>TRIM(Dataset!A757)</f>
        <v>ORD200755</v>
      </c>
      <c r="B757" s="4">
        <f>Dataset!B757</f>
        <v>45090</v>
      </c>
      <c r="C757" s="6" t="str">
        <f>TRIM(Dataset!C757)</f>
        <v>C54160</v>
      </c>
      <c r="D757" s="6" t="str">
        <f>TRIM(Dataset!D757)</f>
        <v>Desk</v>
      </c>
      <c r="E757" s="13">
        <f>VALUE(TRIM(Dataset!E757))</f>
        <v>3</v>
      </c>
      <c r="F757" s="10">
        <f>VALUE(TRIM(Dataset!F757))</f>
        <v>336.71</v>
      </c>
      <c r="G757" s="6" t="str">
        <f>TRIM(Dataset!G757)</f>
        <v>658 Main St</v>
      </c>
      <c r="H757" s="6" t="str">
        <f>TRIM(Dataset!H757)</f>
        <v>Credit Card</v>
      </c>
      <c r="I757" s="6" t="str">
        <f>TRIM(Dataset!I757)</f>
        <v>Pending</v>
      </c>
      <c r="J757" s="6" t="str">
        <f>TRIM(Dataset!J757)</f>
        <v>TRK60515972</v>
      </c>
      <c r="K757" s="8" t="str">
        <f>TRIM(Dataset!K757)</f>
        <v>4</v>
      </c>
      <c r="L757" s="6" t="s">
        <v>4284</v>
      </c>
      <c r="M757" s="6" t="str">
        <f>TRIM(Dataset!M757)</f>
        <v>Email</v>
      </c>
      <c r="N757" s="10">
        <f>VALUE(TRIM(Dataset!N757))</f>
        <v>1010.13</v>
      </c>
    </row>
    <row r="758" spans="1:14" x14ac:dyDescent="0.35">
      <c r="A758" s="6" t="str">
        <f>TRIM(Dataset!A758)</f>
        <v>ORD200756</v>
      </c>
      <c r="B758" s="4">
        <f>Dataset!B758</f>
        <v>45470</v>
      </c>
      <c r="C758" s="6" t="str">
        <f>TRIM(Dataset!C758)</f>
        <v>C14080</v>
      </c>
      <c r="D758" s="6" t="str">
        <f>TRIM(Dataset!D758)</f>
        <v>Phone</v>
      </c>
      <c r="E758" s="13">
        <f>VALUE(TRIM(Dataset!E758))</f>
        <v>1</v>
      </c>
      <c r="F758" s="10">
        <f>VALUE(TRIM(Dataset!F758))</f>
        <v>283.69</v>
      </c>
      <c r="G758" s="6" t="str">
        <f>TRIM(Dataset!G758)</f>
        <v>202 Main St</v>
      </c>
      <c r="H758" s="6" t="str">
        <f>TRIM(Dataset!H758)</f>
        <v>Gift Card</v>
      </c>
      <c r="I758" s="6" t="str">
        <f>TRIM(Dataset!I758)</f>
        <v>Shipped</v>
      </c>
      <c r="J758" s="6" t="str">
        <f>TRIM(Dataset!J758)</f>
        <v>TRK93163682</v>
      </c>
      <c r="K758" s="8" t="str">
        <f>TRIM(Dataset!K758)</f>
        <v>6</v>
      </c>
      <c r="L758" s="6" t="s">
        <v>4284</v>
      </c>
      <c r="M758" s="6" t="str">
        <f>TRIM(Dataset!M758)</f>
        <v>Google</v>
      </c>
      <c r="N758" s="10">
        <f>VALUE(TRIM(Dataset!N758))</f>
        <v>283.69</v>
      </c>
    </row>
    <row r="759" spans="1:14" x14ac:dyDescent="0.35">
      <c r="A759" s="6" t="str">
        <f>TRIM(Dataset!A759)</f>
        <v>ORD200757</v>
      </c>
      <c r="B759" s="4">
        <f>Dataset!B759</f>
        <v>45344</v>
      </c>
      <c r="C759" s="6" t="str">
        <f>TRIM(Dataset!C759)</f>
        <v>C81074</v>
      </c>
      <c r="D759" s="6" t="str">
        <f>TRIM(Dataset!D759)</f>
        <v>Desk</v>
      </c>
      <c r="E759" s="13">
        <f>VALUE(TRIM(Dataset!E759))</f>
        <v>1</v>
      </c>
      <c r="F759" s="10">
        <f>VALUE(TRIM(Dataset!F759))</f>
        <v>157.72</v>
      </c>
      <c r="G759" s="6" t="str">
        <f>TRIM(Dataset!G759)</f>
        <v>597 Main St</v>
      </c>
      <c r="H759" s="6" t="str">
        <f>TRIM(Dataset!H759)</f>
        <v>Debit Card</v>
      </c>
      <c r="I759" s="6" t="str">
        <f>TRIM(Dataset!I759)</f>
        <v>Delivered</v>
      </c>
      <c r="J759" s="6" t="str">
        <f>TRIM(Dataset!J759)</f>
        <v>TRK91105190</v>
      </c>
      <c r="K759" s="8" t="str">
        <f>TRIM(Dataset!K759)</f>
        <v>2</v>
      </c>
      <c r="L759" s="6" t="str">
        <f>Dataset!L759</f>
        <v>FREESHIP</v>
      </c>
      <c r="M759" s="6" t="str">
        <f>TRIM(Dataset!M759)</f>
        <v>Google</v>
      </c>
      <c r="N759" s="10">
        <f>VALUE(TRIM(Dataset!N759))</f>
        <v>157.72</v>
      </c>
    </row>
    <row r="760" spans="1:14" x14ac:dyDescent="0.35">
      <c r="A760" s="6" t="str">
        <f>TRIM(Dataset!A760)</f>
        <v>ORD200758</v>
      </c>
      <c r="B760" s="4">
        <f>Dataset!B760</f>
        <v>45011</v>
      </c>
      <c r="C760" s="6" t="str">
        <f>TRIM(Dataset!C760)</f>
        <v>C69021</v>
      </c>
      <c r="D760" s="6" t="str">
        <f>TRIM(Dataset!D760)</f>
        <v>Tablet</v>
      </c>
      <c r="E760" s="13">
        <f>VALUE(TRIM(Dataset!E760))</f>
        <v>3</v>
      </c>
      <c r="F760" s="10">
        <f>VALUE(TRIM(Dataset!F760))</f>
        <v>624.84</v>
      </c>
      <c r="G760" s="6" t="str">
        <f>TRIM(Dataset!G760)</f>
        <v>917 Main St</v>
      </c>
      <c r="H760" s="6" t="str">
        <f>TRIM(Dataset!H760)</f>
        <v>Credit Card</v>
      </c>
      <c r="I760" s="6" t="str">
        <f>TRIM(Dataset!I760)</f>
        <v>Cancelled</v>
      </c>
      <c r="J760" s="6" t="str">
        <f>TRIM(Dataset!J760)</f>
        <v>TRK57148510</v>
      </c>
      <c r="K760" s="8" t="str">
        <f>TRIM(Dataset!K760)</f>
        <v>8</v>
      </c>
      <c r="L760" s="6" t="str">
        <f>Dataset!L760</f>
        <v>WINTER15</v>
      </c>
      <c r="M760" s="6" t="str">
        <f>TRIM(Dataset!M760)</f>
        <v>Facebook</v>
      </c>
      <c r="N760" s="10">
        <f>VALUE(TRIM(Dataset!N760))</f>
        <v>1874.52</v>
      </c>
    </row>
    <row r="761" spans="1:14" x14ac:dyDescent="0.35">
      <c r="A761" s="6" t="str">
        <f>TRIM(Dataset!A761)</f>
        <v>ORD200759</v>
      </c>
      <c r="B761" s="4">
        <f>Dataset!B761</f>
        <v>45131</v>
      </c>
      <c r="C761" s="6" t="str">
        <f>TRIM(Dataset!C761)</f>
        <v>C96283</v>
      </c>
      <c r="D761" s="6" t="str">
        <f>TRIM(Dataset!D761)</f>
        <v>Desk</v>
      </c>
      <c r="E761" s="13">
        <f>VALUE(TRIM(Dataset!E761))</f>
        <v>3</v>
      </c>
      <c r="F761" s="10">
        <f>VALUE(TRIM(Dataset!F761))</f>
        <v>308.01</v>
      </c>
      <c r="G761" s="6" t="str">
        <f>TRIM(Dataset!G761)</f>
        <v>366 Main St</v>
      </c>
      <c r="H761" s="6" t="str">
        <f>TRIM(Dataset!H761)</f>
        <v>Cash</v>
      </c>
      <c r="I761" s="6" t="str">
        <f>TRIM(Dataset!I761)</f>
        <v>Pending</v>
      </c>
      <c r="J761" s="6" t="str">
        <f>TRIM(Dataset!J761)</f>
        <v>TRK91784124</v>
      </c>
      <c r="K761" s="8" t="str">
        <f>TRIM(Dataset!K761)</f>
        <v>3</v>
      </c>
      <c r="L761" s="6" t="str">
        <f>Dataset!L761</f>
        <v>FREESHIP</v>
      </c>
      <c r="M761" s="6" t="str">
        <f>TRIM(Dataset!M761)</f>
        <v>Facebook</v>
      </c>
      <c r="N761" s="10">
        <f>VALUE(TRIM(Dataset!N761))</f>
        <v>924.03</v>
      </c>
    </row>
    <row r="762" spans="1:14" x14ac:dyDescent="0.35">
      <c r="A762" s="6" t="str">
        <f>TRIM(Dataset!A762)</f>
        <v>ORD200760</v>
      </c>
      <c r="B762" s="4">
        <f>Dataset!B762</f>
        <v>45706</v>
      </c>
      <c r="C762" s="6" t="str">
        <f>TRIM(Dataset!C762)</f>
        <v>C96636</v>
      </c>
      <c r="D762" s="6" t="str">
        <f>TRIM(Dataset!D762)</f>
        <v>Desk</v>
      </c>
      <c r="E762" s="13">
        <f>VALUE(TRIM(Dataset!E762))</f>
        <v>1</v>
      </c>
      <c r="F762" s="10">
        <f>VALUE(TRIM(Dataset!F762))</f>
        <v>39.56</v>
      </c>
      <c r="G762" s="6" t="str">
        <f>TRIM(Dataset!G762)</f>
        <v>283 Main St</v>
      </c>
      <c r="H762" s="6" t="str">
        <f>TRIM(Dataset!H762)</f>
        <v>Debit Card</v>
      </c>
      <c r="I762" s="6" t="str">
        <f>TRIM(Dataset!I762)</f>
        <v>Cancelled</v>
      </c>
      <c r="J762" s="6" t="str">
        <f>TRIM(Dataset!J762)</f>
        <v>TRK73324346</v>
      </c>
      <c r="K762" s="8" t="str">
        <f>TRIM(Dataset!K762)</f>
        <v>5</v>
      </c>
      <c r="L762" s="6" t="s">
        <v>4284</v>
      </c>
      <c r="M762" s="6" t="str">
        <f>TRIM(Dataset!M762)</f>
        <v>Google</v>
      </c>
      <c r="N762" s="10">
        <f>VALUE(TRIM(Dataset!N762))</f>
        <v>39.56</v>
      </c>
    </row>
    <row r="763" spans="1:14" x14ac:dyDescent="0.35">
      <c r="A763" s="6" t="str">
        <f>TRIM(Dataset!A763)</f>
        <v>ORD200761</v>
      </c>
      <c r="B763" s="4">
        <f>Dataset!B763</f>
        <v>45079</v>
      </c>
      <c r="C763" s="6" t="str">
        <f>TRIM(Dataset!C763)</f>
        <v>C37235</v>
      </c>
      <c r="D763" s="6" t="str">
        <f>TRIM(Dataset!D763)</f>
        <v>Desk</v>
      </c>
      <c r="E763" s="13">
        <f>VALUE(TRIM(Dataset!E763))</f>
        <v>4</v>
      </c>
      <c r="F763" s="10">
        <f>VALUE(TRIM(Dataset!F763))</f>
        <v>37.76</v>
      </c>
      <c r="G763" s="6" t="str">
        <f>TRIM(Dataset!G763)</f>
        <v>217 Main St</v>
      </c>
      <c r="H763" s="6" t="str">
        <f>TRIM(Dataset!H763)</f>
        <v>Debit Card</v>
      </c>
      <c r="I763" s="6" t="str">
        <f>TRIM(Dataset!I763)</f>
        <v>Delivered</v>
      </c>
      <c r="J763" s="6" t="str">
        <f>TRIM(Dataset!J763)</f>
        <v>TRK67789367</v>
      </c>
      <c r="K763" s="8" t="str">
        <f>TRIM(Dataset!K763)</f>
        <v>7</v>
      </c>
      <c r="L763" s="6" t="s">
        <v>4284</v>
      </c>
      <c r="M763" s="6" t="str">
        <f>TRIM(Dataset!M763)</f>
        <v>Google</v>
      </c>
      <c r="N763" s="10">
        <f>VALUE(TRIM(Dataset!N763))</f>
        <v>151.04</v>
      </c>
    </row>
    <row r="764" spans="1:14" x14ac:dyDescent="0.35">
      <c r="A764" s="6" t="str">
        <f>TRIM(Dataset!A764)</f>
        <v>ORD200762</v>
      </c>
      <c r="B764" s="4">
        <f>Dataset!B764</f>
        <v>45552</v>
      </c>
      <c r="C764" s="6" t="str">
        <f>TRIM(Dataset!C764)</f>
        <v>C12444</v>
      </c>
      <c r="D764" s="6" t="str">
        <f>TRIM(Dataset!D764)</f>
        <v>Phone</v>
      </c>
      <c r="E764" s="13">
        <f>VALUE(TRIM(Dataset!E764))</f>
        <v>3</v>
      </c>
      <c r="F764" s="10">
        <f>VALUE(TRIM(Dataset!F764))</f>
        <v>76.959999999999994</v>
      </c>
      <c r="G764" s="6" t="str">
        <f>TRIM(Dataset!G764)</f>
        <v>611 Main St</v>
      </c>
      <c r="H764" s="6" t="str">
        <f>TRIM(Dataset!H764)</f>
        <v>Cash</v>
      </c>
      <c r="I764" s="6" t="str">
        <f>TRIM(Dataset!I764)</f>
        <v>Returned</v>
      </c>
      <c r="J764" s="6" t="str">
        <f>TRIM(Dataset!J764)</f>
        <v>TRK97621403</v>
      </c>
      <c r="K764" s="8" t="str">
        <f>TRIM(Dataset!K764)</f>
        <v>8</v>
      </c>
      <c r="L764" s="6" t="str">
        <f>Dataset!L764</f>
        <v>FREESHIP</v>
      </c>
      <c r="M764" s="6" t="str">
        <f>TRIM(Dataset!M764)</f>
        <v>Email</v>
      </c>
      <c r="N764" s="10">
        <f>VALUE(TRIM(Dataset!N764))</f>
        <v>230.88</v>
      </c>
    </row>
    <row r="765" spans="1:14" x14ac:dyDescent="0.35">
      <c r="A765" s="6" t="str">
        <f>TRIM(Dataset!A765)</f>
        <v>ORD200763</v>
      </c>
      <c r="B765" s="4">
        <f>Dataset!B765</f>
        <v>45022</v>
      </c>
      <c r="C765" s="6" t="str">
        <f>TRIM(Dataset!C765)</f>
        <v>C79142</v>
      </c>
      <c r="D765" s="6" t="str">
        <f>TRIM(Dataset!D765)</f>
        <v>Laptop</v>
      </c>
      <c r="E765" s="13">
        <f>VALUE(TRIM(Dataset!E765))</f>
        <v>1</v>
      </c>
      <c r="F765" s="10">
        <f>VALUE(TRIM(Dataset!F765))</f>
        <v>569.96</v>
      </c>
      <c r="G765" s="6" t="str">
        <f>TRIM(Dataset!G765)</f>
        <v>533 Main St</v>
      </c>
      <c r="H765" s="6" t="str">
        <f>TRIM(Dataset!H765)</f>
        <v>Online</v>
      </c>
      <c r="I765" s="6" t="str">
        <f>TRIM(Dataset!I765)</f>
        <v>Delivered</v>
      </c>
      <c r="J765" s="6" t="str">
        <f>TRIM(Dataset!J765)</f>
        <v>TRK30915955</v>
      </c>
      <c r="K765" s="8" t="str">
        <f>TRIM(Dataset!K765)</f>
        <v>4</v>
      </c>
      <c r="L765" s="6" t="str">
        <f>Dataset!L765</f>
        <v>FREESHIP</v>
      </c>
      <c r="M765" s="6" t="str">
        <f>TRIM(Dataset!M765)</f>
        <v>Email</v>
      </c>
      <c r="N765" s="10">
        <f>VALUE(TRIM(Dataset!N765))</f>
        <v>569.96</v>
      </c>
    </row>
    <row r="766" spans="1:14" x14ac:dyDescent="0.35">
      <c r="A766" s="6" t="str">
        <f>TRIM(Dataset!A766)</f>
        <v>ORD200764</v>
      </c>
      <c r="B766" s="4">
        <f>Dataset!B766</f>
        <v>45361</v>
      </c>
      <c r="C766" s="6" t="str">
        <f>TRIM(Dataset!C766)</f>
        <v>C35983</v>
      </c>
      <c r="D766" s="6" t="str">
        <f>TRIM(Dataset!D766)</f>
        <v>Laptop</v>
      </c>
      <c r="E766" s="13">
        <f>VALUE(TRIM(Dataset!E766))</f>
        <v>5</v>
      </c>
      <c r="F766" s="10">
        <f>VALUE(TRIM(Dataset!F766))</f>
        <v>627.42999999999995</v>
      </c>
      <c r="G766" s="6" t="str">
        <f>TRIM(Dataset!G766)</f>
        <v>806 Main St</v>
      </c>
      <c r="H766" s="6" t="str">
        <f>TRIM(Dataset!H766)</f>
        <v>Credit Card</v>
      </c>
      <c r="I766" s="6" t="str">
        <f>TRIM(Dataset!I766)</f>
        <v>Cancelled</v>
      </c>
      <c r="J766" s="6" t="str">
        <f>TRIM(Dataset!J766)</f>
        <v>TRK14016163</v>
      </c>
      <c r="K766" s="8" t="str">
        <f>TRIM(Dataset!K766)</f>
        <v>10</v>
      </c>
      <c r="L766" s="6" t="str">
        <f>Dataset!L766</f>
        <v>FREESHIP</v>
      </c>
      <c r="M766" s="6" t="str">
        <f>TRIM(Dataset!M766)</f>
        <v>Email</v>
      </c>
      <c r="N766" s="10">
        <f>VALUE(TRIM(Dataset!N766))</f>
        <v>3137.15</v>
      </c>
    </row>
    <row r="767" spans="1:14" x14ac:dyDescent="0.35">
      <c r="A767" s="6" t="str">
        <f>TRIM(Dataset!A767)</f>
        <v>ORD200765</v>
      </c>
      <c r="B767" s="4">
        <f>Dataset!B767</f>
        <v>45205</v>
      </c>
      <c r="C767" s="6" t="str">
        <f>TRIM(Dataset!C767)</f>
        <v>C36150</v>
      </c>
      <c r="D767" s="6" t="str">
        <f>TRIM(Dataset!D767)</f>
        <v>Laptop</v>
      </c>
      <c r="E767" s="13">
        <f>VALUE(TRIM(Dataset!E767))</f>
        <v>2</v>
      </c>
      <c r="F767" s="10">
        <f>VALUE(TRIM(Dataset!F767))</f>
        <v>534.91</v>
      </c>
      <c r="G767" s="6" t="str">
        <f>TRIM(Dataset!G767)</f>
        <v>281 Main St</v>
      </c>
      <c r="H767" s="6" t="str">
        <f>TRIM(Dataset!H767)</f>
        <v>Debit Card</v>
      </c>
      <c r="I767" s="6" t="str">
        <f>TRIM(Dataset!I767)</f>
        <v>Returned</v>
      </c>
      <c r="J767" s="6" t="str">
        <f>TRIM(Dataset!J767)</f>
        <v>TRK96249043</v>
      </c>
      <c r="K767" s="8" t="str">
        <f>TRIM(Dataset!K767)</f>
        <v>5</v>
      </c>
      <c r="L767" s="6" t="str">
        <f>Dataset!L767</f>
        <v>SAVE10</v>
      </c>
      <c r="M767" s="6" t="str">
        <f>TRIM(Dataset!M767)</f>
        <v>Google</v>
      </c>
      <c r="N767" s="10">
        <f>VALUE(TRIM(Dataset!N767))</f>
        <v>1069.82</v>
      </c>
    </row>
    <row r="768" spans="1:14" x14ac:dyDescent="0.35">
      <c r="A768" s="6" t="str">
        <f>TRIM(Dataset!A768)</f>
        <v>ORD200766</v>
      </c>
      <c r="B768" s="4">
        <f>Dataset!B768</f>
        <v>44948</v>
      </c>
      <c r="C768" s="6" t="str">
        <f>TRIM(Dataset!C768)</f>
        <v>C91454</v>
      </c>
      <c r="D768" s="6" t="str">
        <f>TRIM(Dataset!D768)</f>
        <v>Printer</v>
      </c>
      <c r="E768" s="13">
        <f>VALUE(TRIM(Dataset!E768))</f>
        <v>2</v>
      </c>
      <c r="F768" s="10">
        <f>VALUE(TRIM(Dataset!F768))</f>
        <v>278.88</v>
      </c>
      <c r="G768" s="6" t="str">
        <f>TRIM(Dataset!G768)</f>
        <v>494 Main St</v>
      </c>
      <c r="H768" s="6" t="str">
        <f>TRIM(Dataset!H768)</f>
        <v>Debit Card</v>
      </c>
      <c r="I768" s="6" t="str">
        <f>TRIM(Dataset!I768)</f>
        <v>Pending</v>
      </c>
      <c r="J768" s="6" t="str">
        <f>TRIM(Dataset!J768)</f>
        <v>TRK99985340</v>
      </c>
      <c r="K768" s="8" t="str">
        <f>TRIM(Dataset!K768)</f>
        <v>3</v>
      </c>
      <c r="L768" s="6" t="str">
        <f>Dataset!L768</f>
        <v>FREESHIP</v>
      </c>
      <c r="M768" s="6" t="str">
        <f>TRIM(Dataset!M768)</f>
        <v>Referral</v>
      </c>
      <c r="N768" s="10">
        <f>VALUE(TRIM(Dataset!N768))</f>
        <v>557.76</v>
      </c>
    </row>
    <row r="769" spans="1:14" x14ac:dyDescent="0.35">
      <c r="A769" s="6" t="str">
        <f>TRIM(Dataset!A769)</f>
        <v>ORD200767</v>
      </c>
      <c r="B769" s="4">
        <f>Dataset!B769</f>
        <v>45765</v>
      </c>
      <c r="C769" s="6" t="str">
        <f>TRIM(Dataset!C769)</f>
        <v>C19368</v>
      </c>
      <c r="D769" s="6" t="str">
        <f>TRIM(Dataset!D769)</f>
        <v>Tablet</v>
      </c>
      <c r="E769" s="13">
        <f>VALUE(TRIM(Dataset!E769))</f>
        <v>2</v>
      </c>
      <c r="F769" s="10">
        <f>VALUE(TRIM(Dataset!F769))</f>
        <v>323.22000000000003</v>
      </c>
      <c r="G769" s="6" t="str">
        <f>TRIM(Dataset!G769)</f>
        <v>517 Main St</v>
      </c>
      <c r="H769" s="6" t="str">
        <f>TRIM(Dataset!H769)</f>
        <v>Credit Card</v>
      </c>
      <c r="I769" s="6" t="str">
        <f>TRIM(Dataset!I769)</f>
        <v>Delivered</v>
      </c>
      <c r="J769" s="6" t="str">
        <f>TRIM(Dataset!J769)</f>
        <v>TRK80436037</v>
      </c>
      <c r="K769" s="8" t="str">
        <f>TRIM(Dataset!K769)</f>
        <v>7</v>
      </c>
      <c r="L769" s="6" t="s">
        <v>4284</v>
      </c>
      <c r="M769" s="6" t="str">
        <f>TRIM(Dataset!M769)</f>
        <v>Instagram</v>
      </c>
      <c r="N769" s="10">
        <f>VALUE(TRIM(Dataset!N769))</f>
        <v>646.44000000000005</v>
      </c>
    </row>
    <row r="770" spans="1:14" x14ac:dyDescent="0.35">
      <c r="A770" s="6" t="str">
        <f>TRIM(Dataset!A770)</f>
        <v>ORD200768</v>
      </c>
      <c r="B770" s="4">
        <f>Dataset!B770</f>
        <v>45173</v>
      </c>
      <c r="C770" s="6" t="str">
        <f>TRIM(Dataset!C770)</f>
        <v>C35987</v>
      </c>
      <c r="D770" s="6" t="str">
        <f>TRIM(Dataset!D770)</f>
        <v>Tablet</v>
      </c>
      <c r="E770" s="13">
        <f>VALUE(TRIM(Dataset!E770))</f>
        <v>5</v>
      </c>
      <c r="F770" s="10">
        <f>VALUE(TRIM(Dataset!F770))</f>
        <v>653.46</v>
      </c>
      <c r="G770" s="6" t="str">
        <f>TRIM(Dataset!G770)</f>
        <v>165 Main St</v>
      </c>
      <c r="H770" s="6" t="str">
        <f>TRIM(Dataset!H770)</f>
        <v>Cash</v>
      </c>
      <c r="I770" s="6" t="str">
        <f>TRIM(Dataset!I770)</f>
        <v>Cancelled</v>
      </c>
      <c r="J770" s="6" t="str">
        <f>TRIM(Dataset!J770)</f>
        <v>TRK28918815</v>
      </c>
      <c r="K770" s="8" t="str">
        <f>TRIM(Dataset!K770)</f>
        <v>9</v>
      </c>
      <c r="L770" s="6" t="str">
        <f>Dataset!L770</f>
        <v>WINTER15</v>
      </c>
      <c r="M770" s="6" t="str">
        <f>TRIM(Dataset!M770)</f>
        <v>Email</v>
      </c>
      <c r="N770" s="10">
        <f>VALUE(TRIM(Dataset!N770))</f>
        <v>3267.3</v>
      </c>
    </row>
    <row r="771" spans="1:14" x14ac:dyDescent="0.35">
      <c r="A771" s="6" t="str">
        <f>TRIM(Dataset!A771)</f>
        <v>ORD200769</v>
      </c>
      <c r="B771" s="4">
        <f>Dataset!B771</f>
        <v>45113</v>
      </c>
      <c r="C771" s="6" t="str">
        <f>TRIM(Dataset!C771)</f>
        <v>C13366</v>
      </c>
      <c r="D771" s="6" t="str">
        <f>TRIM(Dataset!D771)</f>
        <v>Printer</v>
      </c>
      <c r="E771" s="13">
        <f>VALUE(TRIM(Dataset!E771))</f>
        <v>4</v>
      </c>
      <c r="F771" s="10">
        <f>VALUE(TRIM(Dataset!F771))</f>
        <v>678.55</v>
      </c>
      <c r="G771" s="6" t="str">
        <f>TRIM(Dataset!G771)</f>
        <v>568 Main St</v>
      </c>
      <c r="H771" s="6" t="str">
        <f>TRIM(Dataset!H771)</f>
        <v>Cash</v>
      </c>
      <c r="I771" s="6" t="str">
        <f>TRIM(Dataset!I771)</f>
        <v>Delivered</v>
      </c>
      <c r="J771" s="6" t="str">
        <f>TRIM(Dataset!J771)</f>
        <v>TRK98691410</v>
      </c>
      <c r="K771" s="8" t="str">
        <f>TRIM(Dataset!K771)</f>
        <v>5</v>
      </c>
      <c r="L771" s="6" t="s">
        <v>4284</v>
      </c>
      <c r="M771" s="6" t="str">
        <f>TRIM(Dataset!M771)</f>
        <v>Email</v>
      </c>
      <c r="N771" s="10">
        <f>VALUE(TRIM(Dataset!N771))</f>
        <v>2714.2</v>
      </c>
    </row>
    <row r="772" spans="1:14" x14ac:dyDescent="0.35">
      <c r="A772" s="6" t="str">
        <f>TRIM(Dataset!A772)</f>
        <v>ORD200770</v>
      </c>
      <c r="B772" s="4">
        <f>Dataset!B772</f>
        <v>45333</v>
      </c>
      <c r="C772" s="6" t="str">
        <f>TRIM(Dataset!C772)</f>
        <v>C72166</v>
      </c>
      <c r="D772" s="6" t="str">
        <f>TRIM(Dataset!D772)</f>
        <v>Desk</v>
      </c>
      <c r="E772" s="13">
        <f>VALUE(TRIM(Dataset!E772))</f>
        <v>1</v>
      </c>
      <c r="F772" s="10">
        <f>VALUE(TRIM(Dataset!F772))</f>
        <v>314.38</v>
      </c>
      <c r="G772" s="6" t="str">
        <f>TRIM(Dataset!G772)</f>
        <v>227 Main St</v>
      </c>
      <c r="H772" s="6" t="str">
        <f>TRIM(Dataset!H772)</f>
        <v>Online</v>
      </c>
      <c r="I772" s="6" t="str">
        <f>TRIM(Dataset!I772)</f>
        <v>Returned</v>
      </c>
      <c r="J772" s="6" t="str">
        <f>TRIM(Dataset!J772)</f>
        <v>TRK67733444</v>
      </c>
      <c r="K772" s="8" t="str">
        <f>TRIM(Dataset!K772)</f>
        <v>6</v>
      </c>
      <c r="L772" s="6" t="s">
        <v>4284</v>
      </c>
      <c r="M772" s="6" t="str">
        <f>TRIM(Dataset!M772)</f>
        <v>Google</v>
      </c>
      <c r="N772" s="10">
        <f>VALUE(TRIM(Dataset!N772))</f>
        <v>314.38</v>
      </c>
    </row>
    <row r="773" spans="1:14" x14ac:dyDescent="0.35">
      <c r="A773" s="6" t="str">
        <f>TRIM(Dataset!A773)</f>
        <v>ORD200771</v>
      </c>
      <c r="B773" s="4">
        <f>Dataset!B773</f>
        <v>45455</v>
      </c>
      <c r="C773" s="6" t="str">
        <f>TRIM(Dataset!C773)</f>
        <v>C20357</v>
      </c>
      <c r="D773" s="6" t="str">
        <f>TRIM(Dataset!D773)</f>
        <v>Phone</v>
      </c>
      <c r="E773" s="13">
        <f>VALUE(TRIM(Dataset!E773))</f>
        <v>3</v>
      </c>
      <c r="F773" s="10">
        <f>VALUE(TRIM(Dataset!F773))</f>
        <v>692.44</v>
      </c>
      <c r="G773" s="6" t="str">
        <f>TRIM(Dataset!G773)</f>
        <v>272 Main St</v>
      </c>
      <c r="H773" s="6" t="str">
        <f>TRIM(Dataset!H773)</f>
        <v>Debit Card</v>
      </c>
      <c r="I773" s="6" t="str">
        <f>TRIM(Dataset!I773)</f>
        <v>Cancelled</v>
      </c>
      <c r="J773" s="6" t="str">
        <f>TRIM(Dataset!J773)</f>
        <v>TRK82236408</v>
      </c>
      <c r="K773" s="8" t="str">
        <f>TRIM(Dataset!K773)</f>
        <v>8</v>
      </c>
      <c r="L773" s="6" t="str">
        <f>Dataset!L773</f>
        <v>FREESHIP</v>
      </c>
      <c r="M773" s="6" t="str">
        <f>TRIM(Dataset!M773)</f>
        <v>Google</v>
      </c>
      <c r="N773" s="10">
        <f>VALUE(TRIM(Dataset!N773))</f>
        <v>2077.3200000000002</v>
      </c>
    </row>
    <row r="774" spans="1:14" x14ac:dyDescent="0.35">
      <c r="A774" s="6" t="str">
        <f>TRIM(Dataset!A774)</f>
        <v>ORD200772</v>
      </c>
      <c r="B774" s="4">
        <f>Dataset!B774</f>
        <v>45501</v>
      </c>
      <c r="C774" s="6" t="str">
        <f>TRIM(Dataset!C774)</f>
        <v>C33802</v>
      </c>
      <c r="D774" s="6" t="str">
        <f>TRIM(Dataset!D774)</f>
        <v>Monitor</v>
      </c>
      <c r="E774" s="13">
        <f>VALUE(TRIM(Dataset!E774))</f>
        <v>1</v>
      </c>
      <c r="F774" s="10">
        <f>VALUE(TRIM(Dataset!F774))</f>
        <v>604.87</v>
      </c>
      <c r="G774" s="6" t="str">
        <f>TRIM(Dataset!G774)</f>
        <v>461 Main St</v>
      </c>
      <c r="H774" s="6" t="str">
        <f>TRIM(Dataset!H774)</f>
        <v>Online</v>
      </c>
      <c r="I774" s="6" t="str">
        <f>TRIM(Dataset!I774)</f>
        <v>Delivered</v>
      </c>
      <c r="J774" s="6" t="str">
        <f>TRIM(Dataset!J774)</f>
        <v>TRK25799478</v>
      </c>
      <c r="K774" s="8" t="str">
        <f>TRIM(Dataset!K774)</f>
        <v>4</v>
      </c>
      <c r="L774" s="6" t="s">
        <v>4284</v>
      </c>
      <c r="M774" s="6" t="str">
        <f>TRIM(Dataset!M774)</f>
        <v>Instagram</v>
      </c>
      <c r="N774" s="10">
        <f>VALUE(TRIM(Dataset!N774))</f>
        <v>604.87</v>
      </c>
    </row>
    <row r="775" spans="1:14" x14ac:dyDescent="0.35">
      <c r="A775" s="6" t="str">
        <f>TRIM(Dataset!A775)</f>
        <v>ORD200773</v>
      </c>
      <c r="B775" s="4">
        <f>Dataset!B775</f>
        <v>45836</v>
      </c>
      <c r="C775" s="6" t="str">
        <f>TRIM(Dataset!C775)</f>
        <v>C99205</v>
      </c>
      <c r="D775" s="6" t="str">
        <f>TRIM(Dataset!D775)</f>
        <v>Phone</v>
      </c>
      <c r="E775" s="13">
        <f>VALUE(TRIM(Dataset!E775))</f>
        <v>2</v>
      </c>
      <c r="F775" s="10">
        <f>VALUE(TRIM(Dataset!F775))</f>
        <v>512.33000000000004</v>
      </c>
      <c r="G775" s="6" t="str">
        <f>TRIM(Dataset!G775)</f>
        <v>415 Main St</v>
      </c>
      <c r="H775" s="6" t="str">
        <f>TRIM(Dataset!H775)</f>
        <v>Cash</v>
      </c>
      <c r="I775" s="6" t="str">
        <f>TRIM(Dataset!I775)</f>
        <v>Cancelled</v>
      </c>
      <c r="J775" s="6" t="str">
        <f>TRIM(Dataset!J775)</f>
        <v>TRK48904015</v>
      </c>
      <c r="K775" s="8" t="str">
        <f>TRIM(Dataset!K775)</f>
        <v>7</v>
      </c>
      <c r="L775" s="6" t="s">
        <v>4284</v>
      </c>
      <c r="M775" s="6" t="str">
        <f>TRIM(Dataset!M775)</f>
        <v>Facebook</v>
      </c>
      <c r="N775" s="10">
        <f>VALUE(TRIM(Dataset!N775))</f>
        <v>1024.6600000000001</v>
      </c>
    </row>
    <row r="776" spans="1:14" x14ac:dyDescent="0.35">
      <c r="A776" s="6" t="str">
        <f>TRIM(Dataset!A776)</f>
        <v>ORD200774</v>
      </c>
      <c r="B776" s="4">
        <f>Dataset!B776</f>
        <v>45762</v>
      </c>
      <c r="C776" s="6" t="str">
        <f>TRIM(Dataset!C776)</f>
        <v>C29701</v>
      </c>
      <c r="D776" s="6" t="str">
        <f>TRIM(Dataset!D776)</f>
        <v>Chair</v>
      </c>
      <c r="E776" s="13">
        <f>VALUE(TRIM(Dataset!E776))</f>
        <v>3</v>
      </c>
      <c r="F776" s="10">
        <f>VALUE(TRIM(Dataset!F776))</f>
        <v>20.54</v>
      </c>
      <c r="G776" s="6" t="str">
        <f>TRIM(Dataset!G776)</f>
        <v>257 Main St</v>
      </c>
      <c r="H776" s="6" t="str">
        <f>TRIM(Dataset!H776)</f>
        <v>Credit Card</v>
      </c>
      <c r="I776" s="6" t="str">
        <f>TRIM(Dataset!I776)</f>
        <v>Cancelled</v>
      </c>
      <c r="J776" s="6" t="str">
        <f>TRIM(Dataset!J776)</f>
        <v>TRK42266846</v>
      </c>
      <c r="K776" s="8" t="str">
        <f>TRIM(Dataset!K776)</f>
        <v>3</v>
      </c>
      <c r="L776" s="6" t="str">
        <f>Dataset!L776</f>
        <v>FREESHIP</v>
      </c>
      <c r="M776" s="6" t="str">
        <f>TRIM(Dataset!M776)</f>
        <v>Instagram</v>
      </c>
      <c r="N776" s="10">
        <f>VALUE(TRIM(Dataset!N776))</f>
        <v>61.62</v>
      </c>
    </row>
    <row r="777" spans="1:14" x14ac:dyDescent="0.35">
      <c r="A777" s="6" t="str">
        <f>TRIM(Dataset!A777)</f>
        <v>ORD200775</v>
      </c>
      <c r="B777" s="4">
        <f>Dataset!B777</f>
        <v>44989</v>
      </c>
      <c r="C777" s="6" t="str">
        <f>TRIM(Dataset!C777)</f>
        <v>C73941</v>
      </c>
      <c r="D777" s="6" t="str">
        <f>TRIM(Dataset!D777)</f>
        <v>Phone</v>
      </c>
      <c r="E777" s="13">
        <f>VALUE(TRIM(Dataset!E777))</f>
        <v>2</v>
      </c>
      <c r="F777" s="10">
        <f>VALUE(TRIM(Dataset!F777))</f>
        <v>625.22</v>
      </c>
      <c r="G777" s="6" t="str">
        <f>TRIM(Dataset!G777)</f>
        <v>569 Main St</v>
      </c>
      <c r="H777" s="6" t="str">
        <f>TRIM(Dataset!H777)</f>
        <v>Online</v>
      </c>
      <c r="I777" s="6" t="str">
        <f>TRIM(Dataset!I777)</f>
        <v>Cancelled</v>
      </c>
      <c r="J777" s="6" t="str">
        <f>TRIM(Dataset!J777)</f>
        <v>TRK22051900</v>
      </c>
      <c r="K777" s="8" t="str">
        <f>TRIM(Dataset!K777)</f>
        <v>5</v>
      </c>
      <c r="L777" s="6" t="s">
        <v>4284</v>
      </c>
      <c r="M777" s="6" t="str">
        <f>TRIM(Dataset!M777)</f>
        <v>Google</v>
      </c>
      <c r="N777" s="10">
        <f>VALUE(TRIM(Dataset!N777))</f>
        <v>1250.44</v>
      </c>
    </row>
    <row r="778" spans="1:14" x14ac:dyDescent="0.35">
      <c r="A778" s="6" t="str">
        <f>TRIM(Dataset!A778)</f>
        <v>ORD200776</v>
      </c>
      <c r="B778" s="4">
        <f>Dataset!B778</f>
        <v>45159</v>
      </c>
      <c r="C778" s="6" t="str">
        <f>TRIM(Dataset!C778)</f>
        <v>C69168</v>
      </c>
      <c r="D778" s="6" t="str">
        <f>TRIM(Dataset!D778)</f>
        <v>Tablet</v>
      </c>
      <c r="E778" s="13">
        <f>VALUE(TRIM(Dataset!E778))</f>
        <v>1</v>
      </c>
      <c r="F778" s="10">
        <f>VALUE(TRIM(Dataset!F778))</f>
        <v>21.19</v>
      </c>
      <c r="G778" s="6" t="str">
        <f>TRIM(Dataset!G778)</f>
        <v>482 Main St</v>
      </c>
      <c r="H778" s="6" t="str">
        <f>TRIM(Dataset!H778)</f>
        <v>Cash</v>
      </c>
      <c r="I778" s="6" t="str">
        <f>TRIM(Dataset!I778)</f>
        <v>Returned</v>
      </c>
      <c r="J778" s="6" t="str">
        <f>TRIM(Dataset!J778)</f>
        <v>TRK10446197</v>
      </c>
      <c r="K778" s="8" t="str">
        <f>TRIM(Dataset!K778)</f>
        <v>5</v>
      </c>
      <c r="L778" s="6" t="str">
        <f>Dataset!L778</f>
        <v>WINTER15</v>
      </c>
      <c r="M778" s="6" t="str">
        <f>TRIM(Dataset!M778)</f>
        <v>Google</v>
      </c>
      <c r="N778" s="10">
        <f>VALUE(TRIM(Dataset!N778))</f>
        <v>21.19</v>
      </c>
    </row>
    <row r="779" spans="1:14" x14ac:dyDescent="0.35">
      <c r="A779" s="6" t="str">
        <f>TRIM(Dataset!A779)</f>
        <v>ORD200777</v>
      </c>
      <c r="B779" s="4">
        <f>Dataset!B779</f>
        <v>45737</v>
      </c>
      <c r="C779" s="6" t="str">
        <f>TRIM(Dataset!C779)</f>
        <v>C66116</v>
      </c>
      <c r="D779" s="6" t="str">
        <f>TRIM(Dataset!D779)</f>
        <v>Chair</v>
      </c>
      <c r="E779" s="13">
        <f>VALUE(TRIM(Dataset!E779))</f>
        <v>5</v>
      </c>
      <c r="F779" s="10">
        <f>VALUE(TRIM(Dataset!F779))</f>
        <v>64.489999999999995</v>
      </c>
      <c r="G779" s="6" t="str">
        <f>TRIM(Dataset!G779)</f>
        <v>633 Main St</v>
      </c>
      <c r="H779" s="6" t="str">
        <f>TRIM(Dataset!H779)</f>
        <v>Online</v>
      </c>
      <c r="I779" s="6" t="str">
        <f>TRIM(Dataset!I779)</f>
        <v>Cancelled</v>
      </c>
      <c r="J779" s="6" t="str">
        <f>TRIM(Dataset!J779)</f>
        <v>TRK41967983</v>
      </c>
      <c r="K779" s="8" t="str">
        <f>TRIM(Dataset!K779)</f>
        <v>7</v>
      </c>
      <c r="L779" s="6" t="s">
        <v>4284</v>
      </c>
      <c r="M779" s="6" t="str">
        <f>TRIM(Dataset!M779)</f>
        <v>Facebook</v>
      </c>
      <c r="N779" s="10">
        <f>VALUE(TRIM(Dataset!N779))</f>
        <v>322.45</v>
      </c>
    </row>
    <row r="780" spans="1:14" x14ac:dyDescent="0.35">
      <c r="A780" s="6" t="str">
        <f>TRIM(Dataset!A780)</f>
        <v>ORD200778</v>
      </c>
      <c r="B780" s="4">
        <f>Dataset!B780</f>
        <v>45044</v>
      </c>
      <c r="C780" s="6" t="str">
        <f>TRIM(Dataset!C780)</f>
        <v>C85059</v>
      </c>
      <c r="D780" s="6" t="str">
        <f>TRIM(Dataset!D780)</f>
        <v>Laptop</v>
      </c>
      <c r="E780" s="13">
        <f>VALUE(TRIM(Dataset!E780))</f>
        <v>4</v>
      </c>
      <c r="F780" s="10">
        <f>VALUE(TRIM(Dataset!F780))</f>
        <v>246.85</v>
      </c>
      <c r="G780" s="6" t="str">
        <f>TRIM(Dataset!G780)</f>
        <v>316 Main St</v>
      </c>
      <c r="H780" s="6" t="str">
        <f>TRIM(Dataset!H780)</f>
        <v>Credit Card</v>
      </c>
      <c r="I780" s="6" t="str">
        <f>TRIM(Dataset!I780)</f>
        <v>Shipped</v>
      </c>
      <c r="J780" s="6" t="str">
        <f>TRIM(Dataset!J780)</f>
        <v>TRK56503740</v>
      </c>
      <c r="K780" s="8" t="str">
        <f>TRIM(Dataset!K780)</f>
        <v>8</v>
      </c>
      <c r="L780" s="6" t="str">
        <f>Dataset!L780</f>
        <v>WINTER15</v>
      </c>
      <c r="M780" s="6" t="str">
        <f>TRIM(Dataset!M780)</f>
        <v>Google</v>
      </c>
      <c r="N780" s="10">
        <f>VALUE(TRIM(Dataset!N780))</f>
        <v>987.4</v>
      </c>
    </row>
    <row r="781" spans="1:14" x14ac:dyDescent="0.35">
      <c r="A781" s="6" t="str">
        <f>TRIM(Dataset!A781)</f>
        <v>ORD200779</v>
      </c>
      <c r="B781" s="4">
        <f>Dataset!B781</f>
        <v>45261</v>
      </c>
      <c r="C781" s="6" t="str">
        <f>TRIM(Dataset!C781)</f>
        <v>C18076</v>
      </c>
      <c r="D781" s="6" t="str">
        <f>TRIM(Dataset!D781)</f>
        <v>Phone</v>
      </c>
      <c r="E781" s="13">
        <f>VALUE(TRIM(Dataset!E781))</f>
        <v>3</v>
      </c>
      <c r="F781" s="10">
        <f>VALUE(TRIM(Dataset!F781))</f>
        <v>588.74</v>
      </c>
      <c r="G781" s="6" t="str">
        <f>TRIM(Dataset!G781)</f>
        <v>751 Main St</v>
      </c>
      <c r="H781" s="6" t="str">
        <f>TRIM(Dataset!H781)</f>
        <v>Debit Card</v>
      </c>
      <c r="I781" s="6" t="str">
        <f>TRIM(Dataset!I781)</f>
        <v>Pending</v>
      </c>
      <c r="J781" s="6" t="str">
        <f>TRIM(Dataset!J781)</f>
        <v>TRK26661705</v>
      </c>
      <c r="K781" s="8" t="str">
        <f>TRIM(Dataset!K781)</f>
        <v>8</v>
      </c>
      <c r="L781" s="6" t="str">
        <f>Dataset!L781</f>
        <v>FREESHIP</v>
      </c>
      <c r="M781" s="6" t="str">
        <f>TRIM(Dataset!M781)</f>
        <v>Email</v>
      </c>
      <c r="N781" s="10">
        <f>VALUE(TRIM(Dataset!N781))</f>
        <v>1766.22</v>
      </c>
    </row>
    <row r="782" spans="1:14" x14ac:dyDescent="0.35">
      <c r="A782" s="6" t="str">
        <f>TRIM(Dataset!A782)</f>
        <v>ORD200780</v>
      </c>
      <c r="B782" s="4">
        <f>Dataset!B782</f>
        <v>45382</v>
      </c>
      <c r="C782" s="6" t="str">
        <f>TRIM(Dataset!C782)</f>
        <v>C41284</v>
      </c>
      <c r="D782" s="6" t="str">
        <f>TRIM(Dataset!D782)</f>
        <v>Laptop</v>
      </c>
      <c r="E782" s="13">
        <f>VALUE(TRIM(Dataset!E782))</f>
        <v>4</v>
      </c>
      <c r="F782" s="10">
        <f>VALUE(TRIM(Dataset!F782))</f>
        <v>184.48</v>
      </c>
      <c r="G782" s="6" t="str">
        <f>TRIM(Dataset!G782)</f>
        <v>661 Main St</v>
      </c>
      <c r="H782" s="6" t="str">
        <f>TRIM(Dataset!H782)</f>
        <v>Online</v>
      </c>
      <c r="I782" s="6" t="str">
        <f>TRIM(Dataset!I782)</f>
        <v>Cancelled</v>
      </c>
      <c r="J782" s="6" t="str">
        <f>TRIM(Dataset!J782)</f>
        <v>TRK73613128</v>
      </c>
      <c r="K782" s="8" t="str">
        <f>TRIM(Dataset!K782)</f>
        <v>4</v>
      </c>
      <c r="L782" s="6" t="str">
        <f>Dataset!L782</f>
        <v>WINTER15</v>
      </c>
      <c r="M782" s="6" t="str">
        <f>TRIM(Dataset!M782)</f>
        <v>Google</v>
      </c>
      <c r="N782" s="10">
        <f>VALUE(TRIM(Dataset!N782))</f>
        <v>737.92</v>
      </c>
    </row>
    <row r="783" spans="1:14" x14ac:dyDescent="0.35">
      <c r="A783" s="6" t="str">
        <f>TRIM(Dataset!A783)</f>
        <v>ORD200781</v>
      </c>
      <c r="B783" s="4">
        <f>Dataset!B783</f>
        <v>45301</v>
      </c>
      <c r="C783" s="6" t="str">
        <f>TRIM(Dataset!C783)</f>
        <v>C43524</v>
      </c>
      <c r="D783" s="6" t="str">
        <f>TRIM(Dataset!D783)</f>
        <v>Phone</v>
      </c>
      <c r="E783" s="13">
        <f>VALUE(TRIM(Dataset!E783))</f>
        <v>5</v>
      </c>
      <c r="F783" s="10">
        <f>VALUE(TRIM(Dataset!F783))</f>
        <v>524.26</v>
      </c>
      <c r="G783" s="6" t="str">
        <f>TRIM(Dataset!G783)</f>
        <v>934 Main St</v>
      </c>
      <c r="H783" s="6" t="str">
        <f>TRIM(Dataset!H783)</f>
        <v>Gift Card</v>
      </c>
      <c r="I783" s="6" t="str">
        <f>TRIM(Dataset!I783)</f>
        <v>Delivered</v>
      </c>
      <c r="J783" s="6" t="str">
        <f>TRIM(Dataset!J783)</f>
        <v>TRK51479426</v>
      </c>
      <c r="K783" s="8" t="str">
        <f>TRIM(Dataset!K783)</f>
        <v>5</v>
      </c>
      <c r="L783" s="6" t="str">
        <f>Dataset!L783</f>
        <v>FREESHIP</v>
      </c>
      <c r="M783" s="6" t="str">
        <f>TRIM(Dataset!M783)</f>
        <v>Referral</v>
      </c>
      <c r="N783" s="10">
        <f>VALUE(TRIM(Dataset!N783))</f>
        <v>2621.3000000000002</v>
      </c>
    </row>
    <row r="784" spans="1:14" x14ac:dyDescent="0.35">
      <c r="A784" s="6" t="str">
        <f>TRIM(Dataset!A784)</f>
        <v>ORD200782</v>
      </c>
      <c r="B784" s="4">
        <f>Dataset!B784</f>
        <v>45515</v>
      </c>
      <c r="C784" s="6" t="str">
        <f>TRIM(Dataset!C784)</f>
        <v>C58063</v>
      </c>
      <c r="D784" s="6" t="str">
        <f>TRIM(Dataset!D784)</f>
        <v>Monitor</v>
      </c>
      <c r="E784" s="13">
        <f>VALUE(TRIM(Dataset!E784))</f>
        <v>2</v>
      </c>
      <c r="F784" s="10">
        <f>VALUE(TRIM(Dataset!F784))</f>
        <v>493.63</v>
      </c>
      <c r="G784" s="6" t="str">
        <f>TRIM(Dataset!G784)</f>
        <v>167 Main St</v>
      </c>
      <c r="H784" s="6" t="str">
        <f>TRIM(Dataset!H784)</f>
        <v>Online</v>
      </c>
      <c r="I784" s="6" t="str">
        <f>TRIM(Dataset!I784)</f>
        <v>Returned</v>
      </c>
      <c r="J784" s="6" t="str">
        <f>TRIM(Dataset!J784)</f>
        <v>TRK50548869</v>
      </c>
      <c r="K784" s="8" t="str">
        <f>TRIM(Dataset!K784)</f>
        <v>6</v>
      </c>
      <c r="L784" s="6" t="str">
        <f>Dataset!L784</f>
        <v>SAVE10</v>
      </c>
      <c r="M784" s="6" t="str">
        <f>TRIM(Dataset!M784)</f>
        <v>Referral</v>
      </c>
      <c r="N784" s="10">
        <f>VALUE(TRIM(Dataset!N784))</f>
        <v>987.26</v>
      </c>
    </row>
    <row r="785" spans="1:14" x14ac:dyDescent="0.35">
      <c r="A785" s="6" t="str">
        <f>TRIM(Dataset!A785)</f>
        <v>ORD200783</v>
      </c>
      <c r="B785" s="4">
        <f>Dataset!B785</f>
        <v>45803</v>
      </c>
      <c r="C785" s="6" t="str">
        <f>TRIM(Dataset!C785)</f>
        <v>C19937</v>
      </c>
      <c r="D785" s="6" t="str">
        <f>TRIM(Dataset!D785)</f>
        <v>Printer</v>
      </c>
      <c r="E785" s="13">
        <f>VALUE(TRIM(Dataset!E785))</f>
        <v>1</v>
      </c>
      <c r="F785" s="10">
        <f>VALUE(TRIM(Dataset!F785))</f>
        <v>438.34</v>
      </c>
      <c r="G785" s="6" t="str">
        <f>TRIM(Dataset!G785)</f>
        <v>281 Main St</v>
      </c>
      <c r="H785" s="6" t="str">
        <f>TRIM(Dataset!H785)</f>
        <v>Gift Card</v>
      </c>
      <c r="I785" s="6" t="str">
        <f>TRIM(Dataset!I785)</f>
        <v>Returned</v>
      </c>
      <c r="J785" s="6" t="str">
        <f>TRIM(Dataset!J785)</f>
        <v>TRK46990083</v>
      </c>
      <c r="K785" s="8" t="str">
        <f>TRIM(Dataset!K785)</f>
        <v>5</v>
      </c>
      <c r="L785" s="6" t="str">
        <f>Dataset!L785</f>
        <v>FREESHIP</v>
      </c>
      <c r="M785" s="6" t="str">
        <f>TRIM(Dataset!M785)</f>
        <v>Facebook</v>
      </c>
      <c r="N785" s="10">
        <f>VALUE(TRIM(Dataset!N785))</f>
        <v>438.34</v>
      </c>
    </row>
    <row r="786" spans="1:14" x14ac:dyDescent="0.35">
      <c r="A786" s="6" t="str">
        <f>TRIM(Dataset!A786)</f>
        <v>ORD200784</v>
      </c>
      <c r="B786" s="4">
        <f>Dataset!B786</f>
        <v>45793</v>
      </c>
      <c r="C786" s="6" t="str">
        <f>TRIM(Dataset!C786)</f>
        <v>C21191</v>
      </c>
      <c r="D786" s="6" t="str">
        <f>TRIM(Dataset!D786)</f>
        <v>Laptop</v>
      </c>
      <c r="E786" s="13">
        <f>VALUE(TRIM(Dataset!E786))</f>
        <v>1</v>
      </c>
      <c r="F786" s="10">
        <f>VALUE(TRIM(Dataset!F786))</f>
        <v>325.81</v>
      </c>
      <c r="G786" s="6" t="str">
        <f>TRIM(Dataset!G786)</f>
        <v>232 Main St</v>
      </c>
      <c r="H786" s="6" t="str">
        <f>TRIM(Dataset!H786)</f>
        <v>Credit Card</v>
      </c>
      <c r="I786" s="6" t="str">
        <f>TRIM(Dataset!I786)</f>
        <v>Pending</v>
      </c>
      <c r="J786" s="6" t="str">
        <f>TRIM(Dataset!J786)</f>
        <v>TRK85771230</v>
      </c>
      <c r="K786" s="8" t="str">
        <f>TRIM(Dataset!K786)</f>
        <v>1</v>
      </c>
      <c r="L786" s="6" t="str">
        <f>Dataset!L786</f>
        <v>WINTER15</v>
      </c>
      <c r="M786" s="6" t="str">
        <f>TRIM(Dataset!M786)</f>
        <v>Referral</v>
      </c>
      <c r="N786" s="10">
        <f>VALUE(TRIM(Dataset!N786))</f>
        <v>325.81</v>
      </c>
    </row>
    <row r="787" spans="1:14" x14ac:dyDescent="0.35">
      <c r="A787" s="6" t="str">
        <f>TRIM(Dataset!A787)</f>
        <v>ORD200785</v>
      </c>
      <c r="B787" s="4">
        <f>Dataset!B787</f>
        <v>45136</v>
      </c>
      <c r="C787" s="6" t="str">
        <f>TRIM(Dataset!C787)</f>
        <v>C45862</v>
      </c>
      <c r="D787" s="6" t="str">
        <f>TRIM(Dataset!D787)</f>
        <v>Chair</v>
      </c>
      <c r="E787" s="13">
        <f>VALUE(TRIM(Dataset!E787))</f>
        <v>1</v>
      </c>
      <c r="F787" s="10">
        <f>VALUE(TRIM(Dataset!F787))</f>
        <v>176.1</v>
      </c>
      <c r="G787" s="6" t="str">
        <f>TRIM(Dataset!G787)</f>
        <v>342 Main St</v>
      </c>
      <c r="H787" s="6" t="str">
        <f>TRIM(Dataset!H787)</f>
        <v>Credit Card</v>
      </c>
      <c r="I787" s="6" t="str">
        <f>TRIM(Dataset!I787)</f>
        <v>Pending</v>
      </c>
      <c r="J787" s="6" t="str">
        <f>TRIM(Dataset!J787)</f>
        <v>TRK53089983</v>
      </c>
      <c r="K787" s="8" t="str">
        <f>TRIM(Dataset!K787)</f>
        <v>1</v>
      </c>
      <c r="L787" s="6" t="str">
        <f>Dataset!L787</f>
        <v>SAVE10</v>
      </c>
      <c r="M787" s="6" t="str">
        <f>TRIM(Dataset!M787)</f>
        <v>Instagram</v>
      </c>
      <c r="N787" s="10">
        <f>VALUE(TRIM(Dataset!N787))</f>
        <v>176.1</v>
      </c>
    </row>
    <row r="788" spans="1:14" x14ac:dyDescent="0.35">
      <c r="A788" s="6" t="str">
        <f>TRIM(Dataset!A788)</f>
        <v>ORD200786</v>
      </c>
      <c r="B788" s="4">
        <f>Dataset!B788</f>
        <v>45161</v>
      </c>
      <c r="C788" s="6" t="str">
        <f>TRIM(Dataset!C788)</f>
        <v>C39130</v>
      </c>
      <c r="D788" s="6" t="str">
        <f>TRIM(Dataset!D788)</f>
        <v>Chair</v>
      </c>
      <c r="E788" s="13">
        <f>VALUE(TRIM(Dataset!E788))</f>
        <v>5</v>
      </c>
      <c r="F788" s="10">
        <f>VALUE(TRIM(Dataset!F788))</f>
        <v>45.31</v>
      </c>
      <c r="G788" s="6" t="str">
        <f>TRIM(Dataset!G788)</f>
        <v>774 Main St</v>
      </c>
      <c r="H788" s="6" t="str">
        <f>TRIM(Dataset!H788)</f>
        <v>Online</v>
      </c>
      <c r="I788" s="6" t="str">
        <f>TRIM(Dataset!I788)</f>
        <v>Cancelled</v>
      </c>
      <c r="J788" s="6" t="str">
        <f>TRIM(Dataset!J788)</f>
        <v>TRK99583414</v>
      </c>
      <c r="K788" s="8" t="str">
        <f>TRIM(Dataset!K788)</f>
        <v>8</v>
      </c>
      <c r="L788" s="6" t="s">
        <v>4284</v>
      </c>
      <c r="M788" s="6" t="str">
        <f>TRIM(Dataset!M788)</f>
        <v>Referral</v>
      </c>
      <c r="N788" s="10">
        <f>VALUE(TRIM(Dataset!N788))</f>
        <v>226.55</v>
      </c>
    </row>
    <row r="789" spans="1:14" x14ac:dyDescent="0.35">
      <c r="A789" s="6" t="str">
        <f>TRIM(Dataset!A789)</f>
        <v>ORD200787</v>
      </c>
      <c r="B789" s="4">
        <f>Dataset!B789</f>
        <v>45368</v>
      </c>
      <c r="C789" s="6" t="str">
        <f>TRIM(Dataset!C789)</f>
        <v>C18167</v>
      </c>
      <c r="D789" s="6" t="str">
        <f>TRIM(Dataset!D789)</f>
        <v>Desk</v>
      </c>
      <c r="E789" s="13">
        <f>VALUE(TRIM(Dataset!E789))</f>
        <v>4</v>
      </c>
      <c r="F789" s="10">
        <f>VALUE(TRIM(Dataset!F789))</f>
        <v>221.96</v>
      </c>
      <c r="G789" s="6" t="str">
        <f>TRIM(Dataset!G789)</f>
        <v>193 Main St</v>
      </c>
      <c r="H789" s="6" t="str">
        <f>TRIM(Dataset!H789)</f>
        <v>Cash</v>
      </c>
      <c r="I789" s="6" t="str">
        <f>TRIM(Dataset!I789)</f>
        <v>Delivered</v>
      </c>
      <c r="J789" s="6" t="str">
        <f>TRIM(Dataset!J789)</f>
        <v>TRK36841089</v>
      </c>
      <c r="K789" s="8" t="str">
        <f>TRIM(Dataset!K789)</f>
        <v>7</v>
      </c>
      <c r="L789" s="6" t="s">
        <v>4284</v>
      </c>
      <c r="M789" s="6" t="str">
        <f>TRIM(Dataset!M789)</f>
        <v>Google</v>
      </c>
      <c r="N789" s="10">
        <f>VALUE(TRIM(Dataset!N789))</f>
        <v>887.84</v>
      </c>
    </row>
    <row r="790" spans="1:14" x14ac:dyDescent="0.35">
      <c r="A790" s="6" t="str">
        <f>TRIM(Dataset!A790)</f>
        <v>ORD200788</v>
      </c>
      <c r="B790" s="4">
        <f>Dataset!B790</f>
        <v>45232</v>
      </c>
      <c r="C790" s="6" t="str">
        <f>TRIM(Dataset!C790)</f>
        <v>C47307</v>
      </c>
      <c r="D790" s="6" t="str">
        <f>TRIM(Dataset!D790)</f>
        <v>Chair</v>
      </c>
      <c r="E790" s="13">
        <f>VALUE(TRIM(Dataset!E790))</f>
        <v>2</v>
      </c>
      <c r="F790" s="10">
        <f>VALUE(TRIM(Dataset!F790))</f>
        <v>601.42999999999995</v>
      </c>
      <c r="G790" s="6" t="str">
        <f>TRIM(Dataset!G790)</f>
        <v>761 Main St</v>
      </c>
      <c r="H790" s="6" t="str">
        <f>TRIM(Dataset!H790)</f>
        <v>Online</v>
      </c>
      <c r="I790" s="6" t="str">
        <f>TRIM(Dataset!I790)</f>
        <v>Pending</v>
      </c>
      <c r="J790" s="6" t="str">
        <f>TRIM(Dataset!J790)</f>
        <v>TRK43516112</v>
      </c>
      <c r="K790" s="8" t="str">
        <f>TRIM(Dataset!K790)</f>
        <v>5</v>
      </c>
      <c r="L790" s="6" t="str">
        <f>Dataset!L790</f>
        <v>FREESHIP</v>
      </c>
      <c r="M790" s="6" t="str">
        <f>TRIM(Dataset!M790)</f>
        <v>Instagram</v>
      </c>
      <c r="N790" s="10">
        <f>VALUE(TRIM(Dataset!N790))</f>
        <v>1202.8599999999999</v>
      </c>
    </row>
    <row r="791" spans="1:14" x14ac:dyDescent="0.35">
      <c r="A791" s="6" t="str">
        <f>TRIM(Dataset!A791)</f>
        <v>ORD200789</v>
      </c>
      <c r="B791" s="4">
        <f>Dataset!B791</f>
        <v>45155</v>
      </c>
      <c r="C791" s="6" t="str">
        <f>TRIM(Dataset!C791)</f>
        <v>C57276</v>
      </c>
      <c r="D791" s="6" t="str">
        <f>TRIM(Dataset!D791)</f>
        <v>Tablet</v>
      </c>
      <c r="E791" s="13">
        <f>VALUE(TRIM(Dataset!E791))</f>
        <v>5</v>
      </c>
      <c r="F791" s="10">
        <f>VALUE(TRIM(Dataset!F791))</f>
        <v>691.28</v>
      </c>
      <c r="G791" s="6" t="str">
        <f>TRIM(Dataset!G791)</f>
        <v>183 Main St</v>
      </c>
      <c r="H791" s="6" t="str">
        <f>TRIM(Dataset!H791)</f>
        <v>Online</v>
      </c>
      <c r="I791" s="6" t="str">
        <f>TRIM(Dataset!I791)</f>
        <v>Delivered</v>
      </c>
      <c r="J791" s="6" t="str">
        <f>TRIM(Dataset!J791)</f>
        <v>TRK75899752</v>
      </c>
      <c r="K791" s="8" t="str">
        <f>TRIM(Dataset!K791)</f>
        <v>10</v>
      </c>
      <c r="L791" s="6" t="str">
        <f>Dataset!L791</f>
        <v>SAVE10</v>
      </c>
      <c r="M791" s="6" t="str">
        <f>TRIM(Dataset!M791)</f>
        <v>Email</v>
      </c>
      <c r="N791" s="10">
        <f>VALUE(TRIM(Dataset!N791))</f>
        <v>3456.4</v>
      </c>
    </row>
    <row r="792" spans="1:14" x14ac:dyDescent="0.35">
      <c r="A792" s="6" t="str">
        <f>TRIM(Dataset!A792)</f>
        <v>ORD200790</v>
      </c>
      <c r="B792" s="4">
        <f>Dataset!B792</f>
        <v>45549</v>
      </c>
      <c r="C792" s="6" t="str">
        <f>TRIM(Dataset!C792)</f>
        <v>C38928</v>
      </c>
      <c r="D792" s="6" t="str">
        <f>TRIM(Dataset!D792)</f>
        <v>Laptop</v>
      </c>
      <c r="E792" s="13">
        <f>VALUE(TRIM(Dataset!E792))</f>
        <v>4</v>
      </c>
      <c r="F792" s="10">
        <f>VALUE(TRIM(Dataset!F792))</f>
        <v>417.89</v>
      </c>
      <c r="G792" s="6" t="str">
        <f>TRIM(Dataset!G792)</f>
        <v>302 Main St</v>
      </c>
      <c r="H792" s="6" t="str">
        <f>TRIM(Dataset!H792)</f>
        <v>Gift Card</v>
      </c>
      <c r="I792" s="6" t="str">
        <f>TRIM(Dataset!I792)</f>
        <v>Pending</v>
      </c>
      <c r="J792" s="6" t="str">
        <f>TRIM(Dataset!J792)</f>
        <v>TRK96636009</v>
      </c>
      <c r="K792" s="8" t="str">
        <f>TRIM(Dataset!K792)</f>
        <v>4</v>
      </c>
      <c r="L792" s="6" t="s">
        <v>4284</v>
      </c>
      <c r="M792" s="6" t="str">
        <f>TRIM(Dataset!M792)</f>
        <v>Google</v>
      </c>
      <c r="N792" s="10">
        <f>VALUE(TRIM(Dataset!N792))</f>
        <v>1671.56</v>
      </c>
    </row>
    <row r="793" spans="1:14" x14ac:dyDescent="0.35">
      <c r="A793" s="6" t="str">
        <f>TRIM(Dataset!A793)</f>
        <v>ORD200791</v>
      </c>
      <c r="B793" s="4">
        <f>Dataset!B793</f>
        <v>45304</v>
      </c>
      <c r="C793" s="6" t="str">
        <f>TRIM(Dataset!C793)</f>
        <v>C49710</v>
      </c>
      <c r="D793" s="6" t="str">
        <f>TRIM(Dataset!D793)</f>
        <v>Chair</v>
      </c>
      <c r="E793" s="13">
        <f>VALUE(TRIM(Dataset!E793))</f>
        <v>4</v>
      </c>
      <c r="F793" s="10">
        <f>VALUE(TRIM(Dataset!F793))</f>
        <v>409.28</v>
      </c>
      <c r="G793" s="6" t="str">
        <f>TRIM(Dataset!G793)</f>
        <v>956 Main St</v>
      </c>
      <c r="H793" s="6" t="str">
        <f>TRIM(Dataset!H793)</f>
        <v>Cash</v>
      </c>
      <c r="I793" s="6" t="str">
        <f>TRIM(Dataset!I793)</f>
        <v>Pending</v>
      </c>
      <c r="J793" s="6" t="str">
        <f>TRIM(Dataset!J793)</f>
        <v>TRK92591237</v>
      </c>
      <c r="K793" s="8" t="str">
        <f>TRIM(Dataset!K793)</f>
        <v>8</v>
      </c>
      <c r="L793" s="6" t="s">
        <v>4284</v>
      </c>
      <c r="M793" s="6" t="str">
        <f>TRIM(Dataset!M793)</f>
        <v>Email</v>
      </c>
      <c r="N793" s="10">
        <f>VALUE(TRIM(Dataset!N793))</f>
        <v>1637.12</v>
      </c>
    </row>
    <row r="794" spans="1:14" x14ac:dyDescent="0.35">
      <c r="A794" s="6" t="str">
        <f>TRIM(Dataset!A794)</f>
        <v>ORD200792</v>
      </c>
      <c r="B794" s="4">
        <f>Dataset!B794</f>
        <v>45093</v>
      </c>
      <c r="C794" s="6" t="str">
        <f>TRIM(Dataset!C794)</f>
        <v>C41709</v>
      </c>
      <c r="D794" s="6" t="str">
        <f>TRIM(Dataset!D794)</f>
        <v>Desk</v>
      </c>
      <c r="E794" s="13">
        <f>VALUE(TRIM(Dataset!E794))</f>
        <v>2</v>
      </c>
      <c r="F794" s="10">
        <f>VALUE(TRIM(Dataset!F794))</f>
        <v>356.35</v>
      </c>
      <c r="G794" s="6" t="str">
        <f>TRIM(Dataset!G794)</f>
        <v>746 Main St</v>
      </c>
      <c r="H794" s="6" t="str">
        <f>TRIM(Dataset!H794)</f>
        <v>Debit Card</v>
      </c>
      <c r="I794" s="6" t="str">
        <f>TRIM(Dataset!I794)</f>
        <v>Returned</v>
      </c>
      <c r="J794" s="6" t="str">
        <f>TRIM(Dataset!J794)</f>
        <v>TRK90995294</v>
      </c>
      <c r="K794" s="8" t="str">
        <f>TRIM(Dataset!K794)</f>
        <v>6</v>
      </c>
      <c r="L794" s="6" t="str">
        <f>Dataset!L794</f>
        <v>WINTER15</v>
      </c>
      <c r="M794" s="6" t="str">
        <f>TRIM(Dataset!M794)</f>
        <v>Facebook</v>
      </c>
      <c r="N794" s="10">
        <f>VALUE(TRIM(Dataset!N794))</f>
        <v>712.7</v>
      </c>
    </row>
    <row r="795" spans="1:14" x14ac:dyDescent="0.35">
      <c r="A795" s="6" t="str">
        <f>TRIM(Dataset!A795)</f>
        <v>ORD200793</v>
      </c>
      <c r="B795" s="4">
        <f>Dataset!B795</f>
        <v>45397</v>
      </c>
      <c r="C795" s="6" t="str">
        <f>TRIM(Dataset!C795)</f>
        <v>C91255</v>
      </c>
      <c r="D795" s="6" t="str">
        <f>TRIM(Dataset!D795)</f>
        <v>Chair</v>
      </c>
      <c r="E795" s="13">
        <f>VALUE(TRIM(Dataset!E795))</f>
        <v>5</v>
      </c>
      <c r="F795" s="10">
        <f>VALUE(TRIM(Dataset!F795))</f>
        <v>170.22</v>
      </c>
      <c r="G795" s="6" t="str">
        <f>TRIM(Dataset!G795)</f>
        <v>769 Main St</v>
      </c>
      <c r="H795" s="6" t="str">
        <f>TRIM(Dataset!H795)</f>
        <v>Debit Card</v>
      </c>
      <c r="I795" s="6" t="str">
        <f>TRIM(Dataset!I795)</f>
        <v>Delivered</v>
      </c>
      <c r="J795" s="6" t="str">
        <f>TRIM(Dataset!J795)</f>
        <v>TRK69599961</v>
      </c>
      <c r="K795" s="8" t="str">
        <f>TRIM(Dataset!K795)</f>
        <v>8</v>
      </c>
      <c r="L795" s="6" t="s">
        <v>4284</v>
      </c>
      <c r="M795" s="6" t="str">
        <f>TRIM(Dataset!M795)</f>
        <v>Referral</v>
      </c>
      <c r="N795" s="10">
        <f>VALUE(TRIM(Dataset!N795))</f>
        <v>851.1</v>
      </c>
    </row>
    <row r="796" spans="1:14" x14ac:dyDescent="0.35">
      <c r="A796" s="6" t="str">
        <f>TRIM(Dataset!A796)</f>
        <v>ORD200794</v>
      </c>
      <c r="B796" s="4">
        <f>Dataset!B796</f>
        <v>44994</v>
      </c>
      <c r="C796" s="6" t="str">
        <f>TRIM(Dataset!C796)</f>
        <v>C76653</v>
      </c>
      <c r="D796" s="6" t="str">
        <f>TRIM(Dataset!D796)</f>
        <v>Printer</v>
      </c>
      <c r="E796" s="13">
        <f>VALUE(TRIM(Dataset!E796))</f>
        <v>4</v>
      </c>
      <c r="F796" s="10">
        <f>VALUE(TRIM(Dataset!F796))</f>
        <v>384.85</v>
      </c>
      <c r="G796" s="6" t="str">
        <f>TRIM(Dataset!G796)</f>
        <v>988 Main St</v>
      </c>
      <c r="H796" s="6" t="str">
        <f>TRIM(Dataset!H796)</f>
        <v>Online</v>
      </c>
      <c r="I796" s="6" t="str">
        <f>TRIM(Dataset!I796)</f>
        <v>Delivered</v>
      </c>
      <c r="J796" s="6" t="str">
        <f>TRIM(Dataset!J796)</f>
        <v>TRK77052196</v>
      </c>
      <c r="K796" s="8" t="str">
        <f>TRIM(Dataset!K796)</f>
        <v>9</v>
      </c>
      <c r="L796" s="6" t="str">
        <f>Dataset!L796</f>
        <v>FREESHIP</v>
      </c>
      <c r="M796" s="6" t="str">
        <f>TRIM(Dataset!M796)</f>
        <v>Instagram</v>
      </c>
      <c r="N796" s="10">
        <f>VALUE(TRIM(Dataset!N796))</f>
        <v>1539.4</v>
      </c>
    </row>
    <row r="797" spans="1:14" x14ac:dyDescent="0.35">
      <c r="A797" s="6" t="str">
        <f>TRIM(Dataset!A797)</f>
        <v>ORD200795</v>
      </c>
      <c r="B797" s="4">
        <f>Dataset!B797</f>
        <v>45616</v>
      </c>
      <c r="C797" s="6" t="str">
        <f>TRIM(Dataset!C797)</f>
        <v>C95667</v>
      </c>
      <c r="D797" s="6" t="str">
        <f>TRIM(Dataset!D797)</f>
        <v>Laptop</v>
      </c>
      <c r="E797" s="13">
        <f>VALUE(TRIM(Dataset!E797))</f>
        <v>4</v>
      </c>
      <c r="F797" s="10">
        <f>VALUE(TRIM(Dataset!F797))</f>
        <v>115.77</v>
      </c>
      <c r="G797" s="6" t="str">
        <f>TRIM(Dataset!G797)</f>
        <v>586 Main St</v>
      </c>
      <c r="H797" s="6" t="str">
        <f>TRIM(Dataset!H797)</f>
        <v>Online</v>
      </c>
      <c r="I797" s="6" t="str">
        <f>TRIM(Dataset!I797)</f>
        <v>Pending</v>
      </c>
      <c r="J797" s="6" t="str">
        <f>TRIM(Dataset!J797)</f>
        <v>TRK41266666</v>
      </c>
      <c r="K797" s="8" t="str">
        <f>TRIM(Dataset!K797)</f>
        <v>7</v>
      </c>
      <c r="L797" s="6" t="str">
        <f>Dataset!L797</f>
        <v>SAVE10</v>
      </c>
      <c r="M797" s="6" t="str">
        <f>TRIM(Dataset!M797)</f>
        <v>Instagram</v>
      </c>
      <c r="N797" s="10">
        <f>VALUE(TRIM(Dataset!N797))</f>
        <v>463.08</v>
      </c>
    </row>
    <row r="798" spans="1:14" x14ac:dyDescent="0.35">
      <c r="A798" s="6" t="str">
        <f>TRIM(Dataset!A798)</f>
        <v>ORD200796</v>
      </c>
      <c r="B798" s="4">
        <f>Dataset!B798</f>
        <v>45776</v>
      </c>
      <c r="C798" s="6" t="str">
        <f>TRIM(Dataset!C798)</f>
        <v>C33313</v>
      </c>
      <c r="D798" s="6" t="str">
        <f>TRIM(Dataset!D798)</f>
        <v>Phone</v>
      </c>
      <c r="E798" s="13">
        <f>VALUE(TRIM(Dataset!E798))</f>
        <v>3</v>
      </c>
      <c r="F798" s="10">
        <f>VALUE(TRIM(Dataset!F798))</f>
        <v>579.54999999999995</v>
      </c>
      <c r="G798" s="6" t="str">
        <f>TRIM(Dataset!G798)</f>
        <v>882 Main St</v>
      </c>
      <c r="H798" s="6" t="str">
        <f>TRIM(Dataset!H798)</f>
        <v>Gift Card</v>
      </c>
      <c r="I798" s="6" t="str">
        <f>TRIM(Dataset!I798)</f>
        <v>Returned</v>
      </c>
      <c r="J798" s="6" t="str">
        <f>TRIM(Dataset!J798)</f>
        <v>TRK13349970</v>
      </c>
      <c r="K798" s="8" t="str">
        <f>TRIM(Dataset!K798)</f>
        <v>8</v>
      </c>
      <c r="L798" s="6" t="str">
        <f>Dataset!L798</f>
        <v>WINTER15</v>
      </c>
      <c r="M798" s="6" t="str">
        <f>TRIM(Dataset!M798)</f>
        <v>Facebook</v>
      </c>
      <c r="N798" s="10">
        <f>VALUE(TRIM(Dataset!N798))</f>
        <v>1738.65</v>
      </c>
    </row>
    <row r="799" spans="1:14" x14ac:dyDescent="0.35">
      <c r="A799" s="6" t="str">
        <f>TRIM(Dataset!A799)</f>
        <v>ORD200797</v>
      </c>
      <c r="B799" s="4">
        <f>Dataset!B799</f>
        <v>44984</v>
      </c>
      <c r="C799" s="6" t="str">
        <f>TRIM(Dataset!C799)</f>
        <v>C36825</v>
      </c>
      <c r="D799" s="6" t="str">
        <f>TRIM(Dataset!D799)</f>
        <v>Laptop</v>
      </c>
      <c r="E799" s="13">
        <f>VALUE(TRIM(Dataset!E799))</f>
        <v>2</v>
      </c>
      <c r="F799" s="10">
        <f>VALUE(TRIM(Dataset!F799))</f>
        <v>438.76</v>
      </c>
      <c r="G799" s="6" t="str">
        <f>TRIM(Dataset!G799)</f>
        <v>426 Main St</v>
      </c>
      <c r="H799" s="6" t="str">
        <f>TRIM(Dataset!H799)</f>
        <v>Debit Card</v>
      </c>
      <c r="I799" s="6" t="str">
        <f>TRIM(Dataset!I799)</f>
        <v>Returned</v>
      </c>
      <c r="J799" s="6" t="str">
        <f>TRIM(Dataset!J799)</f>
        <v>TRK72557318</v>
      </c>
      <c r="K799" s="8" t="str">
        <f>TRIM(Dataset!K799)</f>
        <v>2</v>
      </c>
      <c r="L799" s="6" t="s">
        <v>4284</v>
      </c>
      <c r="M799" s="6" t="str">
        <f>TRIM(Dataset!M799)</f>
        <v>Facebook</v>
      </c>
      <c r="N799" s="10">
        <f>VALUE(TRIM(Dataset!N799))</f>
        <v>877.52</v>
      </c>
    </row>
    <row r="800" spans="1:14" x14ac:dyDescent="0.35">
      <c r="A800" s="6" t="str">
        <f>TRIM(Dataset!A800)</f>
        <v>ORD200798</v>
      </c>
      <c r="B800" s="4">
        <f>Dataset!B800</f>
        <v>45796</v>
      </c>
      <c r="C800" s="6" t="str">
        <f>TRIM(Dataset!C800)</f>
        <v>C20861</v>
      </c>
      <c r="D800" s="6" t="str">
        <f>TRIM(Dataset!D800)</f>
        <v>Phone</v>
      </c>
      <c r="E800" s="13">
        <f>VALUE(TRIM(Dataset!E800))</f>
        <v>5</v>
      </c>
      <c r="F800" s="10">
        <f>VALUE(TRIM(Dataset!F800))</f>
        <v>488.35</v>
      </c>
      <c r="G800" s="6" t="str">
        <f>TRIM(Dataset!G800)</f>
        <v>968 Main St</v>
      </c>
      <c r="H800" s="6" t="str">
        <f>TRIM(Dataset!H800)</f>
        <v>Debit Card</v>
      </c>
      <c r="I800" s="6" t="str">
        <f>TRIM(Dataset!I800)</f>
        <v>Returned</v>
      </c>
      <c r="J800" s="6" t="str">
        <f>TRIM(Dataset!J800)</f>
        <v>TRK89372013</v>
      </c>
      <c r="K800" s="8" t="str">
        <f>TRIM(Dataset!K800)</f>
        <v>9</v>
      </c>
      <c r="L800" s="6" t="str">
        <f>Dataset!L800</f>
        <v>FREESHIP</v>
      </c>
      <c r="M800" s="6" t="str">
        <f>TRIM(Dataset!M800)</f>
        <v>Email</v>
      </c>
      <c r="N800" s="10">
        <f>VALUE(TRIM(Dataset!N800))</f>
        <v>2441.75</v>
      </c>
    </row>
    <row r="801" spans="1:14" x14ac:dyDescent="0.35">
      <c r="A801" s="6" t="str">
        <f>TRIM(Dataset!A801)</f>
        <v>ORD200799</v>
      </c>
      <c r="B801" s="4">
        <f>Dataset!B801</f>
        <v>45032</v>
      </c>
      <c r="C801" s="6" t="str">
        <f>TRIM(Dataset!C801)</f>
        <v>C26364</v>
      </c>
      <c r="D801" s="6" t="str">
        <f>TRIM(Dataset!D801)</f>
        <v>Laptop</v>
      </c>
      <c r="E801" s="13">
        <f>VALUE(TRIM(Dataset!E801))</f>
        <v>4</v>
      </c>
      <c r="F801" s="10">
        <f>VALUE(TRIM(Dataset!F801))</f>
        <v>328.56</v>
      </c>
      <c r="G801" s="6" t="str">
        <f>TRIM(Dataset!G801)</f>
        <v>803 Main St</v>
      </c>
      <c r="H801" s="6" t="str">
        <f>TRIM(Dataset!H801)</f>
        <v>Debit Card</v>
      </c>
      <c r="I801" s="6" t="str">
        <f>TRIM(Dataset!I801)</f>
        <v>Returned</v>
      </c>
      <c r="J801" s="6" t="str">
        <f>TRIM(Dataset!J801)</f>
        <v>TRK78924436</v>
      </c>
      <c r="K801" s="8" t="str">
        <f>TRIM(Dataset!K801)</f>
        <v>4</v>
      </c>
      <c r="L801" s="6" t="str">
        <f>Dataset!L801</f>
        <v>FREESHIP</v>
      </c>
      <c r="M801" s="6" t="str">
        <f>TRIM(Dataset!M801)</f>
        <v>Email</v>
      </c>
      <c r="N801" s="10">
        <f>VALUE(TRIM(Dataset!N801))</f>
        <v>1314.24</v>
      </c>
    </row>
    <row r="802" spans="1:14" x14ac:dyDescent="0.35">
      <c r="A802" s="6" t="str">
        <f>TRIM(Dataset!A802)</f>
        <v>ORD200800</v>
      </c>
      <c r="B802" s="4">
        <f>Dataset!B802</f>
        <v>45744</v>
      </c>
      <c r="C802" s="6" t="str">
        <f>TRIM(Dataset!C802)</f>
        <v>C34686</v>
      </c>
      <c r="D802" s="6" t="str">
        <f>TRIM(Dataset!D802)</f>
        <v>Tablet</v>
      </c>
      <c r="E802" s="13">
        <f>VALUE(TRIM(Dataset!E802))</f>
        <v>1</v>
      </c>
      <c r="F802" s="10">
        <f>VALUE(TRIM(Dataset!F802))</f>
        <v>68.39</v>
      </c>
      <c r="G802" s="6" t="str">
        <f>TRIM(Dataset!G802)</f>
        <v>412 Main St</v>
      </c>
      <c r="H802" s="6" t="str">
        <f>TRIM(Dataset!H802)</f>
        <v>Online</v>
      </c>
      <c r="I802" s="6" t="str">
        <f>TRIM(Dataset!I802)</f>
        <v>Returned</v>
      </c>
      <c r="J802" s="6" t="str">
        <f>TRIM(Dataset!J802)</f>
        <v>TRK99468332</v>
      </c>
      <c r="K802" s="8" t="str">
        <f>TRIM(Dataset!K802)</f>
        <v>3</v>
      </c>
      <c r="L802" s="6" t="str">
        <f>Dataset!L802</f>
        <v>WINTER15</v>
      </c>
      <c r="M802" s="6" t="str">
        <f>TRIM(Dataset!M802)</f>
        <v>Facebook</v>
      </c>
      <c r="N802" s="10">
        <f>VALUE(TRIM(Dataset!N802))</f>
        <v>68.39</v>
      </c>
    </row>
    <row r="803" spans="1:14" x14ac:dyDescent="0.35">
      <c r="A803" s="6" t="str">
        <f>TRIM(Dataset!A803)</f>
        <v>ORD200801</v>
      </c>
      <c r="B803" s="4">
        <f>Dataset!B803</f>
        <v>45049</v>
      </c>
      <c r="C803" s="6" t="str">
        <f>TRIM(Dataset!C803)</f>
        <v>C97593</v>
      </c>
      <c r="D803" s="6" t="str">
        <f>TRIM(Dataset!D803)</f>
        <v>Printer</v>
      </c>
      <c r="E803" s="13">
        <f>VALUE(TRIM(Dataset!E803))</f>
        <v>4</v>
      </c>
      <c r="F803" s="10">
        <f>VALUE(TRIM(Dataset!F803))</f>
        <v>595.62</v>
      </c>
      <c r="G803" s="6" t="str">
        <f>TRIM(Dataset!G803)</f>
        <v>738 Main St</v>
      </c>
      <c r="H803" s="6" t="str">
        <f>TRIM(Dataset!H803)</f>
        <v>Debit Card</v>
      </c>
      <c r="I803" s="6" t="str">
        <f>TRIM(Dataset!I803)</f>
        <v>Pending</v>
      </c>
      <c r="J803" s="6" t="str">
        <f>TRIM(Dataset!J803)</f>
        <v>TRK58443593</v>
      </c>
      <c r="K803" s="8" t="str">
        <f>TRIM(Dataset!K803)</f>
        <v>8</v>
      </c>
      <c r="L803" s="6" t="str">
        <f>Dataset!L803</f>
        <v>FREESHIP</v>
      </c>
      <c r="M803" s="6" t="str">
        <f>TRIM(Dataset!M803)</f>
        <v>Facebook</v>
      </c>
      <c r="N803" s="10">
        <f>VALUE(TRIM(Dataset!N803))</f>
        <v>2382.48</v>
      </c>
    </row>
    <row r="804" spans="1:14" x14ac:dyDescent="0.35">
      <c r="A804" s="6" t="str">
        <f>TRIM(Dataset!A804)</f>
        <v>ORD200802</v>
      </c>
      <c r="B804" s="4">
        <f>Dataset!B804</f>
        <v>45339</v>
      </c>
      <c r="C804" s="6" t="str">
        <f>TRIM(Dataset!C804)</f>
        <v>C84331</v>
      </c>
      <c r="D804" s="6" t="str">
        <f>TRIM(Dataset!D804)</f>
        <v>Chair</v>
      </c>
      <c r="E804" s="13">
        <f>VALUE(TRIM(Dataset!E804))</f>
        <v>5</v>
      </c>
      <c r="F804" s="10">
        <f>VALUE(TRIM(Dataset!F804))</f>
        <v>644.64</v>
      </c>
      <c r="G804" s="6" t="str">
        <f>TRIM(Dataset!G804)</f>
        <v>205 Main St</v>
      </c>
      <c r="H804" s="6" t="str">
        <f>TRIM(Dataset!H804)</f>
        <v>Gift Card</v>
      </c>
      <c r="I804" s="6" t="str">
        <f>TRIM(Dataset!I804)</f>
        <v>Cancelled</v>
      </c>
      <c r="J804" s="6" t="str">
        <f>TRIM(Dataset!J804)</f>
        <v>TRK34440714</v>
      </c>
      <c r="K804" s="8" t="str">
        <f>TRIM(Dataset!K804)</f>
        <v>6</v>
      </c>
      <c r="L804" s="6" t="str">
        <f>Dataset!L804</f>
        <v>FREESHIP</v>
      </c>
      <c r="M804" s="6" t="str">
        <f>TRIM(Dataset!M804)</f>
        <v>Email</v>
      </c>
      <c r="N804" s="10">
        <f>VALUE(TRIM(Dataset!N804))</f>
        <v>3223.2</v>
      </c>
    </row>
    <row r="805" spans="1:14" x14ac:dyDescent="0.35">
      <c r="A805" s="6" t="str">
        <f>TRIM(Dataset!A805)</f>
        <v>ORD200803</v>
      </c>
      <c r="B805" s="4">
        <f>Dataset!B805</f>
        <v>45158</v>
      </c>
      <c r="C805" s="6" t="str">
        <f>TRIM(Dataset!C805)</f>
        <v>C88775</v>
      </c>
      <c r="D805" s="6" t="str">
        <f>TRIM(Dataset!D805)</f>
        <v>Monitor</v>
      </c>
      <c r="E805" s="13">
        <f>VALUE(TRIM(Dataset!E805))</f>
        <v>5</v>
      </c>
      <c r="F805" s="10">
        <f>VALUE(TRIM(Dataset!F805))</f>
        <v>397.81</v>
      </c>
      <c r="G805" s="6" t="str">
        <f>TRIM(Dataset!G805)</f>
        <v>223 Main St</v>
      </c>
      <c r="H805" s="6" t="str">
        <f>TRIM(Dataset!H805)</f>
        <v>Debit Card</v>
      </c>
      <c r="I805" s="6" t="str">
        <f>TRIM(Dataset!I805)</f>
        <v>Returned</v>
      </c>
      <c r="J805" s="6" t="str">
        <f>TRIM(Dataset!J805)</f>
        <v>TRK45098068</v>
      </c>
      <c r="K805" s="8" t="str">
        <f>TRIM(Dataset!K805)</f>
        <v>5</v>
      </c>
      <c r="L805" s="6" t="str">
        <f>Dataset!L805</f>
        <v>SAVE10</v>
      </c>
      <c r="M805" s="6" t="str">
        <f>TRIM(Dataset!M805)</f>
        <v>Referral</v>
      </c>
      <c r="N805" s="10">
        <f>VALUE(TRIM(Dataset!N805))</f>
        <v>1989.05</v>
      </c>
    </row>
    <row r="806" spans="1:14" x14ac:dyDescent="0.35">
      <c r="A806" s="6" t="str">
        <f>TRIM(Dataset!A806)</f>
        <v>ORD200804</v>
      </c>
      <c r="B806" s="4">
        <f>Dataset!B806</f>
        <v>45292</v>
      </c>
      <c r="C806" s="6" t="str">
        <f>TRIM(Dataset!C806)</f>
        <v>C76362</v>
      </c>
      <c r="D806" s="6" t="str">
        <f>TRIM(Dataset!D806)</f>
        <v>Chair</v>
      </c>
      <c r="E806" s="13">
        <f>VALUE(TRIM(Dataset!E806))</f>
        <v>3</v>
      </c>
      <c r="F806" s="10">
        <f>VALUE(TRIM(Dataset!F806))</f>
        <v>236.5</v>
      </c>
      <c r="G806" s="6" t="str">
        <f>TRIM(Dataset!G806)</f>
        <v>916 Main St</v>
      </c>
      <c r="H806" s="6" t="str">
        <f>TRIM(Dataset!H806)</f>
        <v>Online</v>
      </c>
      <c r="I806" s="6" t="str">
        <f>TRIM(Dataset!I806)</f>
        <v>Delivered</v>
      </c>
      <c r="J806" s="6" t="str">
        <f>TRIM(Dataset!J806)</f>
        <v>TRK11868618</v>
      </c>
      <c r="K806" s="8" t="str">
        <f>TRIM(Dataset!K806)</f>
        <v>8</v>
      </c>
      <c r="L806" s="6" t="str">
        <f>Dataset!L806</f>
        <v>FREESHIP</v>
      </c>
      <c r="M806" s="6" t="str">
        <f>TRIM(Dataset!M806)</f>
        <v>Email</v>
      </c>
      <c r="N806" s="10">
        <f>VALUE(TRIM(Dataset!N806))</f>
        <v>709.5</v>
      </c>
    </row>
    <row r="807" spans="1:14" x14ac:dyDescent="0.35">
      <c r="A807" s="6" t="str">
        <f>TRIM(Dataset!A807)</f>
        <v>ORD200805</v>
      </c>
      <c r="B807" s="4">
        <f>Dataset!B807</f>
        <v>45580</v>
      </c>
      <c r="C807" s="6" t="str">
        <f>TRIM(Dataset!C807)</f>
        <v>C59278</v>
      </c>
      <c r="D807" s="6" t="str">
        <f>TRIM(Dataset!D807)</f>
        <v>Laptop</v>
      </c>
      <c r="E807" s="13">
        <f>VALUE(TRIM(Dataset!E807))</f>
        <v>5</v>
      </c>
      <c r="F807" s="10">
        <f>VALUE(TRIM(Dataset!F807))</f>
        <v>472.01</v>
      </c>
      <c r="G807" s="6" t="str">
        <f>TRIM(Dataset!G807)</f>
        <v>178 Main St</v>
      </c>
      <c r="H807" s="6" t="str">
        <f>TRIM(Dataset!H807)</f>
        <v>Gift Card</v>
      </c>
      <c r="I807" s="6" t="str">
        <f>TRIM(Dataset!I807)</f>
        <v>Cancelled</v>
      </c>
      <c r="J807" s="6" t="str">
        <f>TRIM(Dataset!J807)</f>
        <v>TRK14590037</v>
      </c>
      <c r="K807" s="8" t="str">
        <f>TRIM(Dataset!K807)</f>
        <v>10</v>
      </c>
      <c r="L807" s="6" t="str">
        <f>Dataset!L807</f>
        <v>SAVE10</v>
      </c>
      <c r="M807" s="6" t="str">
        <f>TRIM(Dataset!M807)</f>
        <v>Email</v>
      </c>
      <c r="N807" s="10">
        <f>VALUE(TRIM(Dataset!N807))</f>
        <v>2360.0500000000002</v>
      </c>
    </row>
    <row r="808" spans="1:14" x14ac:dyDescent="0.35">
      <c r="A808" s="6" t="str">
        <f>TRIM(Dataset!A808)</f>
        <v>ORD200806</v>
      </c>
      <c r="B808" s="4">
        <f>Dataset!B808</f>
        <v>45170</v>
      </c>
      <c r="C808" s="6" t="str">
        <f>TRIM(Dataset!C808)</f>
        <v>C55819</v>
      </c>
      <c r="D808" s="6" t="str">
        <f>TRIM(Dataset!D808)</f>
        <v>Chair</v>
      </c>
      <c r="E808" s="13">
        <f>VALUE(TRIM(Dataset!E808))</f>
        <v>5</v>
      </c>
      <c r="F808" s="10">
        <f>VALUE(TRIM(Dataset!F808))</f>
        <v>253.75</v>
      </c>
      <c r="G808" s="6" t="str">
        <f>TRIM(Dataset!G808)</f>
        <v>740 Main St</v>
      </c>
      <c r="H808" s="6" t="str">
        <f>TRIM(Dataset!H808)</f>
        <v>Online</v>
      </c>
      <c r="I808" s="6" t="str">
        <f>TRIM(Dataset!I808)</f>
        <v>Pending</v>
      </c>
      <c r="J808" s="6" t="str">
        <f>TRIM(Dataset!J808)</f>
        <v>TRK13775054</v>
      </c>
      <c r="K808" s="8" t="str">
        <f>TRIM(Dataset!K808)</f>
        <v>9</v>
      </c>
      <c r="L808" s="6" t="str">
        <f>Dataset!L808</f>
        <v>WINTER15</v>
      </c>
      <c r="M808" s="6" t="str">
        <f>TRIM(Dataset!M808)</f>
        <v>Instagram</v>
      </c>
      <c r="N808" s="10">
        <f>VALUE(TRIM(Dataset!N808))</f>
        <v>1268.75</v>
      </c>
    </row>
    <row r="809" spans="1:14" x14ac:dyDescent="0.35">
      <c r="A809" s="6" t="str">
        <f>TRIM(Dataset!A809)</f>
        <v>ORD200807</v>
      </c>
      <c r="B809" s="4">
        <f>Dataset!B809</f>
        <v>45606</v>
      </c>
      <c r="C809" s="6" t="str">
        <f>TRIM(Dataset!C809)</f>
        <v>C82344</v>
      </c>
      <c r="D809" s="6" t="str">
        <f>TRIM(Dataset!D809)</f>
        <v>Monitor</v>
      </c>
      <c r="E809" s="13">
        <f>VALUE(TRIM(Dataset!E809))</f>
        <v>3</v>
      </c>
      <c r="F809" s="10">
        <f>VALUE(TRIM(Dataset!F809))</f>
        <v>676.21</v>
      </c>
      <c r="G809" s="6" t="str">
        <f>TRIM(Dataset!G809)</f>
        <v>260 Main St</v>
      </c>
      <c r="H809" s="6" t="str">
        <f>TRIM(Dataset!H809)</f>
        <v>Online</v>
      </c>
      <c r="I809" s="6" t="str">
        <f>TRIM(Dataset!I809)</f>
        <v>Delivered</v>
      </c>
      <c r="J809" s="6" t="str">
        <f>TRIM(Dataset!J809)</f>
        <v>TRK70957219</v>
      </c>
      <c r="K809" s="8" t="str">
        <f>TRIM(Dataset!K809)</f>
        <v>5</v>
      </c>
      <c r="L809" s="6" t="str">
        <f>Dataset!L809</f>
        <v>SAVE10</v>
      </c>
      <c r="M809" s="6" t="str">
        <f>TRIM(Dataset!M809)</f>
        <v>Google</v>
      </c>
      <c r="N809" s="10">
        <f>VALUE(TRIM(Dataset!N809))</f>
        <v>2028.63</v>
      </c>
    </row>
    <row r="810" spans="1:14" x14ac:dyDescent="0.35">
      <c r="A810" s="6" t="str">
        <f>TRIM(Dataset!A810)</f>
        <v>ORD200808</v>
      </c>
      <c r="B810" s="4">
        <f>Dataset!B810</f>
        <v>45335</v>
      </c>
      <c r="C810" s="6" t="str">
        <f>TRIM(Dataset!C810)</f>
        <v>C65565</v>
      </c>
      <c r="D810" s="6" t="str">
        <f>TRIM(Dataset!D810)</f>
        <v>Desk</v>
      </c>
      <c r="E810" s="13">
        <f>VALUE(TRIM(Dataset!E810))</f>
        <v>3</v>
      </c>
      <c r="F810" s="10">
        <f>VALUE(TRIM(Dataset!F810))</f>
        <v>134.05000000000001</v>
      </c>
      <c r="G810" s="6" t="str">
        <f>TRIM(Dataset!G810)</f>
        <v>192 Main St</v>
      </c>
      <c r="H810" s="6" t="str">
        <f>TRIM(Dataset!H810)</f>
        <v>Credit Card</v>
      </c>
      <c r="I810" s="6" t="str">
        <f>TRIM(Dataset!I810)</f>
        <v>Shipped</v>
      </c>
      <c r="J810" s="6" t="str">
        <f>TRIM(Dataset!J810)</f>
        <v>TRK80383756</v>
      </c>
      <c r="K810" s="8" t="str">
        <f>TRIM(Dataset!K810)</f>
        <v>3</v>
      </c>
      <c r="L810" s="6" t="s">
        <v>4284</v>
      </c>
      <c r="M810" s="6" t="str">
        <f>TRIM(Dataset!M810)</f>
        <v>Google</v>
      </c>
      <c r="N810" s="10">
        <f>VALUE(TRIM(Dataset!N810))</f>
        <v>402.15</v>
      </c>
    </row>
    <row r="811" spans="1:14" x14ac:dyDescent="0.35">
      <c r="A811" s="6" t="str">
        <f>TRIM(Dataset!A811)</f>
        <v>ORD200809</v>
      </c>
      <c r="B811" s="4">
        <f>Dataset!B811</f>
        <v>45391</v>
      </c>
      <c r="C811" s="6" t="str">
        <f>TRIM(Dataset!C811)</f>
        <v>C80416</v>
      </c>
      <c r="D811" s="6" t="str">
        <f>TRIM(Dataset!D811)</f>
        <v>Desk</v>
      </c>
      <c r="E811" s="13">
        <f>VALUE(TRIM(Dataset!E811))</f>
        <v>5</v>
      </c>
      <c r="F811" s="10">
        <f>VALUE(TRIM(Dataset!F811))</f>
        <v>217.43</v>
      </c>
      <c r="G811" s="6" t="str">
        <f>TRIM(Dataset!G811)</f>
        <v>752 Main St</v>
      </c>
      <c r="H811" s="6" t="str">
        <f>TRIM(Dataset!H811)</f>
        <v>Debit Card</v>
      </c>
      <c r="I811" s="6" t="str">
        <f>TRIM(Dataset!I811)</f>
        <v>Shipped</v>
      </c>
      <c r="J811" s="6" t="str">
        <f>TRIM(Dataset!J811)</f>
        <v>TRK54385892</v>
      </c>
      <c r="K811" s="8" t="str">
        <f>TRIM(Dataset!K811)</f>
        <v>10</v>
      </c>
      <c r="L811" s="6" t="str">
        <f>Dataset!L811</f>
        <v>SAVE10</v>
      </c>
      <c r="M811" s="6" t="str">
        <f>TRIM(Dataset!M811)</f>
        <v>Instagram</v>
      </c>
      <c r="N811" s="10">
        <f>VALUE(TRIM(Dataset!N811))</f>
        <v>1087.1500000000001</v>
      </c>
    </row>
    <row r="812" spans="1:14" x14ac:dyDescent="0.35">
      <c r="A812" s="6" t="str">
        <f>TRIM(Dataset!A812)</f>
        <v>ORD200810</v>
      </c>
      <c r="B812" s="4">
        <f>Dataset!B812</f>
        <v>45077</v>
      </c>
      <c r="C812" s="6" t="str">
        <f>TRIM(Dataset!C812)</f>
        <v>C23637</v>
      </c>
      <c r="D812" s="6" t="str">
        <f>TRIM(Dataset!D812)</f>
        <v>Tablet</v>
      </c>
      <c r="E812" s="13">
        <f>VALUE(TRIM(Dataset!E812))</f>
        <v>1</v>
      </c>
      <c r="F812" s="10">
        <f>VALUE(TRIM(Dataset!F812))</f>
        <v>553.55999999999995</v>
      </c>
      <c r="G812" s="6" t="str">
        <f>TRIM(Dataset!G812)</f>
        <v>644 Main St</v>
      </c>
      <c r="H812" s="6" t="str">
        <f>TRIM(Dataset!H812)</f>
        <v>Credit Card</v>
      </c>
      <c r="I812" s="6" t="str">
        <f>TRIM(Dataset!I812)</f>
        <v>Cancelled</v>
      </c>
      <c r="J812" s="6" t="str">
        <f>TRIM(Dataset!J812)</f>
        <v>TRK16749863</v>
      </c>
      <c r="K812" s="8" t="str">
        <f>TRIM(Dataset!K812)</f>
        <v>5</v>
      </c>
      <c r="L812" s="6" t="s">
        <v>4284</v>
      </c>
      <c r="M812" s="6" t="str">
        <f>TRIM(Dataset!M812)</f>
        <v>Referral</v>
      </c>
      <c r="N812" s="10">
        <f>VALUE(TRIM(Dataset!N812))</f>
        <v>553.55999999999995</v>
      </c>
    </row>
    <row r="813" spans="1:14" x14ac:dyDescent="0.35">
      <c r="A813" s="6" t="str">
        <f>TRIM(Dataset!A813)</f>
        <v>ORD200811</v>
      </c>
      <c r="B813" s="4">
        <f>Dataset!B813</f>
        <v>45235</v>
      </c>
      <c r="C813" s="6" t="str">
        <f>TRIM(Dataset!C813)</f>
        <v>C24769</v>
      </c>
      <c r="D813" s="6" t="str">
        <f>TRIM(Dataset!D813)</f>
        <v>Laptop</v>
      </c>
      <c r="E813" s="13">
        <f>VALUE(TRIM(Dataset!E813))</f>
        <v>2</v>
      </c>
      <c r="F813" s="10">
        <f>VALUE(TRIM(Dataset!F813))</f>
        <v>28.55</v>
      </c>
      <c r="G813" s="6" t="str">
        <f>TRIM(Dataset!G813)</f>
        <v>864 Main St</v>
      </c>
      <c r="H813" s="6" t="str">
        <f>TRIM(Dataset!H813)</f>
        <v>Gift Card</v>
      </c>
      <c r="I813" s="6" t="str">
        <f>TRIM(Dataset!I813)</f>
        <v>Shipped</v>
      </c>
      <c r="J813" s="6" t="str">
        <f>TRIM(Dataset!J813)</f>
        <v>TRK44538305</v>
      </c>
      <c r="K813" s="8" t="str">
        <f>TRIM(Dataset!K813)</f>
        <v>7</v>
      </c>
      <c r="L813" s="6" t="str">
        <f>Dataset!L813</f>
        <v>SAVE10</v>
      </c>
      <c r="M813" s="6" t="str">
        <f>TRIM(Dataset!M813)</f>
        <v>Email</v>
      </c>
      <c r="N813" s="10">
        <f>VALUE(TRIM(Dataset!N813))</f>
        <v>57.1</v>
      </c>
    </row>
    <row r="814" spans="1:14" x14ac:dyDescent="0.35">
      <c r="A814" s="6" t="str">
        <f>TRIM(Dataset!A814)</f>
        <v>ORD200812</v>
      </c>
      <c r="B814" s="4">
        <f>Dataset!B814</f>
        <v>45317</v>
      </c>
      <c r="C814" s="6" t="str">
        <f>TRIM(Dataset!C814)</f>
        <v>C81547</v>
      </c>
      <c r="D814" s="6" t="str">
        <f>TRIM(Dataset!D814)</f>
        <v>Phone</v>
      </c>
      <c r="E814" s="13">
        <f>VALUE(TRIM(Dataset!E814))</f>
        <v>2</v>
      </c>
      <c r="F814" s="10">
        <f>VALUE(TRIM(Dataset!F814))</f>
        <v>255.26</v>
      </c>
      <c r="G814" s="6" t="str">
        <f>TRIM(Dataset!G814)</f>
        <v>803 Main St</v>
      </c>
      <c r="H814" s="6" t="str">
        <f>TRIM(Dataset!H814)</f>
        <v>Credit Card</v>
      </c>
      <c r="I814" s="6" t="str">
        <f>TRIM(Dataset!I814)</f>
        <v>Cancelled</v>
      </c>
      <c r="J814" s="6" t="str">
        <f>TRIM(Dataset!J814)</f>
        <v>TRK88437123</v>
      </c>
      <c r="K814" s="8" t="str">
        <f>TRIM(Dataset!K814)</f>
        <v>6</v>
      </c>
      <c r="L814" s="6" t="str">
        <f>Dataset!L814</f>
        <v>FREESHIP</v>
      </c>
      <c r="M814" s="6" t="str">
        <f>TRIM(Dataset!M814)</f>
        <v>Google</v>
      </c>
      <c r="N814" s="10">
        <f>VALUE(TRIM(Dataset!N814))</f>
        <v>510.52</v>
      </c>
    </row>
    <row r="815" spans="1:14" x14ac:dyDescent="0.35">
      <c r="A815" s="6" t="str">
        <f>TRIM(Dataset!A815)</f>
        <v>ORD200813</v>
      </c>
      <c r="B815" s="4">
        <f>Dataset!B815</f>
        <v>45731</v>
      </c>
      <c r="C815" s="6" t="str">
        <f>TRIM(Dataset!C815)</f>
        <v>C12813</v>
      </c>
      <c r="D815" s="6" t="str">
        <f>TRIM(Dataset!D815)</f>
        <v>Laptop</v>
      </c>
      <c r="E815" s="13">
        <f>VALUE(TRIM(Dataset!E815))</f>
        <v>5</v>
      </c>
      <c r="F815" s="10">
        <f>VALUE(TRIM(Dataset!F815))</f>
        <v>292.54000000000002</v>
      </c>
      <c r="G815" s="6" t="str">
        <f>TRIM(Dataset!G815)</f>
        <v>263 Main St</v>
      </c>
      <c r="H815" s="6" t="str">
        <f>TRIM(Dataset!H815)</f>
        <v>Debit Card</v>
      </c>
      <c r="I815" s="6" t="str">
        <f>TRIM(Dataset!I815)</f>
        <v>Cancelled</v>
      </c>
      <c r="J815" s="6" t="str">
        <f>TRIM(Dataset!J815)</f>
        <v>TRK36131660</v>
      </c>
      <c r="K815" s="8" t="str">
        <f>TRIM(Dataset!K815)</f>
        <v>8</v>
      </c>
      <c r="L815" s="6" t="str">
        <f>Dataset!L815</f>
        <v>FREESHIP</v>
      </c>
      <c r="M815" s="6" t="str">
        <f>TRIM(Dataset!M815)</f>
        <v>Email</v>
      </c>
      <c r="N815" s="10">
        <f>VALUE(TRIM(Dataset!N815))</f>
        <v>1462.7</v>
      </c>
    </row>
    <row r="816" spans="1:14" x14ac:dyDescent="0.35">
      <c r="A816" s="6" t="str">
        <f>TRIM(Dataset!A816)</f>
        <v>ORD200814</v>
      </c>
      <c r="B816" s="4">
        <f>Dataset!B816</f>
        <v>45637</v>
      </c>
      <c r="C816" s="6" t="str">
        <f>TRIM(Dataset!C816)</f>
        <v>C50732</v>
      </c>
      <c r="D816" s="6" t="str">
        <f>TRIM(Dataset!D816)</f>
        <v>Chair</v>
      </c>
      <c r="E816" s="13">
        <f>VALUE(TRIM(Dataset!E816))</f>
        <v>4</v>
      </c>
      <c r="F816" s="10">
        <f>VALUE(TRIM(Dataset!F816))</f>
        <v>147.51</v>
      </c>
      <c r="G816" s="6" t="str">
        <f>TRIM(Dataset!G816)</f>
        <v>979 Main St</v>
      </c>
      <c r="H816" s="6" t="str">
        <f>TRIM(Dataset!H816)</f>
        <v>Debit Card</v>
      </c>
      <c r="I816" s="6" t="str">
        <f>TRIM(Dataset!I816)</f>
        <v>Pending</v>
      </c>
      <c r="J816" s="6" t="str">
        <f>TRIM(Dataset!J816)</f>
        <v>TRK21082461</v>
      </c>
      <c r="K816" s="8" t="str">
        <f>TRIM(Dataset!K816)</f>
        <v>4</v>
      </c>
      <c r="L816" s="6" t="str">
        <f>Dataset!L816</f>
        <v>WINTER15</v>
      </c>
      <c r="M816" s="6" t="str">
        <f>TRIM(Dataset!M816)</f>
        <v>Instagram</v>
      </c>
      <c r="N816" s="10">
        <f>VALUE(TRIM(Dataset!N816))</f>
        <v>590.04</v>
      </c>
    </row>
    <row r="817" spans="1:14" x14ac:dyDescent="0.35">
      <c r="A817" s="6" t="str">
        <f>TRIM(Dataset!A817)</f>
        <v>ORD200815</v>
      </c>
      <c r="B817" s="4">
        <f>Dataset!B817</f>
        <v>45508</v>
      </c>
      <c r="C817" s="6" t="str">
        <f>TRIM(Dataset!C817)</f>
        <v>C41320</v>
      </c>
      <c r="D817" s="6" t="str">
        <f>TRIM(Dataset!D817)</f>
        <v>Printer</v>
      </c>
      <c r="E817" s="13">
        <f>VALUE(TRIM(Dataset!E817))</f>
        <v>3</v>
      </c>
      <c r="F817" s="10">
        <f>VALUE(TRIM(Dataset!F817))</f>
        <v>569.84</v>
      </c>
      <c r="G817" s="6" t="str">
        <f>TRIM(Dataset!G817)</f>
        <v>920 Main St</v>
      </c>
      <c r="H817" s="6" t="str">
        <f>TRIM(Dataset!H817)</f>
        <v>Gift Card</v>
      </c>
      <c r="I817" s="6" t="str">
        <f>TRIM(Dataset!I817)</f>
        <v>Cancelled</v>
      </c>
      <c r="J817" s="6" t="str">
        <f>TRIM(Dataset!J817)</f>
        <v>TRK77539180</v>
      </c>
      <c r="K817" s="8" t="str">
        <f>TRIM(Dataset!K817)</f>
        <v>8</v>
      </c>
      <c r="L817" s="6" t="str">
        <f>Dataset!L817</f>
        <v>WINTER15</v>
      </c>
      <c r="M817" s="6" t="str">
        <f>TRIM(Dataset!M817)</f>
        <v>Instagram</v>
      </c>
      <c r="N817" s="10">
        <f>VALUE(TRIM(Dataset!N817))</f>
        <v>1709.52</v>
      </c>
    </row>
    <row r="818" spans="1:14" x14ac:dyDescent="0.35">
      <c r="A818" s="6" t="str">
        <f>TRIM(Dataset!A818)</f>
        <v>ORD200816</v>
      </c>
      <c r="B818" s="4">
        <f>Dataset!B818</f>
        <v>45343</v>
      </c>
      <c r="C818" s="6" t="str">
        <f>TRIM(Dataset!C818)</f>
        <v>C55286</v>
      </c>
      <c r="D818" s="6" t="str">
        <f>TRIM(Dataset!D818)</f>
        <v>Tablet</v>
      </c>
      <c r="E818" s="13">
        <f>VALUE(TRIM(Dataset!E818))</f>
        <v>5</v>
      </c>
      <c r="F818" s="10">
        <f>VALUE(TRIM(Dataset!F818))</f>
        <v>574.79</v>
      </c>
      <c r="G818" s="6" t="str">
        <f>TRIM(Dataset!G818)</f>
        <v>497 Main St</v>
      </c>
      <c r="H818" s="6" t="str">
        <f>TRIM(Dataset!H818)</f>
        <v>Credit Card</v>
      </c>
      <c r="I818" s="6" t="str">
        <f>TRIM(Dataset!I818)</f>
        <v>Pending</v>
      </c>
      <c r="J818" s="6" t="str">
        <f>TRIM(Dataset!J818)</f>
        <v>TRK39058734</v>
      </c>
      <c r="K818" s="8" t="str">
        <f>TRIM(Dataset!K818)</f>
        <v>8</v>
      </c>
      <c r="L818" s="6" t="str">
        <f>Dataset!L818</f>
        <v>WINTER15</v>
      </c>
      <c r="M818" s="6" t="str">
        <f>TRIM(Dataset!M818)</f>
        <v>Referral</v>
      </c>
      <c r="N818" s="10">
        <f>VALUE(TRIM(Dataset!N818))</f>
        <v>2873.95</v>
      </c>
    </row>
    <row r="819" spans="1:14" x14ac:dyDescent="0.35">
      <c r="A819" s="6" t="str">
        <f>TRIM(Dataset!A819)</f>
        <v>ORD200817</v>
      </c>
      <c r="B819" s="4">
        <f>Dataset!B819</f>
        <v>45204</v>
      </c>
      <c r="C819" s="6" t="str">
        <f>TRIM(Dataset!C819)</f>
        <v>C87994</v>
      </c>
      <c r="D819" s="6" t="str">
        <f>TRIM(Dataset!D819)</f>
        <v>Chair</v>
      </c>
      <c r="E819" s="13">
        <f>VALUE(TRIM(Dataset!E819))</f>
        <v>4</v>
      </c>
      <c r="F819" s="10">
        <f>VALUE(TRIM(Dataset!F819))</f>
        <v>598.19000000000005</v>
      </c>
      <c r="G819" s="6" t="str">
        <f>TRIM(Dataset!G819)</f>
        <v>430 Main St</v>
      </c>
      <c r="H819" s="6" t="str">
        <f>TRIM(Dataset!H819)</f>
        <v>Credit Card</v>
      </c>
      <c r="I819" s="6" t="str">
        <f>TRIM(Dataset!I819)</f>
        <v>Delivered</v>
      </c>
      <c r="J819" s="6" t="str">
        <f>TRIM(Dataset!J819)</f>
        <v>TRK98883971</v>
      </c>
      <c r="K819" s="8" t="str">
        <f>TRIM(Dataset!K819)</f>
        <v>7</v>
      </c>
      <c r="L819" s="6" t="str">
        <f>Dataset!L819</f>
        <v>WINTER15</v>
      </c>
      <c r="M819" s="6" t="str">
        <f>TRIM(Dataset!M819)</f>
        <v>Email</v>
      </c>
      <c r="N819" s="10">
        <f>VALUE(TRIM(Dataset!N819))</f>
        <v>2392.7600000000002</v>
      </c>
    </row>
    <row r="820" spans="1:14" x14ac:dyDescent="0.35">
      <c r="A820" s="6" t="str">
        <f>TRIM(Dataset!A820)</f>
        <v>ORD200818</v>
      </c>
      <c r="B820" s="4">
        <f>Dataset!B820</f>
        <v>44987</v>
      </c>
      <c r="C820" s="6" t="str">
        <f>TRIM(Dataset!C820)</f>
        <v>C25580</v>
      </c>
      <c r="D820" s="6" t="str">
        <f>TRIM(Dataset!D820)</f>
        <v>Phone</v>
      </c>
      <c r="E820" s="13">
        <f>VALUE(TRIM(Dataset!E820))</f>
        <v>4</v>
      </c>
      <c r="F820" s="10">
        <f>VALUE(TRIM(Dataset!F820))</f>
        <v>390.84</v>
      </c>
      <c r="G820" s="6" t="str">
        <f>TRIM(Dataset!G820)</f>
        <v>860 Main St</v>
      </c>
      <c r="H820" s="6" t="str">
        <f>TRIM(Dataset!H820)</f>
        <v>Credit Card</v>
      </c>
      <c r="I820" s="6" t="str">
        <f>TRIM(Dataset!I820)</f>
        <v>Cancelled</v>
      </c>
      <c r="J820" s="6" t="str">
        <f>TRIM(Dataset!J820)</f>
        <v>TRK58781638</v>
      </c>
      <c r="K820" s="8" t="str">
        <f>TRIM(Dataset!K820)</f>
        <v>9</v>
      </c>
      <c r="L820" s="6" t="str">
        <f>Dataset!L820</f>
        <v>WINTER15</v>
      </c>
      <c r="M820" s="6" t="str">
        <f>TRIM(Dataset!M820)</f>
        <v>Referral</v>
      </c>
      <c r="N820" s="10">
        <f>VALUE(TRIM(Dataset!N820))</f>
        <v>1563.36</v>
      </c>
    </row>
    <row r="821" spans="1:14" x14ac:dyDescent="0.35">
      <c r="A821" s="6" t="str">
        <f>TRIM(Dataset!A821)</f>
        <v>ORD200819</v>
      </c>
      <c r="B821" s="4">
        <f>Dataset!B821</f>
        <v>45563</v>
      </c>
      <c r="C821" s="6" t="str">
        <f>TRIM(Dataset!C821)</f>
        <v>C66196</v>
      </c>
      <c r="D821" s="6" t="str">
        <f>TRIM(Dataset!D821)</f>
        <v>Phone</v>
      </c>
      <c r="E821" s="13">
        <f>VALUE(TRIM(Dataset!E821))</f>
        <v>2</v>
      </c>
      <c r="F821" s="10">
        <f>VALUE(TRIM(Dataset!F821))</f>
        <v>398.45</v>
      </c>
      <c r="G821" s="6" t="str">
        <f>TRIM(Dataset!G821)</f>
        <v>650 Main St</v>
      </c>
      <c r="H821" s="6" t="str">
        <f>TRIM(Dataset!H821)</f>
        <v>Debit Card</v>
      </c>
      <c r="I821" s="6" t="str">
        <f>TRIM(Dataset!I821)</f>
        <v>Cancelled</v>
      </c>
      <c r="J821" s="6" t="str">
        <f>TRIM(Dataset!J821)</f>
        <v>TRK38104650</v>
      </c>
      <c r="K821" s="8" t="str">
        <f>TRIM(Dataset!K821)</f>
        <v>7</v>
      </c>
      <c r="L821" s="6" t="str">
        <f>Dataset!L821</f>
        <v>SAVE10</v>
      </c>
      <c r="M821" s="6" t="str">
        <f>TRIM(Dataset!M821)</f>
        <v>Google</v>
      </c>
      <c r="N821" s="10">
        <f>VALUE(TRIM(Dataset!N821))</f>
        <v>796.9</v>
      </c>
    </row>
    <row r="822" spans="1:14" x14ac:dyDescent="0.35">
      <c r="A822" s="6" t="str">
        <f>TRIM(Dataset!A822)</f>
        <v>ORD200820</v>
      </c>
      <c r="B822" s="4">
        <f>Dataset!B822</f>
        <v>45073</v>
      </c>
      <c r="C822" s="6" t="str">
        <f>TRIM(Dataset!C822)</f>
        <v>C35377</v>
      </c>
      <c r="D822" s="6" t="str">
        <f>TRIM(Dataset!D822)</f>
        <v>Phone</v>
      </c>
      <c r="E822" s="13">
        <f>VALUE(TRIM(Dataset!E822))</f>
        <v>5</v>
      </c>
      <c r="F822" s="10">
        <f>VALUE(TRIM(Dataset!F822))</f>
        <v>623.80999999999995</v>
      </c>
      <c r="G822" s="6" t="str">
        <f>TRIM(Dataset!G822)</f>
        <v>171 Main St</v>
      </c>
      <c r="H822" s="6" t="str">
        <f>TRIM(Dataset!H822)</f>
        <v>Cash</v>
      </c>
      <c r="I822" s="6" t="str">
        <f>TRIM(Dataset!I822)</f>
        <v>Returned</v>
      </c>
      <c r="J822" s="6" t="str">
        <f>TRIM(Dataset!J822)</f>
        <v>TRK17342157</v>
      </c>
      <c r="K822" s="8" t="str">
        <f>TRIM(Dataset!K822)</f>
        <v>6</v>
      </c>
      <c r="L822" s="6" t="str">
        <f>Dataset!L822</f>
        <v>FREESHIP</v>
      </c>
      <c r="M822" s="6" t="str">
        <f>TRIM(Dataset!M822)</f>
        <v>Email</v>
      </c>
      <c r="N822" s="10">
        <f>VALUE(TRIM(Dataset!N822))</f>
        <v>3119.05</v>
      </c>
    </row>
    <row r="823" spans="1:14" x14ac:dyDescent="0.35">
      <c r="A823" s="6" t="str">
        <f>TRIM(Dataset!A823)</f>
        <v>ORD200821</v>
      </c>
      <c r="B823" s="4">
        <f>Dataset!B823</f>
        <v>45640</v>
      </c>
      <c r="C823" s="6" t="str">
        <f>TRIM(Dataset!C823)</f>
        <v>C40771</v>
      </c>
      <c r="D823" s="6" t="str">
        <f>TRIM(Dataset!D823)</f>
        <v>Laptop</v>
      </c>
      <c r="E823" s="13">
        <f>VALUE(TRIM(Dataset!E823))</f>
        <v>4</v>
      </c>
      <c r="F823" s="10">
        <f>VALUE(TRIM(Dataset!F823))</f>
        <v>174.49</v>
      </c>
      <c r="G823" s="6" t="str">
        <f>TRIM(Dataset!G823)</f>
        <v>259 Main St</v>
      </c>
      <c r="H823" s="6" t="str">
        <f>TRIM(Dataset!H823)</f>
        <v>Credit Card</v>
      </c>
      <c r="I823" s="6" t="str">
        <f>TRIM(Dataset!I823)</f>
        <v>Delivered</v>
      </c>
      <c r="J823" s="6" t="str">
        <f>TRIM(Dataset!J823)</f>
        <v>TRK56310345</v>
      </c>
      <c r="K823" s="8" t="str">
        <f>TRIM(Dataset!K823)</f>
        <v>5</v>
      </c>
      <c r="L823" s="6" t="str">
        <f>Dataset!L823</f>
        <v>SAVE10</v>
      </c>
      <c r="M823" s="6" t="str">
        <f>TRIM(Dataset!M823)</f>
        <v>Facebook</v>
      </c>
      <c r="N823" s="10">
        <f>VALUE(TRIM(Dataset!N823))</f>
        <v>697.96</v>
      </c>
    </row>
    <row r="824" spans="1:14" x14ac:dyDescent="0.35">
      <c r="A824" s="6" t="str">
        <f>TRIM(Dataset!A824)</f>
        <v>ORD200822</v>
      </c>
      <c r="B824" s="4">
        <f>Dataset!B824</f>
        <v>45731</v>
      </c>
      <c r="C824" s="6" t="str">
        <f>TRIM(Dataset!C824)</f>
        <v>C20624</v>
      </c>
      <c r="D824" s="6" t="str">
        <f>TRIM(Dataset!D824)</f>
        <v>Phone</v>
      </c>
      <c r="E824" s="13">
        <f>VALUE(TRIM(Dataset!E824))</f>
        <v>1</v>
      </c>
      <c r="F824" s="10">
        <f>VALUE(TRIM(Dataset!F824))</f>
        <v>479.56</v>
      </c>
      <c r="G824" s="6" t="str">
        <f>TRIM(Dataset!G824)</f>
        <v>923 Main St</v>
      </c>
      <c r="H824" s="6" t="str">
        <f>TRIM(Dataset!H824)</f>
        <v>Gift Card</v>
      </c>
      <c r="I824" s="6" t="str">
        <f>TRIM(Dataset!I824)</f>
        <v>Returned</v>
      </c>
      <c r="J824" s="6" t="str">
        <f>TRIM(Dataset!J824)</f>
        <v>TRK45123395</v>
      </c>
      <c r="K824" s="8" t="str">
        <f>TRIM(Dataset!K824)</f>
        <v>1</v>
      </c>
      <c r="L824" s="6" t="str">
        <f>Dataset!L824</f>
        <v>SAVE10</v>
      </c>
      <c r="M824" s="6" t="str">
        <f>TRIM(Dataset!M824)</f>
        <v>Google</v>
      </c>
      <c r="N824" s="10">
        <f>VALUE(TRIM(Dataset!N824))</f>
        <v>479.56</v>
      </c>
    </row>
    <row r="825" spans="1:14" x14ac:dyDescent="0.35">
      <c r="A825" s="6" t="str">
        <f>TRIM(Dataset!A825)</f>
        <v>ORD200823</v>
      </c>
      <c r="B825" s="4">
        <f>Dataset!B825</f>
        <v>45572</v>
      </c>
      <c r="C825" s="6" t="str">
        <f>TRIM(Dataset!C825)</f>
        <v>C27070</v>
      </c>
      <c r="D825" s="6" t="str">
        <f>TRIM(Dataset!D825)</f>
        <v>Laptop</v>
      </c>
      <c r="E825" s="13">
        <f>VALUE(TRIM(Dataset!E825))</f>
        <v>4</v>
      </c>
      <c r="F825" s="10">
        <f>VALUE(TRIM(Dataset!F825))</f>
        <v>653.13</v>
      </c>
      <c r="G825" s="6" t="str">
        <f>TRIM(Dataset!G825)</f>
        <v>973 Main St</v>
      </c>
      <c r="H825" s="6" t="str">
        <f>TRIM(Dataset!H825)</f>
        <v>Credit Card</v>
      </c>
      <c r="I825" s="6" t="str">
        <f>TRIM(Dataset!I825)</f>
        <v>Shipped</v>
      </c>
      <c r="J825" s="6" t="str">
        <f>TRIM(Dataset!J825)</f>
        <v>TRK83842481</v>
      </c>
      <c r="K825" s="8" t="str">
        <f>TRIM(Dataset!K825)</f>
        <v>8</v>
      </c>
      <c r="L825" s="6" t="str">
        <f>Dataset!L825</f>
        <v>WINTER15</v>
      </c>
      <c r="M825" s="6" t="str">
        <f>TRIM(Dataset!M825)</f>
        <v>Instagram</v>
      </c>
      <c r="N825" s="10">
        <f>VALUE(TRIM(Dataset!N825))</f>
        <v>2612.52</v>
      </c>
    </row>
    <row r="826" spans="1:14" x14ac:dyDescent="0.35">
      <c r="A826" s="6" t="str">
        <f>TRIM(Dataset!A826)</f>
        <v>ORD200824</v>
      </c>
      <c r="B826" s="4">
        <f>Dataset!B826</f>
        <v>45167</v>
      </c>
      <c r="C826" s="6" t="str">
        <f>TRIM(Dataset!C826)</f>
        <v>C18826</v>
      </c>
      <c r="D826" s="6" t="str">
        <f>TRIM(Dataset!D826)</f>
        <v>Monitor</v>
      </c>
      <c r="E826" s="13">
        <f>VALUE(TRIM(Dataset!E826))</f>
        <v>3</v>
      </c>
      <c r="F826" s="10">
        <f>VALUE(TRIM(Dataset!F826))</f>
        <v>481.1</v>
      </c>
      <c r="G826" s="6" t="str">
        <f>TRIM(Dataset!G826)</f>
        <v>664 Main St</v>
      </c>
      <c r="H826" s="6" t="str">
        <f>TRIM(Dataset!H826)</f>
        <v>Credit Card</v>
      </c>
      <c r="I826" s="6" t="str">
        <f>TRIM(Dataset!I826)</f>
        <v>Returned</v>
      </c>
      <c r="J826" s="6" t="str">
        <f>TRIM(Dataset!J826)</f>
        <v>TRK12530495</v>
      </c>
      <c r="K826" s="8" t="str">
        <f>TRIM(Dataset!K826)</f>
        <v>3</v>
      </c>
      <c r="L826" s="6" t="str">
        <f>Dataset!L826</f>
        <v>FREESHIP</v>
      </c>
      <c r="M826" s="6" t="str">
        <f>TRIM(Dataset!M826)</f>
        <v>Facebook</v>
      </c>
      <c r="N826" s="10">
        <f>VALUE(TRIM(Dataset!N826))</f>
        <v>1443.3</v>
      </c>
    </row>
    <row r="827" spans="1:14" x14ac:dyDescent="0.35">
      <c r="A827" s="6" t="str">
        <f>TRIM(Dataset!A827)</f>
        <v>ORD200825</v>
      </c>
      <c r="B827" s="4">
        <f>Dataset!B827</f>
        <v>45742</v>
      </c>
      <c r="C827" s="6" t="str">
        <f>TRIM(Dataset!C827)</f>
        <v>C23899</v>
      </c>
      <c r="D827" s="6" t="str">
        <f>TRIM(Dataset!D827)</f>
        <v>Desk</v>
      </c>
      <c r="E827" s="13">
        <f>VALUE(TRIM(Dataset!E827))</f>
        <v>5</v>
      </c>
      <c r="F827" s="10">
        <f>VALUE(TRIM(Dataset!F827))</f>
        <v>271.69</v>
      </c>
      <c r="G827" s="6" t="str">
        <f>TRIM(Dataset!G827)</f>
        <v>543 Main St</v>
      </c>
      <c r="H827" s="6" t="str">
        <f>TRIM(Dataset!H827)</f>
        <v>Online</v>
      </c>
      <c r="I827" s="6" t="str">
        <f>TRIM(Dataset!I827)</f>
        <v>Returned</v>
      </c>
      <c r="J827" s="6" t="str">
        <f>TRIM(Dataset!J827)</f>
        <v>TRK88914760</v>
      </c>
      <c r="K827" s="8" t="str">
        <f>TRIM(Dataset!K827)</f>
        <v>7</v>
      </c>
      <c r="L827" s="6" t="str">
        <f>Dataset!L827</f>
        <v>FREESHIP</v>
      </c>
      <c r="M827" s="6" t="str">
        <f>TRIM(Dataset!M827)</f>
        <v>Instagram</v>
      </c>
      <c r="N827" s="10">
        <f>VALUE(TRIM(Dataset!N827))</f>
        <v>1358.45</v>
      </c>
    </row>
    <row r="828" spans="1:14" x14ac:dyDescent="0.35">
      <c r="A828" s="6" t="str">
        <f>TRIM(Dataset!A828)</f>
        <v>ORD200826</v>
      </c>
      <c r="B828" s="4">
        <f>Dataset!B828</f>
        <v>45724</v>
      </c>
      <c r="C828" s="6" t="str">
        <f>TRIM(Dataset!C828)</f>
        <v>C43249</v>
      </c>
      <c r="D828" s="6" t="str">
        <f>TRIM(Dataset!D828)</f>
        <v>Printer</v>
      </c>
      <c r="E828" s="13">
        <f>VALUE(TRIM(Dataset!E828))</f>
        <v>3</v>
      </c>
      <c r="F828" s="10">
        <f>VALUE(TRIM(Dataset!F828))</f>
        <v>463.81</v>
      </c>
      <c r="G828" s="6" t="str">
        <f>TRIM(Dataset!G828)</f>
        <v>283 Main St</v>
      </c>
      <c r="H828" s="6" t="str">
        <f>TRIM(Dataset!H828)</f>
        <v>Online</v>
      </c>
      <c r="I828" s="6" t="str">
        <f>TRIM(Dataset!I828)</f>
        <v>Returned</v>
      </c>
      <c r="J828" s="6" t="str">
        <f>TRIM(Dataset!J828)</f>
        <v>TRK32469820</v>
      </c>
      <c r="K828" s="8" t="str">
        <f>TRIM(Dataset!K828)</f>
        <v>8</v>
      </c>
      <c r="L828" s="6" t="str">
        <f>Dataset!L828</f>
        <v>WINTER15</v>
      </c>
      <c r="M828" s="6" t="str">
        <f>TRIM(Dataset!M828)</f>
        <v>Email</v>
      </c>
      <c r="N828" s="10">
        <f>VALUE(TRIM(Dataset!N828))</f>
        <v>1391.43</v>
      </c>
    </row>
    <row r="829" spans="1:14" x14ac:dyDescent="0.35">
      <c r="A829" s="6" t="str">
        <f>TRIM(Dataset!A829)</f>
        <v>ORD200827</v>
      </c>
      <c r="B829" s="4">
        <f>Dataset!B829</f>
        <v>45071</v>
      </c>
      <c r="C829" s="6" t="str">
        <f>TRIM(Dataset!C829)</f>
        <v>C95856</v>
      </c>
      <c r="D829" s="6" t="str">
        <f>TRIM(Dataset!D829)</f>
        <v>Tablet</v>
      </c>
      <c r="E829" s="13">
        <f>VALUE(TRIM(Dataset!E829))</f>
        <v>2</v>
      </c>
      <c r="F829" s="10">
        <f>VALUE(TRIM(Dataset!F829))</f>
        <v>639.88</v>
      </c>
      <c r="G829" s="6" t="str">
        <f>TRIM(Dataset!G829)</f>
        <v>432 Main St</v>
      </c>
      <c r="H829" s="6" t="str">
        <f>TRIM(Dataset!H829)</f>
        <v>Cash</v>
      </c>
      <c r="I829" s="6" t="str">
        <f>TRIM(Dataset!I829)</f>
        <v>Delivered</v>
      </c>
      <c r="J829" s="6" t="str">
        <f>TRIM(Dataset!J829)</f>
        <v>TRK58829625</v>
      </c>
      <c r="K829" s="8" t="str">
        <f>TRIM(Dataset!K829)</f>
        <v>5</v>
      </c>
      <c r="L829" s="6" t="str">
        <f>Dataset!L829</f>
        <v>WINTER15</v>
      </c>
      <c r="M829" s="6" t="str">
        <f>TRIM(Dataset!M829)</f>
        <v>Instagram</v>
      </c>
      <c r="N829" s="10">
        <f>VALUE(TRIM(Dataset!N829))</f>
        <v>1279.76</v>
      </c>
    </row>
    <row r="830" spans="1:14" x14ac:dyDescent="0.35">
      <c r="A830" s="6" t="str">
        <f>TRIM(Dataset!A830)</f>
        <v>ORD200828</v>
      </c>
      <c r="B830" s="4">
        <f>Dataset!B830</f>
        <v>45497</v>
      </c>
      <c r="C830" s="6" t="str">
        <f>TRIM(Dataset!C830)</f>
        <v>C86266</v>
      </c>
      <c r="D830" s="6" t="str">
        <f>TRIM(Dataset!D830)</f>
        <v>Chair</v>
      </c>
      <c r="E830" s="13">
        <f>VALUE(TRIM(Dataset!E830))</f>
        <v>4</v>
      </c>
      <c r="F830" s="10">
        <f>VALUE(TRIM(Dataset!F830))</f>
        <v>404.58</v>
      </c>
      <c r="G830" s="6" t="str">
        <f>TRIM(Dataset!G830)</f>
        <v>510 Main St</v>
      </c>
      <c r="H830" s="6" t="str">
        <f>TRIM(Dataset!H830)</f>
        <v>Cash</v>
      </c>
      <c r="I830" s="6" t="str">
        <f>TRIM(Dataset!I830)</f>
        <v>Shipped</v>
      </c>
      <c r="J830" s="6" t="str">
        <f>TRIM(Dataset!J830)</f>
        <v>TRK64576020</v>
      </c>
      <c r="K830" s="8" t="str">
        <f>TRIM(Dataset!K830)</f>
        <v>5</v>
      </c>
      <c r="L830" s="6" t="str">
        <f>Dataset!L830</f>
        <v>FREESHIP</v>
      </c>
      <c r="M830" s="6" t="str">
        <f>TRIM(Dataset!M830)</f>
        <v>Instagram</v>
      </c>
      <c r="N830" s="10">
        <f>VALUE(TRIM(Dataset!N830))</f>
        <v>1618.32</v>
      </c>
    </row>
    <row r="831" spans="1:14" x14ac:dyDescent="0.35">
      <c r="A831" s="6" t="str">
        <f>TRIM(Dataset!A831)</f>
        <v>ORD200829</v>
      </c>
      <c r="B831" s="4">
        <f>Dataset!B831</f>
        <v>44962</v>
      </c>
      <c r="C831" s="6" t="str">
        <f>TRIM(Dataset!C831)</f>
        <v>C39551</v>
      </c>
      <c r="D831" s="6" t="str">
        <f>TRIM(Dataset!D831)</f>
        <v>Monitor</v>
      </c>
      <c r="E831" s="13">
        <f>VALUE(TRIM(Dataset!E831))</f>
        <v>1</v>
      </c>
      <c r="F831" s="10">
        <f>VALUE(TRIM(Dataset!F831))</f>
        <v>76.930000000000007</v>
      </c>
      <c r="G831" s="6" t="str">
        <f>TRIM(Dataset!G831)</f>
        <v>685 Main St</v>
      </c>
      <c r="H831" s="6" t="str">
        <f>TRIM(Dataset!H831)</f>
        <v>Debit Card</v>
      </c>
      <c r="I831" s="6" t="str">
        <f>TRIM(Dataset!I831)</f>
        <v>Delivered</v>
      </c>
      <c r="J831" s="6" t="str">
        <f>TRIM(Dataset!J831)</f>
        <v>TRK68358007</v>
      </c>
      <c r="K831" s="8" t="str">
        <f>TRIM(Dataset!K831)</f>
        <v>6</v>
      </c>
      <c r="L831" s="6" t="str">
        <f>Dataset!L831</f>
        <v>WINTER15</v>
      </c>
      <c r="M831" s="6" t="str">
        <f>TRIM(Dataset!M831)</f>
        <v>Instagram</v>
      </c>
      <c r="N831" s="10">
        <f>VALUE(TRIM(Dataset!N831))</f>
        <v>76.930000000000007</v>
      </c>
    </row>
    <row r="832" spans="1:14" x14ac:dyDescent="0.35">
      <c r="A832" s="6" t="str">
        <f>TRIM(Dataset!A832)</f>
        <v>ORD200830</v>
      </c>
      <c r="B832" s="4">
        <f>Dataset!B832</f>
        <v>45637</v>
      </c>
      <c r="C832" s="6" t="str">
        <f>TRIM(Dataset!C832)</f>
        <v>C90310</v>
      </c>
      <c r="D832" s="6" t="str">
        <f>TRIM(Dataset!D832)</f>
        <v>Tablet</v>
      </c>
      <c r="E832" s="13">
        <f>VALUE(TRIM(Dataset!E832))</f>
        <v>4</v>
      </c>
      <c r="F832" s="10">
        <f>VALUE(TRIM(Dataset!F832))</f>
        <v>190.64</v>
      </c>
      <c r="G832" s="6" t="str">
        <f>TRIM(Dataset!G832)</f>
        <v>853 Main St</v>
      </c>
      <c r="H832" s="6" t="str">
        <f>TRIM(Dataset!H832)</f>
        <v>Cash</v>
      </c>
      <c r="I832" s="6" t="str">
        <f>TRIM(Dataset!I832)</f>
        <v>Delivered</v>
      </c>
      <c r="J832" s="6" t="str">
        <f>TRIM(Dataset!J832)</f>
        <v>TRK70028457</v>
      </c>
      <c r="K832" s="8" t="str">
        <f>TRIM(Dataset!K832)</f>
        <v>5</v>
      </c>
      <c r="L832" s="6" t="str">
        <f>Dataset!L832</f>
        <v>SAVE10</v>
      </c>
      <c r="M832" s="6" t="str">
        <f>TRIM(Dataset!M832)</f>
        <v>Email</v>
      </c>
      <c r="N832" s="10">
        <f>VALUE(TRIM(Dataset!N832))</f>
        <v>762.56</v>
      </c>
    </row>
    <row r="833" spans="1:14" x14ac:dyDescent="0.35">
      <c r="A833" s="6" t="str">
        <f>TRIM(Dataset!A833)</f>
        <v>ORD200831</v>
      </c>
      <c r="B833" s="4">
        <f>Dataset!B833</f>
        <v>45278</v>
      </c>
      <c r="C833" s="6" t="str">
        <f>TRIM(Dataset!C833)</f>
        <v>C20124</v>
      </c>
      <c r="D833" s="6" t="str">
        <f>TRIM(Dataset!D833)</f>
        <v>Printer</v>
      </c>
      <c r="E833" s="13">
        <f>VALUE(TRIM(Dataset!E833))</f>
        <v>2</v>
      </c>
      <c r="F833" s="10">
        <f>VALUE(TRIM(Dataset!F833))</f>
        <v>88.73</v>
      </c>
      <c r="G833" s="6" t="str">
        <f>TRIM(Dataset!G833)</f>
        <v>140 Main St</v>
      </c>
      <c r="H833" s="6" t="str">
        <f>TRIM(Dataset!H833)</f>
        <v>Online</v>
      </c>
      <c r="I833" s="6" t="str">
        <f>TRIM(Dataset!I833)</f>
        <v>Pending</v>
      </c>
      <c r="J833" s="6" t="str">
        <f>TRIM(Dataset!J833)</f>
        <v>TRK61346824</v>
      </c>
      <c r="K833" s="8" t="str">
        <f>TRIM(Dataset!K833)</f>
        <v>5</v>
      </c>
      <c r="L833" s="6" t="s">
        <v>4284</v>
      </c>
      <c r="M833" s="6" t="str">
        <f>TRIM(Dataset!M833)</f>
        <v>Google</v>
      </c>
      <c r="N833" s="10">
        <f>VALUE(TRIM(Dataset!N833))</f>
        <v>177.46</v>
      </c>
    </row>
    <row r="834" spans="1:14" x14ac:dyDescent="0.35">
      <c r="A834" s="6" t="str">
        <f>TRIM(Dataset!A834)</f>
        <v>ORD200832</v>
      </c>
      <c r="B834" s="4">
        <f>Dataset!B834</f>
        <v>45363</v>
      </c>
      <c r="C834" s="6" t="str">
        <f>TRIM(Dataset!C834)</f>
        <v>C63372</v>
      </c>
      <c r="D834" s="6" t="str">
        <f>TRIM(Dataset!D834)</f>
        <v>Chair</v>
      </c>
      <c r="E834" s="13">
        <f>VALUE(TRIM(Dataset!E834))</f>
        <v>5</v>
      </c>
      <c r="F834" s="10">
        <f>VALUE(TRIM(Dataset!F834))</f>
        <v>485.71</v>
      </c>
      <c r="G834" s="6" t="str">
        <f>TRIM(Dataset!G834)</f>
        <v>903 Main St</v>
      </c>
      <c r="H834" s="6" t="str">
        <f>TRIM(Dataset!H834)</f>
        <v>Online</v>
      </c>
      <c r="I834" s="6" t="str">
        <f>TRIM(Dataset!I834)</f>
        <v>Pending</v>
      </c>
      <c r="J834" s="6" t="str">
        <f>TRIM(Dataset!J834)</f>
        <v>TRK14661811</v>
      </c>
      <c r="K834" s="8" t="str">
        <f>TRIM(Dataset!K834)</f>
        <v>10</v>
      </c>
      <c r="L834" s="6" t="str">
        <f>Dataset!L834</f>
        <v>SAVE10</v>
      </c>
      <c r="M834" s="6" t="str">
        <f>TRIM(Dataset!M834)</f>
        <v>Referral</v>
      </c>
      <c r="N834" s="10">
        <f>VALUE(TRIM(Dataset!N834))</f>
        <v>2428.5500000000002</v>
      </c>
    </row>
    <row r="835" spans="1:14" x14ac:dyDescent="0.35">
      <c r="A835" s="6" t="str">
        <f>TRIM(Dataset!A835)</f>
        <v>ORD200833</v>
      </c>
      <c r="B835" s="4">
        <f>Dataset!B835</f>
        <v>45730</v>
      </c>
      <c r="C835" s="6" t="str">
        <f>TRIM(Dataset!C835)</f>
        <v>C90595</v>
      </c>
      <c r="D835" s="6" t="str">
        <f>TRIM(Dataset!D835)</f>
        <v>Phone</v>
      </c>
      <c r="E835" s="13">
        <f>VALUE(TRIM(Dataset!E835))</f>
        <v>5</v>
      </c>
      <c r="F835" s="10">
        <f>VALUE(TRIM(Dataset!F835))</f>
        <v>78.290000000000006</v>
      </c>
      <c r="G835" s="6" t="str">
        <f>TRIM(Dataset!G835)</f>
        <v>508 Main St</v>
      </c>
      <c r="H835" s="6" t="str">
        <f>TRIM(Dataset!H835)</f>
        <v>Credit Card</v>
      </c>
      <c r="I835" s="6" t="str">
        <f>TRIM(Dataset!I835)</f>
        <v>Shipped</v>
      </c>
      <c r="J835" s="6" t="str">
        <f>TRIM(Dataset!J835)</f>
        <v>TRK96573803</v>
      </c>
      <c r="K835" s="8" t="str">
        <f>TRIM(Dataset!K835)</f>
        <v>5</v>
      </c>
      <c r="L835" s="6" t="str">
        <f>Dataset!L835</f>
        <v>WINTER15</v>
      </c>
      <c r="M835" s="6" t="str">
        <f>TRIM(Dataset!M835)</f>
        <v>Referral</v>
      </c>
      <c r="N835" s="10">
        <f>VALUE(TRIM(Dataset!N835))</f>
        <v>391.45</v>
      </c>
    </row>
    <row r="836" spans="1:14" x14ac:dyDescent="0.35">
      <c r="A836" s="6" t="str">
        <f>TRIM(Dataset!A836)</f>
        <v>ORD200834</v>
      </c>
      <c r="B836" s="4">
        <f>Dataset!B836</f>
        <v>45393</v>
      </c>
      <c r="C836" s="6" t="str">
        <f>TRIM(Dataset!C836)</f>
        <v>C98483</v>
      </c>
      <c r="D836" s="6" t="str">
        <f>TRIM(Dataset!D836)</f>
        <v>Printer</v>
      </c>
      <c r="E836" s="13">
        <f>VALUE(TRIM(Dataset!E836))</f>
        <v>5</v>
      </c>
      <c r="F836" s="10">
        <f>VALUE(TRIM(Dataset!F836))</f>
        <v>22.14</v>
      </c>
      <c r="G836" s="6" t="str">
        <f>TRIM(Dataset!G836)</f>
        <v>456 Main St</v>
      </c>
      <c r="H836" s="6" t="str">
        <f>TRIM(Dataset!H836)</f>
        <v>Cash</v>
      </c>
      <c r="I836" s="6" t="str">
        <f>TRIM(Dataset!I836)</f>
        <v>Returned</v>
      </c>
      <c r="J836" s="6" t="str">
        <f>TRIM(Dataset!J836)</f>
        <v>TRK22084320</v>
      </c>
      <c r="K836" s="8" t="str">
        <f>TRIM(Dataset!K836)</f>
        <v>10</v>
      </c>
      <c r="L836" s="6" t="s">
        <v>4284</v>
      </c>
      <c r="M836" s="6" t="str">
        <f>TRIM(Dataset!M836)</f>
        <v>Instagram</v>
      </c>
      <c r="N836" s="10">
        <f>VALUE(TRIM(Dataset!N836))</f>
        <v>110.7</v>
      </c>
    </row>
    <row r="837" spans="1:14" x14ac:dyDescent="0.35">
      <c r="A837" s="6" t="str">
        <f>TRIM(Dataset!A837)</f>
        <v>ORD200835</v>
      </c>
      <c r="B837" s="4">
        <f>Dataset!B837</f>
        <v>45377</v>
      </c>
      <c r="C837" s="6" t="str">
        <f>TRIM(Dataset!C837)</f>
        <v>C16429</v>
      </c>
      <c r="D837" s="6" t="str">
        <f>TRIM(Dataset!D837)</f>
        <v>Desk</v>
      </c>
      <c r="E837" s="13">
        <f>VALUE(TRIM(Dataset!E837))</f>
        <v>1</v>
      </c>
      <c r="F837" s="10">
        <f>VALUE(TRIM(Dataset!F837))</f>
        <v>679.65</v>
      </c>
      <c r="G837" s="6" t="str">
        <f>TRIM(Dataset!G837)</f>
        <v>390 Main St</v>
      </c>
      <c r="H837" s="6" t="str">
        <f>TRIM(Dataset!H837)</f>
        <v>Debit Card</v>
      </c>
      <c r="I837" s="6" t="str">
        <f>TRIM(Dataset!I837)</f>
        <v>Shipped</v>
      </c>
      <c r="J837" s="6" t="str">
        <f>TRIM(Dataset!J837)</f>
        <v>TRK73888013</v>
      </c>
      <c r="K837" s="8" t="str">
        <f>TRIM(Dataset!K837)</f>
        <v>6</v>
      </c>
      <c r="L837" s="6" t="str">
        <f>Dataset!L837</f>
        <v>FREESHIP</v>
      </c>
      <c r="M837" s="6" t="str">
        <f>TRIM(Dataset!M837)</f>
        <v>Google</v>
      </c>
      <c r="N837" s="10">
        <f>VALUE(TRIM(Dataset!N837))</f>
        <v>679.65</v>
      </c>
    </row>
    <row r="838" spans="1:14" x14ac:dyDescent="0.35">
      <c r="A838" s="6" t="str">
        <f>TRIM(Dataset!A838)</f>
        <v>ORD200836</v>
      </c>
      <c r="B838" s="4">
        <f>Dataset!B838</f>
        <v>44959</v>
      </c>
      <c r="C838" s="6" t="str">
        <f>TRIM(Dataset!C838)</f>
        <v>C31810</v>
      </c>
      <c r="D838" s="6" t="str">
        <f>TRIM(Dataset!D838)</f>
        <v>Phone</v>
      </c>
      <c r="E838" s="13">
        <f>VALUE(TRIM(Dataset!E838))</f>
        <v>1</v>
      </c>
      <c r="F838" s="10">
        <f>VALUE(TRIM(Dataset!F838))</f>
        <v>178.44</v>
      </c>
      <c r="G838" s="6" t="str">
        <f>TRIM(Dataset!G838)</f>
        <v>328 Main St</v>
      </c>
      <c r="H838" s="6" t="str">
        <f>TRIM(Dataset!H838)</f>
        <v>Credit Card</v>
      </c>
      <c r="I838" s="6" t="str">
        <f>TRIM(Dataset!I838)</f>
        <v>Cancelled</v>
      </c>
      <c r="J838" s="6" t="str">
        <f>TRIM(Dataset!J838)</f>
        <v>TRK58725886</v>
      </c>
      <c r="K838" s="8" t="str">
        <f>TRIM(Dataset!K838)</f>
        <v>2</v>
      </c>
      <c r="L838" s="6" t="str">
        <f>Dataset!L838</f>
        <v>FREESHIP</v>
      </c>
      <c r="M838" s="6" t="str">
        <f>TRIM(Dataset!M838)</f>
        <v>Google</v>
      </c>
      <c r="N838" s="10">
        <f>VALUE(TRIM(Dataset!N838))</f>
        <v>178.44</v>
      </c>
    </row>
    <row r="839" spans="1:14" x14ac:dyDescent="0.35">
      <c r="A839" s="6" t="str">
        <f>TRIM(Dataset!A839)</f>
        <v>ORD200837</v>
      </c>
      <c r="B839" s="4">
        <f>Dataset!B839</f>
        <v>45822</v>
      </c>
      <c r="C839" s="6" t="str">
        <f>TRIM(Dataset!C839)</f>
        <v>C88029</v>
      </c>
      <c r="D839" s="6" t="str">
        <f>TRIM(Dataset!D839)</f>
        <v>Chair</v>
      </c>
      <c r="E839" s="13">
        <f>VALUE(TRIM(Dataset!E839))</f>
        <v>5</v>
      </c>
      <c r="F839" s="10">
        <f>VALUE(TRIM(Dataset!F839))</f>
        <v>655.55</v>
      </c>
      <c r="G839" s="6" t="str">
        <f>TRIM(Dataset!G839)</f>
        <v>282 Main St</v>
      </c>
      <c r="H839" s="6" t="str">
        <f>TRIM(Dataset!H839)</f>
        <v>Online</v>
      </c>
      <c r="I839" s="6" t="str">
        <f>TRIM(Dataset!I839)</f>
        <v>Delivered</v>
      </c>
      <c r="J839" s="6" t="str">
        <f>TRIM(Dataset!J839)</f>
        <v>TRK59701278</v>
      </c>
      <c r="K839" s="8" t="str">
        <f>TRIM(Dataset!K839)</f>
        <v>5</v>
      </c>
      <c r="L839" s="6" t="s">
        <v>4284</v>
      </c>
      <c r="M839" s="6" t="str">
        <f>TRIM(Dataset!M839)</f>
        <v>Email</v>
      </c>
      <c r="N839" s="10">
        <f>VALUE(TRIM(Dataset!N839))</f>
        <v>3277.75</v>
      </c>
    </row>
    <row r="840" spans="1:14" x14ac:dyDescent="0.35">
      <c r="A840" s="6" t="str">
        <f>TRIM(Dataset!A840)</f>
        <v>ORD200838</v>
      </c>
      <c r="B840" s="4">
        <f>Dataset!B840</f>
        <v>45393</v>
      </c>
      <c r="C840" s="6" t="str">
        <f>TRIM(Dataset!C840)</f>
        <v>C57798</v>
      </c>
      <c r="D840" s="6" t="str">
        <f>TRIM(Dataset!D840)</f>
        <v>Desk</v>
      </c>
      <c r="E840" s="13">
        <f>VALUE(TRIM(Dataset!E840))</f>
        <v>4</v>
      </c>
      <c r="F840" s="10">
        <f>VALUE(TRIM(Dataset!F840))</f>
        <v>577.08000000000004</v>
      </c>
      <c r="G840" s="6" t="str">
        <f>TRIM(Dataset!G840)</f>
        <v>384 Main St</v>
      </c>
      <c r="H840" s="6" t="str">
        <f>TRIM(Dataset!H840)</f>
        <v>Online</v>
      </c>
      <c r="I840" s="6" t="str">
        <f>TRIM(Dataset!I840)</f>
        <v>Pending</v>
      </c>
      <c r="J840" s="6" t="str">
        <f>TRIM(Dataset!J840)</f>
        <v>TRK68797566</v>
      </c>
      <c r="K840" s="8" t="str">
        <f>TRIM(Dataset!K840)</f>
        <v>8</v>
      </c>
      <c r="L840" s="6" t="s">
        <v>4284</v>
      </c>
      <c r="M840" s="6" t="str">
        <f>TRIM(Dataset!M840)</f>
        <v>Facebook</v>
      </c>
      <c r="N840" s="10">
        <f>VALUE(TRIM(Dataset!N840))</f>
        <v>2308.3200000000002</v>
      </c>
    </row>
    <row r="841" spans="1:14" x14ac:dyDescent="0.35">
      <c r="A841" s="6" t="str">
        <f>TRIM(Dataset!A841)</f>
        <v>ORD200839</v>
      </c>
      <c r="B841" s="4">
        <f>Dataset!B841</f>
        <v>45162</v>
      </c>
      <c r="C841" s="6" t="str">
        <f>TRIM(Dataset!C841)</f>
        <v>C82858</v>
      </c>
      <c r="D841" s="6" t="str">
        <f>TRIM(Dataset!D841)</f>
        <v>Chair</v>
      </c>
      <c r="E841" s="13">
        <f>VALUE(TRIM(Dataset!E841))</f>
        <v>3</v>
      </c>
      <c r="F841" s="10">
        <f>VALUE(TRIM(Dataset!F841))</f>
        <v>197.97</v>
      </c>
      <c r="G841" s="6" t="str">
        <f>TRIM(Dataset!G841)</f>
        <v>551 Main St</v>
      </c>
      <c r="H841" s="6" t="str">
        <f>TRIM(Dataset!H841)</f>
        <v>Online</v>
      </c>
      <c r="I841" s="6" t="str">
        <f>TRIM(Dataset!I841)</f>
        <v>Cancelled</v>
      </c>
      <c r="J841" s="6" t="str">
        <f>TRIM(Dataset!J841)</f>
        <v>TRK90618490</v>
      </c>
      <c r="K841" s="8" t="str">
        <f>TRIM(Dataset!K841)</f>
        <v>5</v>
      </c>
      <c r="L841" s="6" t="s">
        <v>4284</v>
      </c>
      <c r="M841" s="6" t="str">
        <f>TRIM(Dataset!M841)</f>
        <v>Google</v>
      </c>
      <c r="N841" s="10">
        <f>VALUE(TRIM(Dataset!N841))</f>
        <v>593.91</v>
      </c>
    </row>
    <row r="842" spans="1:14" x14ac:dyDescent="0.35">
      <c r="A842" s="6" t="str">
        <f>TRIM(Dataset!A842)</f>
        <v>ORD200840</v>
      </c>
      <c r="B842" s="4">
        <f>Dataset!B842</f>
        <v>45305</v>
      </c>
      <c r="C842" s="6" t="str">
        <f>TRIM(Dataset!C842)</f>
        <v>C60699</v>
      </c>
      <c r="D842" s="6" t="str">
        <f>TRIM(Dataset!D842)</f>
        <v>Chair</v>
      </c>
      <c r="E842" s="13">
        <f>VALUE(TRIM(Dataset!E842))</f>
        <v>3</v>
      </c>
      <c r="F842" s="10">
        <f>VALUE(TRIM(Dataset!F842))</f>
        <v>411.95</v>
      </c>
      <c r="G842" s="6" t="str">
        <f>TRIM(Dataset!G842)</f>
        <v>672 Main St</v>
      </c>
      <c r="H842" s="6" t="str">
        <f>TRIM(Dataset!H842)</f>
        <v>Credit Card</v>
      </c>
      <c r="I842" s="6" t="str">
        <f>TRIM(Dataset!I842)</f>
        <v>Delivered</v>
      </c>
      <c r="J842" s="6" t="str">
        <f>TRIM(Dataset!J842)</f>
        <v>TRK88660574</v>
      </c>
      <c r="K842" s="8" t="str">
        <f>TRIM(Dataset!K842)</f>
        <v>7</v>
      </c>
      <c r="L842" s="6" t="str">
        <f>Dataset!L842</f>
        <v>FREESHIP</v>
      </c>
      <c r="M842" s="6" t="str">
        <f>TRIM(Dataset!M842)</f>
        <v>Referral</v>
      </c>
      <c r="N842" s="10">
        <f>VALUE(TRIM(Dataset!N842))</f>
        <v>1235.8499999999999</v>
      </c>
    </row>
    <row r="843" spans="1:14" x14ac:dyDescent="0.35">
      <c r="A843" s="6" t="str">
        <f>TRIM(Dataset!A843)</f>
        <v>ORD200841</v>
      </c>
      <c r="B843" s="4">
        <f>Dataset!B843</f>
        <v>45554</v>
      </c>
      <c r="C843" s="6" t="str">
        <f>TRIM(Dataset!C843)</f>
        <v>C94658</v>
      </c>
      <c r="D843" s="6" t="str">
        <f>TRIM(Dataset!D843)</f>
        <v>Printer</v>
      </c>
      <c r="E843" s="13">
        <f>VALUE(TRIM(Dataset!E843))</f>
        <v>2</v>
      </c>
      <c r="F843" s="10">
        <f>VALUE(TRIM(Dataset!F843))</f>
        <v>443.22</v>
      </c>
      <c r="G843" s="6" t="str">
        <f>TRIM(Dataset!G843)</f>
        <v>742 Main St</v>
      </c>
      <c r="H843" s="6" t="str">
        <f>TRIM(Dataset!H843)</f>
        <v>Credit Card</v>
      </c>
      <c r="I843" s="6" t="str">
        <f>TRIM(Dataset!I843)</f>
        <v>Delivered</v>
      </c>
      <c r="J843" s="6" t="str">
        <f>TRIM(Dataset!J843)</f>
        <v>TRK51732528</v>
      </c>
      <c r="K843" s="8" t="str">
        <f>TRIM(Dataset!K843)</f>
        <v>5</v>
      </c>
      <c r="L843" s="6" t="s">
        <v>4284</v>
      </c>
      <c r="M843" s="6" t="str">
        <f>TRIM(Dataset!M843)</f>
        <v>Facebook</v>
      </c>
      <c r="N843" s="10">
        <f>VALUE(TRIM(Dataset!N843))</f>
        <v>886.44</v>
      </c>
    </row>
    <row r="844" spans="1:14" x14ac:dyDescent="0.35">
      <c r="A844" s="6" t="str">
        <f>TRIM(Dataset!A844)</f>
        <v>ORD200842</v>
      </c>
      <c r="B844" s="4">
        <f>Dataset!B844</f>
        <v>45784</v>
      </c>
      <c r="C844" s="6" t="str">
        <f>TRIM(Dataset!C844)</f>
        <v>C78305</v>
      </c>
      <c r="D844" s="6" t="str">
        <f>TRIM(Dataset!D844)</f>
        <v>Laptop</v>
      </c>
      <c r="E844" s="13">
        <f>VALUE(TRIM(Dataset!E844))</f>
        <v>3</v>
      </c>
      <c r="F844" s="10">
        <f>VALUE(TRIM(Dataset!F844))</f>
        <v>364.14</v>
      </c>
      <c r="G844" s="6" t="str">
        <f>TRIM(Dataset!G844)</f>
        <v>396 Main St</v>
      </c>
      <c r="H844" s="6" t="str">
        <f>TRIM(Dataset!H844)</f>
        <v>Online</v>
      </c>
      <c r="I844" s="6" t="str">
        <f>TRIM(Dataset!I844)</f>
        <v>Pending</v>
      </c>
      <c r="J844" s="6" t="str">
        <f>TRIM(Dataset!J844)</f>
        <v>TRK88312618</v>
      </c>
      <c r="K844" s="8" t="str">
        <f>TRIM(Dataset!K844)</f>
        <v>7</v>
      </c>
      <c r="L844" s="6" t="str">
        <f>Dataset!L844</f>
        <v>WINTER15</v>
      </c>
      <c r="M844" s="6" t="str">
        <f>TRIM(Dataset!M844)</f>
        <v>Referral</v>
      </c>
      <c r="N844" s="10">
        <f>VALUE(TRIM(Dataset!N844))</f>
        <v>1092.42</v>
      </c>
    </row>
    <row r="845" spans="1:14" x14ac:dyDescent="0.35">
      <c r="A845" s="6" t="str">
        <f>TRIM(Dataset!A845)</f>
        <v>ORD200843</v>
      </c>
      <c r="B845" s="4">
        <f>Dataset!B845</f>
        <v>45790</v>
      </c>
      <c r="C845" s="6" t="str">
        <f>TRIM(Dataset!C845)</f>
        <v>C43538</v>
      </c>
      <c r="D845" s="6" t="str">
        <f>TRIM(Dataset!D845)</f>
        <v>Desk</v>
      </c>
      <c r="E845" s="13">
        <f>VALUE(TRIM(Dataset!E845))</f>
        <v>3</v>
      </c>
      <c r="F845" s="10">
        <f>VALUE(TRIM(Dataset!F845))</f>
        <v>430.06</v>
      </c>
      <c r="G845" s="6" t="str">
        <f>TRIM(Dataset!G845)</f>
        <v>534 Main St</v>
      </c>
      <c r="H845" s="6" t="str">
        <f>TRIM(Dataset!H845)</f>
        <v>Gift Card</v>
      </c>
      <c r="I845" s="6" t="str">
        <f>TRIM(Dataset!I845)</f>
        <v>Cancelled</v>
      </c>
      <c r="J845" s="6" t="str">
        <f>TRIM(Dataset!J845)</f>
        <v>TRK20961563</v>
      </c>
      <c r="K845" s="8" t="str">
        <f>TRIM(Dataset!K845)</f>
        <v>8</v>
      </c>
      <c r="L845" s="6" t="str">
        <f>Dataset!L845</f>
        <v>FREESHIP</v>
      </c>
      <c r="M845" s="6" t="str">
        <f>TRIM(Dataset!M845)</f>
        <v>Instagram</v>
      </c>
      <c r="N845" s="10">
        <f>VALUE(TRIM(Dataset!N845))</f>
        <v>1290.18</v>
      </c>
    </row>
    <row r="846" spans="1:14" x14ac:dyDescent="0.35">
      <c r="A846" s="6" t="str">
        <f>TRIM(Dataset!A846)</f>
        <v>ORD200844</v>
      </c>
      <c r="B846" s="4">
        <f>Dataset!B846</f>
        <v>45630</v>
      </c>
      <c r="C846" s="6" t="str">
        <f>TRIM(Dataset!C846)</f>
        <v>C47486</v>
      </c>
      <c r="D846" s="6" t="str">
        <f>TRIM(Dataset!D846)</f>
        <v>Chair</v>
      </c>
      <c r="E846" s="13">
        <f>VALUE(TRIM(Dataset!E846))</f>
        <v>1</v>
      </c>
      <c r="F846" s="10">
        <f>VALUE(TRIM(Dataset!F846))</f>
        <v>320.92</v>
      </c>
      <c r="G846" s="6" t="str">
        <f>TRIM(Dataset!G846)</f>
        <v>883 Main St</v>
      </c>
      <c r="H846" s="6" t="str">
        <f>TRIM(Dataset!H846)</f>
        <v>Online</v>
      </c>
      <c r="I846" s="6" t="str">
        <f>TRIM(Dataset!I846)</f>
        <v>Returned</v>
      </c>
      <c r="J846" s="6" t="str">
        <f>TRIM(Dataset!J846)</f>
        <v>TRK75984759</v>
      </c>
      <c r="K846" s="8" t="str">
        <f>TRIM(Dataset!K846)</f>
        <v>5</v>
      </c>
      <c r="L846" s="6" t="str">
        <f>Dataset!L846</f>
        <v>FREESHIP</v>
      </c>
      <c r="M846" s="6" t="str">
        <f>TRIM(Dataset!M846)</f>
        <v>Facebook</v>
      </c>
      <c r="N846" s="10">
        <f>VALUE(TRIM(Dataset!N846))</f>
        <v>320.92</v>
      </c>
    </row>
    <row r="847" spans="1:14" x14ac:dyDescent="0.35">
      <c r="A847" s="6" t="str">
        <f>TRIM(Dataset!A847)</f>
        <v>ORD200845</v>
      </c>
      <c r="B847" s="4">
        <f>Dataset!B847</f>
        <v>45207</v>
      </c>
      <c r="C847" s="6" t="str">
        <f>TRIM(Dataset!C847)</f>
        <v>C24212</v>
      </c>
      <c r="D847" s="6" t="str">
        <f>TRIM(Dataset!D847)</f>
        <v>Phone</v>
      </c>
      <c r="E847" s="13">
        <f>VALUE(TRIM(Dataset!E847))</f>
        <v>3</v>
      </c>
      <c r="F847" s="10">
        <f>VALUE(TRIM(Dataset!F847))</f>
        <v>107.36</v>
      </c>
      <c r="G847" s="6" t="str">
        <f>TRIM(Dataset!G847)</f>
        <v>808 Main St</v>
      </c>
      <c r="H847" s="6" t="str">
        <f>TRIM(Dataset!H847)</f>
        <v>Gift Card</v>
      </c>
      <c r="I847" s="6" t="str">
        <f>TRIM(Dataset!I847)</f>
        <v>Delivered</v>
      </c>
      <c r="J847" s="6" t="str">
        <f>TRIM(Dataset!J847)</f>
        <v>TRK68894675</v>
      </c>
      <c r="K847" s="8" t="str">
        <f>TRIM(Dataset!K847)</f>
        <v>5</v>
      </c>
      <c r="L847" s="6" t="str">
        <f>Dataset!L847</f>
        <v>FREESHIP</v>
      </c>
      <c r="M847" s="6" t="str">
        <f>TRIM(Dataset!M847)</f>
        <v>Google</v>
      </c>
      <c r="N847" s="10">
        <f>VALUE(TRIM(Dataset!N847))</f>
        <v>322.08</v>
      </c>
    </row>
    <row r="848" spans="1:14" x14ac:dyDescent="0.35">
      <c r="A848" s="6" t="str">
        <f>TRIM(Dataset!A848)</f>
        <v>ORD200846</v>
      </c>
      <c r="B848" s="4">
        <f>Dataset!B848</f>
        <v>45477</v>
      </c>
      <c r="C848" s="6" t="str">
        <f>TRIM(Dataset!C848)</f>
        <v>C24765</v>
      </c>
      <c r="D848" s="6" t="str">
        <f>TRIM(Dataset!D848)</f>
        <v>Desk</v>
      </c>
      <c r="E848" s="13">
        <f>VALUE(TRIM(Dataset!E848))</f>
        <v>2</v>
      </c>
      <c r="F848" s="10">
        <f>VALUE(TRIM(Dataset!F848))</f>
        <v>359.86</v>
      </c>
      <c r="G848" s="6" t="str">
        <f>TRIM(Dataset!G848)</f>
        <v>646 Main St</v>
      </c>
      <c r="H848" s="6" t="str">
        <f>TRIM(Dataset!H848)</f>
        <v>Debit Card</v>
      </c>
      <c r="I848" s="6" t="str">
        <f>TRIM(Dataset!I848)</f>
        <v>Cancelled</v>
      </c>
      <c r="J848" s="6" t="str">
        <f>TRIM(Dataset!J848)</f>
        <v>TRK43977698</v>
      </c>
      <c r="K848" s="8" t="str">
        <f>TRIM(Dataset!K848)</f>
        <v>4</v>
      </c>
      <c r="L848" s="6" t="s">
        <v>4284</v>
      </c>
      <c r="M848" s="6" t="str">
        <f>TRIM(Dataset!M848)</f>
        <v>Referral</v>
      </c>
      <c r="N848" s="10">
        <f>VALUE(TRIM(Dataset!N848))</f>
        <v>719.72</v>
      </c>
    </row>
    <row r="849" spans="1:14" x14ac:dyDescent="0.35">
      <c r="A849" s="6" t="str">
        <f>TRIM(Dataset!A849)</f>
        <v>ORD200847</v>
      </c>
      <c r="B849" s="4">
        <f>Dataset!B849</f>
        <v>45614</v>
      </c>
      <c r="C849" s="6" t="str">
        <f>TRIM(Dataset!C849)</f>
        <v>C48176</v>
      </c>
      <c r="D849" s="6" t="str">
        <f>TRIM(Dataset!D849)</f>
        <v>Printer</v>
      </c>
      <c r="E849" s="13">
        <f>VALUE(TRIM(Dataset!E849))</f>
        <v>4</v>
      </c>
      <c r="F849" s="10">
        <f>VALUE(TRIM(Dataset!F849))</f>
        <v>434.23</v>
      </c>
      <c r="G849" s="6" t="str">
        <f>TRIM(Dataset!G849)</f>
        <v>670 Main St</v>
      </c>
      <c r="H849" s="6" t="str">
        <f>TRIM(Dataset!H849)</f>
        <v>Online</v>
      </c>
      <c r="I849" s="6" t="str">
        <f>TRIM(Dataset!I849)</f>
        <v>Shipped</v>
      </c>
      <c r="J849" s="6" t="str">
        <f>TRIM(Dataset!J849)</f>
        <v>TRK90560300</v>
      </c>
      <c r="K849" s="8" t="str">
        <f>TRIM(Dataset!K849)</f>
        <v>8</v>
      </c>
      <c r="L849" s="6" t="str">
        <f>Dataset!L849</f>
        <v>FREESHIP</v>
      </c>
      <c r="M849" s="6" t="str">
        <f>TRIM(Dataset!M849)</f>
        <v>Email</v>
      </c>
      <c r="N849" s="10">
        <f>VALUE(TRIM(Dataset!N849))</f>
        <v>1736.92</v>
      </c>
    </row>
    <row r="850" spans="1:14" x14ac:dyDescent="0.35">
      <c r="A850" s="6" t="str">
        <f>TRIM(Dataset!A850)</f>
        <v>ORD200848</v>
      </c>
      <c r="B850" s="4">
        <f>Dataset!B850</f>
        <v>44927</v>
      </c>
      <c r="C850" s="6" t="str">
        <f>TRIM(Dataset!C850)</f>
        <v>C54675</v>
      </c>
      <c r="D850" s="6" t="str">
        <f>TRIM(Dataset!D850)</f>
        <v>Chair</v>
      </c>
      <c r="E850" s="13">
        <f>VALUE(TRIM(Dataset!E850))</f>
        <v>2</v>
      </c>
      <c r="F850" s="10">
        <f>VALUE(TRIM(Dataset!F850))</f>
        <v>645.85</v>
      </c>
      <c r="G850" s="6" t="str">
        <f>TRIM(Dataset!G850)</f>
        <v>634 Main St</v>
      </c>
      <c r="H850" s="6" t="str">
        <f>TRIM(Dataset!H850)</f>
        <v>Online</v>
      </c>
      <c r="I850" s="6" t="str">
        <f>TRIM(Dataset!I850)</f>
        <v>Shipped</v>
      </c>
      <c r="J850" s="6" t="str">
        <f>TRIM(Dataset!J850)</f>
        <v>TRK18049633</v>
      </c>
      <c r="K850" s="8" t="str">
        <f>TRIM(Dataset!K850)</f>
        <v>5</v>
      </c>
      <c r="L850" s="6" t="s">
        <v>4284</v>
      </c>
      <c r="M850" s="6" t="str">
        <f>TRIM(Dataset!M850)</f>
        <v>Referral</v>
      </c>
      <c r="N850" s="10">
        <f>VALUE(TRIM(Dataset!N850))</f>
        <v>1291.7</v>
      </c>
    </row>
    <row r="851" spans="1:14" x14ac:dyDescent="0.35">
      <c r="A851" s="6" t="str">
        <f>TRIM(Dataset!A851)</f>
        <v>ORD200849</v>
      </c>
      <c r="B851" s="4">
        <f>Dataset!B851</f>
        <v>45817</v>
      </c>
      <c r="C851" s="6" t="str">
        <f>TRIM(Dataset!C851)</f>
        <v>C16675</v>
      </c>
      <c r="D851" s="6" t="str">
        <f>TRIM(Dataset!D851)</f>
        <v>Printer</v>
      </c>
      <c r="E851" s="13">
        <f>VALUE(TRIM(Dataset!E851))</f>
        <v>4</v>
      </c>
      <c r="F851" s="10">
        <f>VALUE(TRIM(Dataset!F851))</f>
        <v>214.35</v>
      </c>
      <c r="G851" s="6" t="str">
        <f>TRIM(Dataset!G851)</f>
        <v>664 Main St</v>
      </c>
      <c r="H851" s="6" t="str">
        <f>TRIM(Dataset!H851)</f>
        <v>Debit Card</v>
      </c>
      <c r="I851" s="6" t="str">
        <f>TRIM(Dataset!I851)</f>
        <v>Cancelled</v>
      </c>
      <c r="J851" s="6" t="str">
        <f>TRIM(Dataset!J851)</f>
        <v>TRK12756945</v>
      </c>
      <c r="K851" s="8" t="str">
        <f>TRIM(Dataset!K851)</f>
        <v>7</v>
      </c>
      <c r="L851" s="6" t="str">
        <f>Dataset!L851</f>
        <v>WINTER15</v>
      </c>
      <c r="M851" s="6" t="str">
        <f>TRIM(Dataset!M851)</f>
        <v>Referral</v>
      </c>
      <c r="N851" s="10">
        <f>VALUE(TRIM(Dataset!N851))</f>
        <v>857.4</v>
      </c>
    </row>
    <row r="852" spans="1:14" x14ac:dyDescent="0.35">
      <c r="A852" s="6" t="str">
        <f>TRIM(Dataset!A852)</f>
        <v>ORD200850</v>
      </c>
      <c r="B852" s="4">
        <f>Dataset!B852</f>
        <v>45774</v>
      </c>
      <c r="C852" s="6" t="str">
        <f>TRIM(Dataset!C852)</f>
        <v>C38557</v>
      </c>
      <c r="D852" s="6" t="str">
        <f>TRIM(Dataset!D852)</f>
        <v>Monitor</v>
      </c>
      <c r="E852" s="13">
        <f>VALUE(TRIM(Dataset!E852))</f>
        <v>3</v>
      </c>
      <c r="F852" s="10">
        <f>VALUE(TRIM(Dataset!F852))</f>
        <v>638.5</v>
      </c>
      <c r="G852" s="6" t="str">
        <f>TRIM(Dataset!G852)</f>
        <v>890 Main St</v>
      </c>
      <c r="H852" s="6" t="str">
        <f>TRIM(Dataset!H852)</f>
        <v>Debit Card</v>
      </c>
      <c r="I852" s="6" t="str">
        <f>TRIM(Dataset!I852)</f>
        <v>Cancelled</v>
      </c>
      <c r="J852" s="6" t="str">
        <f>TRIM(Dataset!J852)</f>
        <v>TRK14832238</v>
      </c>
      <c r="K852" s="8" t="str">
        <f>TRIM(Dataset!K852)</f>
        <v>4</v>
      </c>
      <c r="L852" s="6" t="str">
        <f>Dataset!L852</f>
        <v>FREESHIP</v>
      </c>
      <c r="M852" s="6" t="str">
        <f>TRIM(Dataset!M852)</f>
        <v>Instagram</v>
      </c>
      <c r="N852" s="10">
        <f>VALUE(TRIM(Dataset!N852))</f>
        <v>1915.5</v>
      </c>
    </row>
    <row r="853" spans="1:14" x14ac:dyDescent="0.35">
      <c r="A853" s="6" t="str">
        <f>TRIM(Dataset!A853)</f>
        <v>ORD200851</v>
      </c>
      <c r="B853" s="4">
        <f>Dataset!B853</f>
        <v>45272</v>
      </c>
      <c r="C853" s="6" t="str">
        <f>TRIM(Dataset!C853)</f>
        <v>C80183</v>
      </c>
      <c r="D853" s="6" t="str">
        <f>TRIM(Dataset!D853)</f>
        <v>Laptop</v>
      </c>
      <c r="E853" s="13">
        <f>VALUE(TRIM(Dataset!E853))</f>
        <v>1</v>
      </c>
      <c r="F853" s="10">
        <f>VALUE(TRIM(Dataset!F853))</f>
        <v>365.57</v>
      </c>
      <c r="G853" s="6" t="str">
        <f>TRIM(Dataset!G853)</f>
        <v>146 Main St</v>
      </c>
      <c r="H853" s="6" t="str">
        <f>TRIM(Dataset!H853)</f>
        <v>Online</v>
      </c>
      <c r="I853" s="6" t="str">
        <f>TRIM(Dataset!I853)</f>
        <v>Cancelled</v>
      </c>
      <c r="J853" s="6" t="str">
        <f>TRIM(Dataset!J853)</f>
        <v>TRK20814598</v>
      </c>
      <c r="K853" s="8" t="str">
        <f>TRIM(Dataset!K853)</f>
        <v>5</v>
      </c>
      <c r="L853" s="6" t="str">
        <f>Dataset!L853</f>
        <v>SAVE10</v>
      </c>
      <c r="M853" s="6" t="str">
        <f>TRIM(Dataset!M853)</f>
        <v>Email</v>
      </c>
      <c r="N853" s="10">
        <f>VALUE(TRIM(Dataset!N853))</f>
        <v>365.57</v>
      </c>
    </row>
    <row r="854" spans="1:14" x14ac:dyDescent="0.35">
      <c r="A854" s="6" t="str">
        <f>TRIM(Dataset!A854)</f>
        <v>ORD200852</v>
      </c>
      <c r="B854" s="4">
        <f>Dataset!B854</f>
        <v>45589</v>
      </c>
      <c r="C854" s="6" t="str">
        <f>TRIM(Dataset!C854)</f>
        <v>C39530</v>
      </c>
      <c r="D854" s="6" t="str">
        <f>TRIM(Dataset!D854)</f>
        <v>Desk</v>
      </c>
      <c r="E854" s="13">
        <f>VALUE(TRIM(Dataset!E854))</f>
        <v>3</v>
      </c>
      <c r="F854" s="10">
        <f>VALUE(TRIM(Dataset!F854))</f>
        <v>568.04999999999995</v>
      </c>
      <c r="G854" s="6" t="str">
        <f>TRIM(Dataset!G854)</f>
        <v>618 Main St</v>
      </c>
      <c r="H854" s="6" t="str">
        <f>TRIM(Dataset!H854)</f>
        <v>Gift Card</v>
      </c>
      <c r="I854" s="6" t="str">
        <f>TRIM(Dataset!I854)</f>
        <v>Pending</v>
      </c>
      <c r="J854" s="6" t="str">
        <f>TRIM(Dataset!J854)</f>
        <v>TRK69000497</v>
      </c>
      <c r="K854" s="8" t="str">
        <f>TRIM(Dataset!K854)</f>
        <v>6</v>
      </c>
      <c r="L854" s="6" t="str">
        <f>Dataset!L854</f>
        <v>SAVE10</v>
      </c>
      <c r="M854" s="6" t="str">
        <f>TRIM(Dataset!M854)</f>
        <v>Google</v>
      </c>
      <c r="N854" s="10">
        <f>VALUE(TRIM(Dataset!N854))</f>
        <v>1704.15</v>
      </c>
    </row>
    <row r="855" spans="1:14" x14ac:dyDescent="0.35">
      <c r="A855" s="6" t="str">
        <f>TRIM(Dataset!A855)</f>
        <v>ORD200853</v>
      </c>
      <c r="B855" s="4">
        <f>Dataset!B855</f>
        <v>45215</v>
      </c>
      <c r="C855" s="6" t="str">
        <f>TRIM(Dataset!C855)</f>
        <v>C10002</v>
      </c>
      <c r="D855" s="6" t="str">
        <f>TRIM(Dataset!D855)</f>
        <v>Printer</v>
      </c>
      <c r="E855" s="13">
        <f>VALUE(TRIM(Dataset!E855))</f>
        <v>3</v>
      </c>
      <c r="F855" s="10">
        <f>VALUE(TRIM(Dataset!F855))</f>
        <v>490.01</v>
      </c>
      <c r="G855" s="6" t="str">
        <f>TRIM(Dataset!G855)</f>
        <v>894 Main St</v>
      </c>
      <c r="H855" s="6" t="str">
        <f>TRIM(Dataset!H855)</f>
        <v>Cash</v>
      </c>
      <c r="I855" s="6" t="str">
        <f>TRIM(Dataset!I855)</f>
        <v>Returned</v>
      </c>
      <c r="J855" s="6" t="str">
        <f>TRIM(Dataset!J855)</f>
        <v>TRK94641152</v>
      </c>
      <c r="K855" s="8" t="str">
        <f>TRIM(Dataset!K855)</f>
        <v>4</v>
      </c>
      <c r="L855" s="6" t="str">
        <f>Dataset!L855</f>
        <v>SAVE10</v>
      </c>
      <c r="M855" s="6" t="str">
        <f>TRIM(Dataset!M855)</f>
        <v>Facebook</v>
      </c>
      <c r="N855" s="10">
        <f>VALUE(TRIM(Dataset!N855))</f>
        <v>1470.03</v>
      </c>
    </row>
    <row r="856" spans="1:14" x14ac:dyDescent="0.35">
      <c r="A856" s="6" t="str">
        <f>TRIM(Dataset!A856)</f>
        <v>ORD200854</v>
      </c>
      <c r="B856" s="4">
        <f>Dataset!B856</f>
        <v>45821</v>
      </c>
      <c r="C856" s="6" t="str">
        <f>TRIM(Dataset!C856)</f>
        <v>C56938</v>
      </c>
      <c r="D856" s="6" t="str">
        <f>TRIM(Dataset!D856)</f>
        <v>Laptop</v>
      </c>
      <c r="E856" s="13">
        <f>VALUE(TRIM(Dataset!E856))</f>
        <v>3</v>
      </c>
      <c r="F856" s="10">
        <f>VALUE(TRIM(Dataset!F856))</f>
        <v>372.6</v>
      </c>
      <c r="G856" s="6" t="str">
        <f>TRIM(Dataset!G856)</f>
        <v>356 Main St</v>
      </c>
      <c r="H856" s="6" t="str">
        <f>TRIM(Dataset!H856)</f>
        <v>Credit Card</v>
      </c>
      <c r="I856" s="6" t="str">
        <f>TRIM(Dataset!I856)</f>
        <v>Delivered</v>
      </c>
      <c r="J856" s="6" t="str">
        <f>TRIM(Dataset!J856)</f>
        <v>TRK67735987</v>
      </c>
      <c r="K856" s="8" t="str">
        <f>TRIM(Dataset!K856)</f>
        <v>7</v>
      </c>
      <c r="L856" s="6" t="str">
        <f>Dataset!L856</f>
        <v>WINTER15</v>
      </c>
      <c r="M856" s="6" t="str">
        <f>TRIM(Dataset!M856)</f>
        <v>Referral</v>
      </c>
      <c r="N856" s="10">
        <f>VALUE(TRIM(Dataset!N856))</f>
        <v>1117.8</v>
      </c>
    </row>
    <row r="857" spans="1:14" x14ac:dyDescent="0.35">
      <c r="A857" s="6" t="str">
        <f>TRIM(Dataset!A857)</f>
        <v>ORD200855</v>
      </c>
      <c r="B857" s="4">
        <f>Dataset!B857</f>
        <v>45071</v>
      </c>
      <c r="C857" s="6" t="str">
        <f>TRIM(Dataset!C857)</f>
        <v>C41331</v>
      </c>
      <c r="D857" s="6" t="str">
        <f>TRIM(Dataset!D857)</f>
        <v>Monitor</v>
      </c>
      <c r="E857" s="13">
        <f>VALUE(TRIM(Dataset!E857))</f>
        <v>5</v>
      </c>
      <c r="F857" s="10">
        <f>VALUE(TRIM(Dataset!F857))</f>
        <v>240.61</v>
      </c>
      <c r="G857" s="6" t="str">
        <f>TRIM(Dataset!G857)</f>
        <v>785 Main St</v>
      </c>
      <c r="H857" s="6" t="str">
        <f>TRIM(Dataset!H857)</f>
        <v>Credit Card</v>
      </c>
      <c r="I857" s="6" t="str">
        <f>TRIM(Dataset!I857)</f>
        <v>Shipped</v>
      </c>
      <c r="J857" s="6" t="str">
        <f>TRIM(Dataset!J857)</f>
        <v>TRK94198179</v>
      </c>
      <c r="K857" s="8" t="str">
        <f>TRIM(Dataset!K857)</f>
        <v>10</v>
      </c>
      <c r="L857" s="6" t="str">
        <f>Dataset!L857</f>
        <v>FREESHIP</v>
      </c>
      <c r="M857" s="6" t="str">
        <f>TRIM(Dataset!M857)</f>
        <v>Email</v>
      </c>
      <c r="N857" s="10">
        <f>VALUE(TRIM(Dataset!N857))</f>
        <v>1203.05</v>
      </c>
    </row>
    <row r="858" spans="1:14" x14ac:dyDescent="0.35">
      <c r="A858" s="6" t="str">
        <f>TRIM(Dataset!A858)</f>
        <v>ORD200856</v>
      </c>
      <c r="B858" s="4">
        <f>Dataset!B858</f>
        <v>45446</v>
      </c>
      <c r="C858" s="6" t="str">
        <f>TRIM(Dataset!C858)</f>
        <v>C94698</v>
      </c>
      <c r="D858" s="6" t="str">
        <f>TRIM(Dataset!D858)</f>
        <v>Phone</v>
      </c>
      <c r="E858" s="13">
        <f>VALUE(TRIM(Dataset!E858))</f>
        <v>1</v>
      </c>
      <c r="F858" s="10">
        <f>VALUE(TRIM(Dataset!F858))</f>
        <v>586.62</v>
      </c>
      <c r="G858" s="6" t="str">
        <f>TRIM(Dataset!G858)</f>
        <v>871 Main St</v>
      </c>
      <c r="H858" s="6" t="str">
        <f>TRIM(Dataset!H858)</f>
        <v>Debit Card</v>
      </c>
      <c r="I858" s="6" t="str">
        <f>TRIM(Dataset!I858)</f>
        <v>Shipped</v>
      </c>
      <c r="J858" s="6" t="str">
        <f>TRIM(Dataset!J858)</f>
        <v>TRK95768773</v>
      </c>
      <c r="K858" s="8" t="str">
        <f>TRIM(Dataset!K858)</f>
        <v>5</v>
      </c>
      <c r="L858" s="6" t="s">
        <v>4284</v>
      </c>
      <c r="M858" s="6" t="str">
        <f>TRIM(Dataset!M858)</f>
        <v>Facebook</v>
      </c>
      <c r="N858" s="10">
        <f>VALUE(TRIM(Dataset!N858))</f>
        <v>586.62</v>
      </c>
    </row>
    <row r="859" spans="1:14" x14ac:dyDescent="0.35">
      <c r="A859" s="6" t="str">
        <f>TRIM(Dataset!A859)</f>
        <v>ORD200857</v>
      </c>
      <c r="B859" s="4">
        <f>Dataset!B859</f>
        <v>45361</v>
      </c>
      <c r="C859" s="6" t="str">
        <f>TRIM(Dataset!C859)</f>
        <v>C56506</v>
      </c>
      <c r="D859" s="6" t="str">
        <f>TRIM(Dataset!D859)</f>
        <v>Phone</v>
      </c>
      <c r="E859" s="13">
        <f>VALUE(TRIM(Dataset!E859))</f>
        <v>3</v>
      </c>
      <c r="F859" s="10">
        <f>VALUE(TRIM(Dataset!F859))</f>
        <v>257.83999999999997</v>
      </c>
      <c r="G859" s="6" t="str">
        <f>TRIM(Dataset!G859)</f>
        <v>185 Main St</v>
      </c>
      <c r="H859" s="6" t="str">
        <f>TRIM(Dataset!H859)</f>
        <v>Online</v>
      </c>
      <c r="I859" s="6" t="str">
        <f>TRIM(Dataset!I859)</f>
        <v>Delivered</v>
      </c>
      <c r="J859" s="6" t="str">
        <f>TRIM(Dataset!J859)</f>
        <v>TRK86808324</v>
      </c>
      <c r="K859" s="8" t="str">
        <f>TRIM(Dataset!K859)</f>
        <v>4</v>
      </c>
      <c r="L859" s="6" t="s">
        <v>4284</v>
      </c>
      <c r="M859" s="6" t="str">
        <f>TRIM(Dataset!M859)</f>
        <v>Instagram</v>
      </c>
      <c r="N859" s="10">
        <f>VALUE(TRIM(Dataset!N859))</f>
        <v>773.52</v>
      </c>
    </row>
    <row r="860" spans="1:14" x14ac:dyDescent="0.35">
      <c r="A860" s="6" t="str">
        <f>TRIM(Dataset!A860)</f>
        <v>ORD200858</v>
      </c>
      <c r="B860" s="4">
        <f>Dataset!B860</f>
        <v>45158</v>
      </c>
      <c r="C860" s="6" t="str">
        <f>TRIM(Dataset!C860)</f>
        <v>C22167</v>
      </c>
      <c r="D860" s="6" t="str">
        <f>TRIM(Dataset!D860)</f>
        <v>Tablet</v>
      </c>
      <c r="E860" s="13">
        <f>VALUE(TRIM(Dataset!E860))</f>
        <v>5</v>
      </c>
      <c r="F860" s="10">
        <f>VALUE(TRIM(Dataset!F860))</f>
        <v>435.66</v>
      </c>
      <c r="G860" s="6" t="str">
        <f>TRIM(Dataset!G860)</f>
        <v>891 Main St</v>
      </c>
      <c r="H860" s="6" t="str">
        <f>TRIM(Dataset!H860)</f>
        <v>Online</v>
      </c>
      <c r="I860" s="6" t="str">
        <f>TRIM(Dataset!I860)</f>
        <v>Pending</v>
      </c>
      <c r="J860" s="6" t="str">
        <f>TRIM(Dataset!J860)</f>
        <v>TRK70269748</v>
      </c>
      <c r="K860" s="8" t="str">
        <f>TRIM(Dataset!K860)</f>
        <v>9</v>
      </c>
      <c r="L860" s="6" t="s">
        <v>4284</v>
      </c>
      <c r="M860" s="6" t="str">
        <f>TRIM(Dataset!M860)</f>
        <v>Facebook</v>
      </c>
      <c r="N860" s="10">
        <f>VALUE(TRIM(Dataset!N860))</f>
        <v>2178.3000000000002</v>
      </c>
    </row>
    <row r="861" spans="1:14" x14ac:dyDescent="0.35">
      <c r="A861" s="6" t="str">
        <f>TRIM(Dataset!A861)</f>
        <v>ORD200859</v>
      </c>
      <c r="B861" s="4">
        <f>Dataset!B861</f>
        <v>45532</v>
      </c>
      <c r="C861" s="6" t="str">
        <f>TRIM(Dataset!C861)</f>
        <v>C11127</v>
      </c>
      <c r="D861" s="6" t="str">
        <f>TRIM(Dataset!D861)</f>
        <v>Chair</v>
      </c>
      <c r="E861" s="13">
        <f>VALUE(TRIM(Dataset!E861))</f>
        <v>5</v>
      </c>
      <c r="F861" s="10">
        <f>VALUE(TRIM(Dataset!F861))</f>
        <v>261.33</v>
      </c>
      <c r="G861" s="6" t="str">
        <f>TRIM(Dataset!G861)</f>
        <v>154 Main St</v>
      </c>
      <c r="H861" s="6" t="str">
        <f>TRIM(Dataset!H861)</f>
        <v>Credit Card</v>
      </c>
      <c r="I861" s="6" t="str">
        <f>TRIM(Dataset!I861)</f>
        <v>Returned</v>
      </c>
      <c r="J861" s="6" t="str">
        <f>TRIM(Dataset!J861)</f>
        <v>TRK73285507</v>
      </c>
      <c r="K861" s="8" t="str">
        <f>TRIM(Dataset!K861)</f>
        <v>5</v>
      </c>
      <c r="L861" s="6" t="str">
        <f>Dataset!L861</f>
        <v>SAVE10</v>
      </c>
      <c r="M861" s="6" t="str">
        <f>TRIM(Dataset!M861)</f>
        <v>Referral</v>
      </c>
      <c r="N861" s="10">
        <f>VALUE(TRIM(Dataset!N861))</f>
        <v>1306.6500000000001</v>
      </c>
    </row>
    <row r="862" spans="1:14" x14ac:dyDescent="0.35">
      <c r="A862" s="6" t="str">
        <f>TRIM(Dataset!A862)</f>
        <v>ORD200860</v>
      </c>
      <c r="B862" s="4">
        <f>Dataset!B862</f>
        <v>45314</v>
      </c>
      <c r="C862" s="6" t="str">
        <f>TRIM(Dataset!C862)</f>
        <v>C69542</v>
      </c>
      <c r="D862" s="6" t="str">
        <f>TRIM(Dataset!D862)</f>
        <v>Printer</v>
      </c>
      <c r="E862" s="13">
        <f>VALUE(TRIM(Dataset!E862))</f>
        <v>1</v>
      </c>
      <c r="F862" s="10">
        <f>VALUE(TRIM(Dataset!F862))</f>
        <v>422.54</v>
      </c>
      <c r="G862" s="6" t="str">
        <f>TRIM(Dataset!G862)</f>
        <v>876 Main St</v>
      </c>
      <c r="H862" s="6" t="str">
        <f>TRIM(Dataset!H862)</f>
        <v>Cash</v>
      </c>
      <c r="I862" s="6" t="str">
        <f>TRIM(Dataset!I862)</f>
        <v>Delivered</v>
      </c>
      <c r="J862" s="6" t="str">
        <f>TRIM(Dataset!J862)</f>
        <v>TRK20746505</v>
      </c>
      <c r="K862" s="8" t="str">
        <f>TRIM(Dataset!K862)</f>
        <v>1</v>
      </c>
      <c r="L862" s="6" t="str">
        <f>Dataset!L862</f>
        <v>SAVE10</v>
      </c>
      <c r="M862" s="6" t="str">
        <f>TRIM(Dataset!M862)</f>
        <v>Google</v>
      </c>
      <c r="N862" s="10">
        <f>VALUE(TRIM(Dataset!N862))</f>
        <v>422.54</v>
      </c>
    </row>
    <row r="863" spans="1:14" x14ac:dyDescent="0.35">
      <c r="A863" s="6" t="str">
        <f>TRIM(Dataset!A863)</f>
        <v>ORD200861</v>
      </c>
      <c r="B863" s="4">
        <f>Dataset!B863</f>
        <v>45004</v>
      </c>
      <c r="C863" s="6" t="str">
        <f>TRIM(Dataset!C863)</f>
        <v>C93276</v>
      </c>
      <c r="D863" s="6" t="str">
        <f>TRIM(Dataset!D863)</f>
        <v>Desk</v>
      </c>
      <c r="E863" s="13">
        <f>VALUE(TRIM(Dataset!E863))</f>
        <v>5</v>
      </c>
      <c r="F863" s="10">
        <f>VALUE(TRIM(Dataset!F863))</f>
        <v>330.45</v>
      </c>
      <c r="G863" s="6" t="str">
        <f>TRIM(Dataset!G863)</f>
        <v>230 Main St</v>
      </c>
      <c r="H863" s="6" t="str">
        <f>TRIM(Dataset!H863)</f>
        <v>Gift Card</v>
      </c>
      <c r="I863" s="6" t="str">
        <f>TRIM(Dataset!I863)</f>
        <v>Shipped</v>
      </c>
      <c r="J863" s="6" t="str">
        <f>TRIM(Dataset!J863)</f>
        <v>TRK44165913</v>
      </c>
      <c r="K863" s="8" t="str">
        <f>TRIM(Dataset!K863)</f>
        <v>10</v>
      </c>
      <c r="L863" s="6" t="str">
        <f>Dataset!L863</f>
        <v>FREESHIP</v>
      </c>
      <c r="M863" s="6" t="str">
        <f>TRIM(Dataset!M863)</f>
        <v>Google</v>
      </c>
      <c r="N863" s="10">
        <f>VALUE(TRIM(Dataset!N863))</f>
        <v>1652.25</v>
      </c>
    </row>
    <row r="864" spans="1:14" x14ac:dyDescent="0.35">
      <c r="A864" s="6" t="str">
        <f>TRIM(Dataset!A864)</f>
        <v>ORD200862</v>
      </c>
      <c r="B864" s="4">
        <f>Dataset!B864</f>
        <v>45262</v>
      </c>
      <c r="C864" s="6" t="str">
        <f>TRIM(Dataset!C864)</f>
        <v>C37969</v>
      </c>
      <c r="D864" s="6" t="str">
        <f>TRIM(Dataset!D864)</f>
        <v>Desk</v>
      </c>
      <c r="E864" s="13">
        <f>VALUE(TRIM(Dataset!E864))</f>
        <v>3</v>
      </c>
      <c r="F864" s="10">
        <f>VALUE(TRIM(Dataset!F864))</f>
        <v>120.82</v>
      </c>
      <c r="G864" s="6" t="str">
        <f>TRIM(Dataset!G864)</f>
        <v>799 Main St</v>
      </c>
      <c r="H864" s="6" t="str">
        <f>TRIM(Dataset!H864)</f>
        <v>Credit Card</v>
      </c>
      <c r="I864" s="6" t="str">
        <f>TRIM(Dataset!I864)</f>
        <v>Shipped</v>
      </c>
      <c r="J864" s="6" t="str">
        <f>TRIM(Dataset!J864)</f>
        <v>TRK69852386</v>
      </c>
      <c r="K864" s="8" t="str">
        <f>TRIM(Dataset!K864)</f>
        <v>5</v>
      </c>
      <c r="L864" s="6" t="str">
        <f>Dataset!L864</f>
        <v>SAVE10</v>
      </c>
      <c r="M864" s="6" t="str">
        <f>TRIM(Dataset!M864)</f>
        <v>Referral</v>
      </c>
      <c r="N864" s="10">
        <f>VALUE(TRIM(Dataset!N864))</f>
        <v>362.46</v>
      </c>
    </row>
    <row r="865" spans="1:14" x14ac:dyDescent="0.35">
      <c r="A865" s="6" t="str">
        <f>TRIM(Dataset!A865)</f>
        <v>ORD200863</v>
      </c>
      <c r="B865" s="4">
        <f>Dataset!B865</f>
        <v>45432</v>
      </c>
      <c r="C865" s="6" t="str">
        <f>TRIM(Dataset!C865)</f>
        <v>C98276</v>
      </c>
      <c r="D865" s="6" t="str">
        <f>TRIM(Dataset!D865)</f>
        <v>Phone</v>
      </c>
      <c r="E865" s="13">
        <f>VALUE(TRIM(Dataset!E865))</f>
        <v>1</v>
      </c>
      <c r="F865" s="10">
        <f>VALUE(TRIM(Dataset!F865))</f>
        <v>14.06</v>
      </c>
      <c r="G865" s="6" t="str">
        <f>TRIM(Dataset!G865)</f>
        <v>471 Main St</v>
      </c>
      <c r="H865" s="6" t="str">
        <f>TRIM(Dataset!H865)</f>
        <v>Credit Card</v>
      </c>
      <c r="I865" s="6" t="str">
        <f>TRIM(Dataset!I865)</f>
        <v>Pending</v>
      </c>
      <c r="J865" s="6" t="str">
        <f>TRIM(Dataset!J865)</f>
        <v>TRK74207282</v>
      </c>
      <c r="K865" s="8" t="str">
        <f>TRIM(Dataset!K865)</f>
        <v>5</v>
      </c>
      <c r="L865" s="6" t="str">
        <f>Dataset!L865</f>
        <v>SAVE10</v>
      </c>
      <c r="M865" s="6" t="str">
        <f>TRIM(Dataset!M865)</f>
        <v>Referral</v>
      </c>
      <c r="N865" s="10">
        <f>VALUE(TRIM(Dataset!N865))</f>
        <v>14.06</v>
      </c>
    </row>
    <row r="866" spans="1:14" x14ac:dyDescent="0.35">
      <c r="A866" s="6" t="str">
        <f>TRIM(Dataset!A866)</f>
        <v>ORD200864</v>
      </c>
      <c r="B866" s="4">
        <f>Dataset!B866</f>
        <v>45049</v>
      </c>
      <c r="C866" s="6" t="str">
        <f>TRIM(Dataset!C866)</f>
        <v>C14240</v>
      </c>
      <c r="D866" s="6" t="str">
        <f>TRIM(Dataset!D866)</f>
        <v>Desk</v>
      </c>
      <c r="E866" s="13">
        <f>VALUE(TRIM(Dataset!E866))</f>
        <v>1</v>
      </c>
      <c r="F866" s="10">
        <f>VALUE(TRIM(Dataset!F866))</f>
        <v>491.11</v>
      </c>
      <c r="G866" s="6" t="str">
        <f>TRIM(Dataset!G866)</f>
        <v>592 Main St</v>
      </c>
      <c r="H866" s="6" t="str">
        <f>TRIM(Dataset!H866)</f>
        <v>Credit Card</v>
      </c>
      <c r="I866" s="6" t="str">
        <f>TRIM(Dataset!I866)</f>
        <v>Delivered</v>
      </c>
      <c r="J866" s="6" t="str">
        <f>TRIM(Dataset!J866)</f>
        <v>TRK58095246</v>
      </c>
      <c r="K866" s="8" t="str">
        <f>TRIM(Dataset!K866)</f>
        <v>4</v>
      </c>
      <c r="L866" s="6" t="str">
        <f>Dataset!L866</f>
        <v>SAVE10</v>
      </c>
      <c r="M866" s="6" t="str">
        <f>TRIM(Dataset!M866)</f>
        <v>Facebook</v>
      </c>
      <c r="N866" s="10">
        <f>VALUE(TRIM(Dataset!N866))</f>
        <v>491.11</v>
      </c>
    </row>
    <row r="867" spans="1:14" x14ac:dyDescent="0.35">
      <c r="A867" s="6" t="str">
        <f>TRIM(Dataset!A867)</f>
        <v>ORD200865</v>
      </c>
      <c r="B867" s="4">
        <f>Dataset!B867</f>
        <v>45046</v>
      </c>
      <c r="C867" s="6" t="str">
        <f>TRIM(Dataset!C867)</f>
        <v>C72241</v>
      </c>
      <c r="D867" s="6" t="str">
        <f>TRIM(Dataset!D867)</f>
        <v>Monitor</v>
      </c>
      <c r="E867" s="13">
        <f>VALUE(TRIM(Dataset!E867))</f>
        <v>4</v>
      </c>
      <c r="F867" s="10">
        <f>VALUE(TRIM(Dataset!F867))</f>
        <v>677.37</v>
      </c>
      <c r="G867" s="6" t="str">
        <f>TRIM(Dataset!G867)</f>
        <v>156 Main St</v>
      </c>
      <c r="H867" s="6" t="str">
        <f>TRIM(Dataset!H867)</f>
        <v>Cash</v>
      </c>
      <c r="I867" s="6" t="str">
        <f>TRIM(Dataset!I867)</f>
        <v>Pending</v>
      </c>
      <c r="J867" s="6" t="str">
        <f>TRIM(Dataset!J867)</f>
        <v>TRK76270481</v>
      </c>
      <c r="K867" s="8" t="str">
        <f>TRIM(Dataset!K867)</f>
        <v>8</v>
      </c>
      <c r="L867" s="6" t="str">
        <f>Dataset!L867</f>
        <v>SAVE10</v>
      </c>
      <c r="M867" s="6" t="str">
        <f>TRIM(Dataset!M867)</f>
        <v>Google</v>
      </c>
      <c r="N867" s="10">
        <f>VALUE(TRIM(Dataset!N867))</f>
        <v>2709.48</v>
      </c>
    </row>
    <row r="868" spans="1:14" x14ac:dyDescent="0.35">
      <c r="A868" s="6" t="str">
        <f>TRIM(Dataset!A868)</f>
        <v>ORD200866</v>
      </c>
      <c r="B868" s="4">
        <f>Dataset!B868</f>
        <v>45499</v>
      </c>
      <c r="C868" s="6" t="str">
        <f>TRIM(Dataset!C868)</f>
        <v>C39664</v>
      </c>
      <c r="D868" s="6" t="str">
        <f>TRIM(Dataset!D868)</f>
        <v>Desk</v>
      </c>
      <c r="E868" s="13">
        <f>VALUE(TRIM(Dataset!E868))</f>
        <v>5</v>
      </c>
      <c r="F868" s="10">
        <f>VALUE(TRIM(Dataset!F868))</f>
        <v>189.25</v>
      </c>
      <c r="G868" s="6" t="str">
        <f>TRIM(Dataset!G868)</f>
        <v>693 Main St</v>
      </c>
      <c r="H868" s="6" t="str">
        <f>TRIM(Dataset!H868)</f>
        <v>Debit Card</v>
      </c>
      <c r="I868" s="6" t="str">
        <f>TRIM(Dataset!I868)</f>
        <v>Cancelled</v>
      </c>
      <c r="J868" s="6" t="str">
        <f>TRIM(Dataset!J868)</f>
        <v>TRK39917741</v>
      </c>
      <c r="K868" s="8" t="str">
        <f>TRIM(Dataset!K868)</f>
        <v>10</v>
      </c>
      <c r="L868" s="6" t="str">
        <f>Dataset!L868</f>
        <v>WINTER15</v>
      </c>
      <c r="M868" s="6" t="str">
        <f>TRIM(Dataset!M868)</f>
        <v>Email</v>
      </c>
      <c r="N868" s="10">
        <f>VALUE(TRIM(Dataset!N868))</f>
        <v>946.25</v>
      </c>
    </row>
    <row r="869" spans="1:14" x14ac:dyDescent="0.35">
      <c r="A869" s="6" t="str">
        <f>TRIM(Dataset!A869)</f>
        <v>ORD200867</v>
      </c>
      <c r="B869" s="4">
        <f>Dataset!B869</f>
        <v>45438</v>
      </c>
      <c r="C869" s="6" t="str">
        <f>TRIM(Dataset!C869)</f>
        <v>C53252</v>
      </c>
      <c r="D869" s="6" t="str">
        <f>TRIM(Dataset!D869)</f>
        <v>Printer</v>
      </c>
      <c r="E869" s="13">
        <f>VALUE(TRIM(Dataset!E869))</f>
        <v>4</v>
      </c>
      <c r="F869" s="10">
        <f>VALUE(TRIM(Dataset!F869))</f>
        <v>142.58000000000001</v>
      </c>
      <c r="G869" s="6" t="str">
        <f>TRIM(Dataset!G869)</f>
        <v>351 Main St</v>
      </c>
      <c r="H869" s="6" t="str">
        <f>TRIM(Dataset!H869)</f>
        <v>Cash</v>
      </c>
      <c r="I869" s="6" t="str">
        <f>TRIM(Dataset!I869)</f>
        <v>Delivered</v>
      </c>
      <c r="J869" s="6" t="str">
        <f>TRIM(Dataset!J869)</f>
        <v>TRK65831261</v>
      </c>
      <c r="K869" s="8" t="str">
        <f>TRIM(Dataset!K869)</f>
        <v>4</v>
      </c>
      <c r="L869" s="6" t="str">
        <f>Dataset!L869</f>
        <v>FREESHIP</v>
      </c>
      <c r="M869" s="6" t="str">
        <f>TRIM(Dataset!M869)</f>
        <v>Facebook</v>
      </c>
      <c r="N869" s="10">
        <f>VALUE(TRIM(Dataset!N869))</f>
        <v>570.32000000000005</v>
      </c>
    </row>
    <row r="870" spans="1:14" x14ac:dyDescent="0.35">
      <c r="A870" s="6" t="str">
        <f>TRIM(Dataset!A870)</f>
        <v>ORD200868</v>
      </c>
      <c r="B870" s="4">
        <f>Dataset!B870</f>
        <v>45472</v>
      </c>
      <c r="C870" s="6" t="str">
        <f>TRIM(Dataset!C870)</f>
        <v>C70452</v>
      </c>
      <c r="D870" s="6" t="str">
        <f>TRIM(Dataset!D870)</f>
        <v>Monitor</v>
      </c>
      <c r="E870" s="13">
        <f>VALUE(TRIM(Dataset!E870))</f>
        <v>4</v>
      </c>
      <c r="F870" s="10">
        <f>VALUE(TRIM(Dataset!F870))</f>
        <v>316.32</v>
      </c>
      <c r="G870" s="6" t="str">
        <f>TRIM(Dataset!G870)</f>
        <v>309 Main St</v>
      </c>
      <c r="H870" s="6" t="str">
        <f>TRIM(Dataset!H870)</f>
        <v>Debit Card</v>
      </c>
      <c r="I870" s="6" t="str">
        <f>TRIM(Dataset!I870)</f>
        <v>Delivered</v>
      </c>
      <c r="J870" s="6" t="str">
        <f>TRIM(Dataset!J870)</f>
        <v>TRK42985882</v>
      </c>
      <c r="K870" s="8" t="str">
        <f>TRIM(Dataset!K870)</f>
        <v>7</v>
      </c>
      <c r="L870" s="6" t="s">
        <v>4284</v>
      </c>
      <c r="M870" s="6" t="str">
        <f>TRIM(Dataset!M870)</f>
        <v>Facebook</v>
      </c>
      <c r="N870" s="10">
        <f>VALUE(TRIM(Dataset!N870))</f>
        <v>1265.28</v>
      </c>
    </row>
    <row r="871" spans="1:14" x14ac:dyDescent="0.35">
      <c r="A871" s="6" t="str">
        <f>TRIM(Dataset!A871)</f>
        <v>ORD200869</v>
      </c>
      <c r="B871" s="4">
        <f>Dataset!B871</f>
        <v>45368</v>
      </c>
      <c r="C871" s="6" t="str">
        <f>TRIM(Dataset!C871)</f>
        <v>C29905</v>
      </c>
      <c r="D871" s="6" t="str">
        <f>TRIM(Dataset!D871)</f>
        <v>Desk</v>
      </c>
      <c r="E871" s="13">
        <f>VALUE(TRIM(Dataset!E871))</f>
        <v>2</v>
      </c>
      <c r="F871" s="10">
        <f>VALUE(TRIM(Dataset!F871))</f>
        <v>533.95000000000005</v>
      </c>
      <c r="G871" s="6" t="str">
        <f>TRIM(Dataset!G871)</f>
        <v>790 Main St</v>
      </c>
      <c r="H871" s="6" t="str">
        <f>TRIM(Dataset!H871)</f>
        <v>Online</v>
      </c>
      <c r="I871" s="6" t="str">
        <f>TRIM(Dataset!I871)</f>
        <v>Delivered</v>
      </c>
      <c r="J871" s="6" t="str">
        <f>TRIM(Dataset!J871)</f>
        <v>TRK16788127</v>
      </c>
      <c r="K871" s="8" t="str">
        <f>TRIM(Dataset!K871)</f>
        <v>5</v>
      </c>
      <c r="L871" s="6" t="str">
        <f>Dataset!L871</f>
        <v>WINTER15</v>
      </c>
      <c r="M871" s="6" t="str">
        <f>TRIM(Dataset!M871)</f>
        <v>Google</v>
      </c>
      <c r="N871" s="10">
        <f>VALUE(TRIM(Dataset!N871))</f>
        <v>1067.9000000000001</v>
      </c>
    </row>
    <row r="872" spans="1:14" x14ac:dyDescent="0.35">
      <c r="A872" s="6" t="str">
        <f>TRIM(Dataset!A872)</f>
        <v>ORD200870</v>
      </c>
      <c r="B872" s="4">
        <f>Dataset!B872</f>
        <v>45809</v>
      </c>
      <c r="C872" s="6" t="str">
        <f>TRIM(Dataset!C872)</f>
        <v>C78725</v>
      </c>
      <c r="D872" s="6" t="str">
        <f>TRIM(Dataset!D872)</f>
        <v>Phone</v>
      </c>
      <c r="E872" s="13">
        <f>VALUE(TRIM(Dataset!E872))</f>
        <v>4</v>
      </c>
      <c r="F872" s="10">
        <f>VALUE(TRIM(Dataset!F872))</f>
        <v>470.09</v>
      </c>
      <c r="G872" s="6" t="str">
        <f>TRIM(Dataset!G872)</f>
        <v>541 Main St</v>
      </c>
      <c r="H872" s="6" t="str">
        <f>TRIM(Dataset!H872)</f>
        <v>Debit Card</v>
      </c>
      <c r="I872" s="6" t="str">
        <f>TRIM(Dataset!I872)</f>
        <v>Delivered</v>
      </c>
      <c r="J872" s="6" t="str">
        <f>TRIM(Dataset!J872)</f>
        <v>TRK72001139</v>
      </c>
      <c r="K872" s="8" t="str">
        <f>TRIM(Dataset!K872)</f>
        <v>4</v>
      </c>
      <c r="L872" s="6" t="str">
        <f>Dataset!L872</f>
        <v>FREESHIP</v>
      </c>
      <c r="M872" s="6" t="str">
        <f>TRIM(Dataset!M872)</f>
        <v>Google</v>
      </c>
      <c r="N872" s="10">
        <f>VALUE(TRIM(Dataset!N872))</f>
        <v>1880.36</v>
      </c>
    </row>
    <row r="873" spans="1:14" x14ac:dyDescent="0.35">
      <c r="A873" s="6" t="str">
        <f>TRIM(Dataset!A873)</f>
        <v>ORD200871</v>
      </c>
      <c r="B873" s="4">
        <f>Dataset!B873</f>
        <v>45428</v>
      </c>
      <c r="C873" s="6" t="str">
        <f>TRIM(Dataset!C873)</f>
        <v>C93768</v>
      </c>
      <c r="D873" s="6" t="str">
        <f>TRIM(Dataset!D873)</f>
        <v>Tablet</v>
      </c>
      <c r="E873" s="13">
        <f>VALUE(TRIM(Dataset!E873))</f>
        <v>3</v>
      </c>
      <c r="F873" s="10">
        <f>VALUE(TRIM(Dataset!F873))</f>
        <v>324.3</v>
      </c>
      <c r="G873" s="6" t="str">
        <f>TRIM(Dataset!G873)</f>
        <v>720 Main St</v>
      </c>
      <c r="H873" s="6" t="str">
        <f>TRIM(Dataset!H873)</f>
        <v>Debit Card</v>
      </c>
      <c r="I873" s="6" t="str">
        <f>TRIM(Dataset!I873)</f>
        <v>Pending</v>
      </c>
      <c r="J873" s="6" t="str">
        <f>TRIM(Dataset!J873)</f>
        <v>TRK22024707</v>
      </c>
      <c r="K873" s="8" t="str">
        <f>TRIM(Dataset!K873)</f>
        <v>8</v>
      </c>
      <c r="L873" s="6" t="str">
        <f>Dataset!L873</f>
        <v>FREESHIP</v>
      </c>
      <c r="M873" s="6" t="str">
        <f>TRIM(Dataset!M873)</f>
        <v>Email</v>
      </c>
      <c r="N873" s="10">
        <f>VALUE(TRIM(Dataset!N873))</f>
        <v>972.9</v>
      </c>
    </row>
    <row r="874" spans="1:14" x14ac:dyDescent="0.35">
      <c r="A874" s="6" t="str">
        <f>TRIM(Dataset!A874)</f>
        <v>ORD200872</v>
      </c>
      <c r="B874" s="4">
        <f>Dataset!B874</f>
        <v>45117</v>
      </c>
      <c r="C874" s="6" t="str">
        <f>TRIM(Dataset!C874)</f>
        <v>C59169</v>
      </c>
      <c r="D874" s="6" t="str">
        <f>TRIM(Dataset!D874)</f>
        <v>Chair</v>
      </c>
      <c r="E874" s="13">
        <f>VALUE(TRIM(Dataset!E874))</f>
        <v>4</v>
      </c>
      <c r="F874" s="10">
        <f>VALUE(TRIM(Dataset!F874))</f>
        <v>629.34</v>
      </c>
      <c r="G874" s="6" t="str">
        <f>TRIM(Dataset!G874)</f>
        <v>172 Main St</v>
      </c>
      <c r="H874" s="6" t="str">
        <f>TRIM(Dataset!H874)</f>
        <v>Cash</v>
      </c>
      <c r="I874" s="6" t="str">
        <f>TRIM(Dataset!I874)</f>
        <v>Shipped</v>
      </c>
      <c r="J874" s="6" t="str">
        <f>TRIM(Dataset!J874)</f>
        <v>TRK90883858</v>
      </c>
      <c r="K874" s="8" t="str">
        <f>TRIM(Dataset!K874)</f>
        <v>7</v>
      </c>
      <c r="L874" s="6" t="s">
        <v>4284</v>
      </c>
      <c r="M874" s="6" t="str">
        <f>TRIM(Dataset!M874)</f>
        <v>Email</v>
      </c>
      <c r="N874" s="10">
        <f>VALUE(TRIM(Dataset!N874))</f>
        <v>2517.36</v>
      </c>
    </row>
    <row r="875" spans="1:14" x14ac:dyDescent="0.35">
      <c r="A875" s="6" t="str">
        <f>TRIM(Dataset!A875)</f>
        <v>ORD200873</v>
      </c>
      <c r="B875" s="4">
        <f>Dataset!B875</f>
        <v>45424</v>
      </c>
      <c r="C875" s="6" t="str">
        <f>TRIM(Dataset!C875)</f>
        <v>C53488</v>
      </c>
      <c r="D875" s="6" t="str">
        <f>TRIM(Dataset!D875)</f>
        <v>Desk</v>
      </c>
      <c r="E875" s="13">
        <f>VALUE(TRIM(Dataset!E875))</f>
        <v>3</v>
      </c>
      <c r="F875" s="10">
        <f>VALUE(TRIM(Dataset!F875))</f>
        <v>136.84</v>
      </c>
      <c r="G875" s="6" t="str">
        <f>TRIM(Dataset!G875)</f>
        <v>448 Main St</v>
      </c>
      <c r="H875" s="6" t="str">
        <f>TRIM(Dataset!H875)</f>
        <v>Cash</v>
      </c>
      <c r="I875" s="6" t="str">
        <f>TRIM(Dataset!I875)</f>
        <v>Delivered</v>
      </c>
      <c r="J875" s="6" t="str">
        <f>TRIM(Dataset!J875)</f>
        <v>TRK27365050</v>
      </c>
      <c r="K875" s="8" t="str">
        <f>TRIM(Dataset!K875)</f>
        <v>3</v>
      </c>
      <c r="L875" s="6" t="str">
        <f>Dataset!L875</f>
        <v>SAVE10</v>
      </c>
      <c r="M875" s="6" t="str">
        <f>TRIM(Dataset!M875)</f>
        <v>Facebook</v>
      </c>
      <c r="N875" s="10">
        <f>VALUE(TRIM(Dataset!N875))</f>
        <v>410.52</v>
      </c>
    </row>
    <row r="876" spans="1:14" x14ac:dyDescent="0.35">
      <c r="A876" s="6" t="str">
        <f>TRIM(Dataset!A876)</f>
        <v>ORD200874</v>
      </c>
      <c r="B876" s="4">
        <f>Dataset!B876</f>
        <v>45230</v>
      </c>
      <c r="C876" s="6" t="str">
        <f>TRIM(Dataset!C876)</f>
        <v>C92180</v>
      </c>
      <c r="D876" s="6" t="str">
        <f>TRIM(Dataset!D876)</f>
        <v>Chair</v>
      </c>
      <c r="E876" s="13">
        <f>VALUE(TRIM(Dataset!E876))</f>
        <v>2</v>
      </c>
      <c r="F876" s="10">
        <f>VALUE(TRIM(Dataset!F876))</f>
        <v>488.9</v>
      </c>
      <c r="G876" s="6" t="str">
        <f>TRIM(Dataset!G876)</f>
        <v>632 Main St</v>
      </c>
      <c r="H876" s="6" t="str">
        <f>TRIM(Dataset!H876)</f>
        <v>Cash</v>
      </c>
      <c r="I876" s="6" t="str">
        <f>TRIM(Dataset!I876)</f>
        <v>Delivered</v>
      </c>
      <c r="J876" s="6" t="str">
        <f>TRIM(Dataset!J876)</f>
        <v>TRK93315929</v>
      </c>
      <c r="K876" s="8" t="str">
        <f>TRIM(Dataset!K876)</f>
        <v>7</v>
      </c>
      <c r="L876" s="6" t="str">
        <f>Dataset!L876</f>
        <v>FREESHIP</v>
      </c>
      <c r="M876" s="6" t="str">
        <f>TRIM(Dataset!M876)</f>
        <v>Facebook</v>
      </c>
      <c r="N876" s="10">
        <f>VALUE(TRIM(Dataset!N876))</f>
        <v>977.8</v>
      </c>
    </row>
    <row r="877" spans="1:14" x14ac:dyDescent="0.35">
      <c r="A877" s="6" t="str">
        <f>TRIM(Dataset!A877)</f>
        <v>ORD200875</v>
      </c>
      <c r="B877" s="4">
        <f>Dataset!B877</f>
        <v>45141</v>
      </c>
      <c r="C877" s="6" t="str">
        <f>TRIM(Dataset!C877)</f>
        <v>C25918</v>
      </c>
      <c r="D877" s="6" t="str">
        <f>TRIM(Dataset!D877)</f>
        <v>Laptop</v>
      </c>
      <c r="E877" s="13">
        <f>VALUE(TRIM(Dataset!E877))</f>
        <v>5</v>
      </c>
      <c r="F877" s="10">
        <f>VALUE(TRIM(Dataset!F877))</f>
        <v>133.38999999999999</v>
      </c>
      <c r="G877" s="6" t="str">
        <f>TRIM(Dataset!G877)</f>
        <v>203 Main St</v>
      </c>
      <c r="H877" s="6" t="str">
        <f>TRIM(Dataset!H877)</f>
        <v>Credit Card</v>
      </c>
      <c r="I877" s="6" t="str">
        <f>TRIM(Dataset!I877)</f>
        <v>Delivered</v>
      </c>
      <c r="J877" s="6" t="str">
        <f>TRIM(Dataset!J877)</f>
        <v>TRK66473392</v>
      </c>
      <c r="K877" s="8" t="str">
        <f>TRIM(Dataset!K877)</f>
        <v>6</v>
      </c>
      <c r="L877" s="6" t="str">
        <f>Dataset!L877</f>
        <v>FREESHIP</v>
      </c>
      <c r="M877" s="6" t="str">
        <f>TRIM(Dataset!M877)</f>
        <v>Referral</v>
      </c>
      <c r="N877" s="10">
        <f>VALUE(TRIM(Dataset!N877))</f>
        <v>666.95</v>
      </c>
    </row>
    <row r="878" spans="1:14" x14ac:dyDescent="0.35">
      <c r="A878" s="6" t="str">
        <f>TRIM(Dataset!A878)</f>
        <v>ORD200876</v>
      </c>
      <c r="B878" s="4">
        <f>Dataset!B878</f>
        <v>45452</v>
      </c>
      <c r="C878" s="6" t="str">
        <f>TRIM(Dataset!C878)</f>
        <v>C90363</v>
      </c>
      <c r="D878" s="6" t="str">
        <f>TRIM(Dataset!D878)</f>
        <v>Chair</v>
      </c>
      <c r="E878" s="13">
        <f>VALUE(TRIM(Dataset!E878))</f>
        <v>5</v>
      </c>
      <c r="F878" s="10">
        <f>VALUE(TRIM(Dataset!F878))</f>
        <v>608.91</v>
      </c>
      <c r="G878" s="6" t="str">
        <f>TRIM(Dataset!G878)</f>
        <v>200 Main St</v>
      </c>
      <c r="H878" s="6" t="str">
        <f>TRIM(Dataset!H878)</f>
        <v>Gift Card</v>
      </c>
      <c r="I878" s="6" t="str">
        <f>TRIM(Dataset!I878)</f>
        <v>Pending</v>
      </c>
      <c r="J878" s="6" t="str">
        <f>TRIM(Dataset!J878)</f>
        <v>TRK21534173</v>
      </c>
      <c r="K878" s="8" t="str">
        <f>TRIM(Dataset!K878)</f>
        <v>6</v>
      </c>
      <c r="L878" s="6" t="str">
        <f>Dataset!L878</f>
        <v>SAVE10</v>
      </c>
      <c r="M878" s="6" t="str">
        <f>TRIM(Dataset!M878)</f>
        <v>Google</v>
      </c>
      <c r="N878" s="10">
        <f>VALUE(TRIM(Dataset!N878))</f>
        <v>3044.55</v>
      </c>
    </row>
    <row r="879" spans="1:14" x14ac:dyDescent="0.35">
      <c r="A879" s="6" t="str">
        <f>TRIM(Dataset!A879)</f>
        <v>ORD200877</v>
      </c>
      <c r="B879" s="4">
        <f>Dataset!B879</f>
        <v>45498</v>
      </c>
      <c r="C879" s="6" t="str">
        <f>TRIM(Dataset!C879)</f>
        <v>C43867</v>
      </c>
      <c r="D879" s="6" t="str">
        <f>TRIM(Dataset!D879)</f>
        <v>Tablet</v>
      </c>
      <c r="E879" s="13">
        <f>VALUE(TRIM(Dataset!E879))</f>
        <v>1</v>
      </c>
      <c r="F879" s="10">
        <f>VALUE(TRIM(Dataset!F879))</f>
        <v>524.05999999999995</v>
      </c>
      <c r="G879" s="6" t="str">
        <f>TRIM(Dataset!G879)</f>
        <v>269 Main St</v>
      </c>
      <c r="H879" s="6" t="str">
        <f>TRIM(Dataset!H879)</f>
        <v>Debit Card</v>
      </c>
      <c r="I879" s="6" t="str">
        <f>TRIM(Dataset!I879)</f>
        <v>Pending</v>
      </c>
      <c r="J879" s="6" t="str">
        <f>TRIM(Dataset!J879)</f>
        <v>TRK97319127</v>
      </c>
      <c r="K879" s="8" t="str">
        <f>TRIM(Dataset!K879)</f>
        <v>3</v>
      </c>
      <c r="L879" s="6" t="str">
        <f>Dataset!L879</f>
        <v>FREESHIP</v>
      </c>
      <c r="M879" s="6" t="str">
        <f>TRIM(Dataset!M879)</f>
        <v>Email</v>
      </c>
      <c r="N879" s="10">
        <f>VALUE(TRIM(Dataset!N879))</f>
        <v>524.05999999999995</v>
      </c>
    </row>
    <row r="880" spans="1:14" x14ac:dyDescent="0.35">
      <c r="A880" s="6" t="str">
        <f>TRIM(Dataset!A880)</f>
        <v>ORD200878</v>
      </c>
      <c r="B880" s="4">
        <f>Dataset!B880</f>
        <v>45078</v>
      </c>
      <c r="C880" s="6" t="str">
        <f>TRIM(Dataset!C880)</f>
        <v>C73873</v>
      </c>
      <c r="D880" s="6" t="str">
        <f>TRIM(Dataset!D880)</f>
        <v>Desk</v>
      </c>
      <c r="E880" s="13">
        <f>VALUE(TRIM(Dataset!E880))</f>
        <v>2</v>
      </c>
      <c r="F880" s="10">
        <f>VALUE(TRIM(Dataset!F880))</f>
        <v>330.69</v>
      </c>
      <c r="G880" s="6" t="str">
        <f>TRIM(Dataset!G880)</f>
        <v>393 Main St</v>
      </c>
      <c r="H880" s="6" t="str">
        <f>TRIM(Dataset!H880)</f>
        <v>Online</v>
      </c>
      <c r="I880" s="6" t="str">
        <f>TRIM(Dataset!I880)</f>
        <v>Cancelled</v>
      </c>
      <c r="J880" s="6" t="str">
        <f>TRIM(Dataset!J880)</f>
        <v>TRK56423132</v>
      </c>
      <c r="K880" s="8" t="str">
        <f>TRIM(Dataset!K880)</f>
        <v>5</v>
      </c>
      <c r="L880" s="6" t="str">
        <f>Dataset!L880</f>
        <v>SAVE10</v>
      </c>
      <c r="M880" s="6" t="str">
        <f>TRIM(Dataset!M880)</f>
        <v>Google</v>
      </c>
      <c r="N880" s="10">
        <f>VALUE(TRIM(Dataset!N880))</f>
        <v>661.38</v>
      </c>
    </row>
    <row r="881" spans="1:14" x14ac:dyDescent="0.35">
      <c r="A881" s="6" t="str">
        <f>TRIM(Dataset!A881)</f>
        <v>ORD200879</v>
      </c>
      <c r="B881" s="4">
        <f>Dataset!B881</f>
        <v>45755</v>
      </c>
      <c r="C881" s="6" t="str">
        <f>TRIM(Dataset!C881)</f>
        <v>C56622</v>
      </c>
      <c r="D881" s="6" t="str">
        <f>TRIM(Dataset!D881)</f>
        <v>Phone</v>
      </c>
      <c r="E881" s="13">
        <f>VALUE(TRIM(Dataset!E881))</f>
        <v>2</v>
      </c>
      <c r="F881" s="10">
        <f>VALUE(TRIM(Dataset!F881))</f>
        <v>547.66999999999996</v>
      </c>
      <c r="G881" s="6" t="str">
        <f>TRIM(Dataset!G881)</f>
        <v>932 Main St</v>
      </c>
      <c r="H881" s="6" t="str">
        <f>TRIM(Dataset!H881)</f>
        <v>Gift Card</v>
      </c>
      <c r="I881" s="6" t="str">
        <f>TRIM(Dataset!I881)</f>
        <v>Shipped</v>
      </c>
      <c r="J881" s="6" t="str">
        <f>TRIM(Dataset!J881)</f>
        <v>TRK86373987</v>
      </c>
      <c r="K881" s="8" t="str">
        <f>TRIM(Dataset!K881)</f>
        <v>3</v>
      </c>
      <c r="L881" s="6" t="s">
        <v>4284</v>
      </c>
      <c r="M881" s="6" t="str">
        <f>TRIM(Dataset!M881)</f>
        <v>Instagram</v>
      </c>
      <c r="N881" s="10">
        <f>VALUE(TRIM(Dataset!N881))</f>
        <v>1095.3399999999999</v>
      </c>
    </row>
    <row r="882" spans="1:14" x14ac:dyDescent="0.35">
      <c r="A882" s="6" t="str">
        <f>TRIM(Dataset!A882)</f>
        <v>ORD200880</v>
      </c>
      <c r="B882" s="4">
        <f>Dataset!B882</f>
        <v>45728</v>
      </c>
      <c r="C882" s="6" t="str">
        <f>TRIM(Dataset!C882)</f>
        <v>C85074</v>
      </c>
      <c r="D882" s="6" t="str">
        <f>TRIM(Dataset!D882)</f>
        <v>Laptop</v>
      </c>
      <c r="E882" s="13">
        <f>VALUE(TRIM(Dataset!E882))</f>
        <v>4</v>
      </c>
      <c r="F882" s="10">
        <f>VALUE(TRIM(Dataset!F882))</f>
        <v>233.7</v>
      </c>
      <c r="G882" s="6" t="str">
        <f>TRIM(Dataset!G882)</f>
        <v>506 Main St</v>
      </c>
      <c r="H882" s="6" t="str">
        <f>TRIM(Dataset!H882)</f>
        <v>Online</v>
      </c>
      <c r="I882" s="6" t="str">
        <f>TRIM(Dataset!I882)</f>
        <v>Shipped</v>
      </c>
      <c r="J882" s="6" t="str">
        <f>TRIM(Dataset!J882)</f>
        <v>TRK63133878</v>
      </c>
      <c r="K882" s="8" t="str">
        <f>TRIM(Dataset!K882)</f>
        <v>8</v>
      </c>
      <c r="L882" s="6" t="str">
        <f>Dataset!L882</f>
        <v>SAVE10</v>
      </c>
      <c r="M882" s="6" t="str">
        <f>TRIM(Dataset!M882)</f>
        <v>Facebook</v>
      </c>
      <c r="N882" s="10">
        <f>VALUE(TRIM(Dataset!N882))</f>
        <v>934.8</v>
      </c>
    </row>
    <row r="883" spans="1:14" x14ac:dyDescent="0.35">
      <c r="A883" s="6" t="str">
        <f>TRIM(Dataset!A883)</f>
        <v>ORD200881</v>
      </c>
      <c r="B883" s="4">
        <f>Dataset!B883</f>
        <v>44929</v>
      </c>
      <c r="C883" s="6" t="str">
        <f>TRIM(Dataset!C883)</f>
        <v>C59579</v>
      </c>
      <c r="D883" s="6" t="str">
        <f>TRIM(Dataset!D883)</f>
        <v>Tablet</v>
      </c>
      <c r="E883" s="13">
        <f>VALUE(TRIM(Dataset!E883))</f>
        <v>2</v>
      </c>
      <c r="F883" s="10">
        <f>VALUE(TRIM(Dataset!F883))</f>
        <v>448.85</v>
      </c>
      <c r="G883" s="6" t="str">
        <f>TRIM(Dataset!G883)</f>
        <v>386 Main St</v>
      </c>
      <c r="H883" s="6" t="str">
        <f>TRIM(Dataset!H883)</f>
        <v>Credit Card</v>
      </c>
      <c r="I883" s="6" t="str">
        <f>TRIM(Dataset!I883)</f>
        <v>Pending</v>
      </c>
      <c r="J883" s="6" t="str">
        <f>TRIM(Dataset!J883)</f>
        <v>TRK48000034</v>
      </c>
      <c r="K883" s="8" t="str">
        <f>TRIM(Dataset!K883)</f>
        <v>6</v>
      </c>
      <c r="L883" s="6" t="s">
        <v>4284</v>
      </c>
      <c r="M883" s="6" t="str">
        <f>TRIM(Dataset!M883)</f>
        <v>Instagram</v>
      </c>
      <c r="N883" s="10">
        <f>VALUE(TRIM(Dataset!N883))</f>
        <v>897.7</v>
      </c>
    </row>
    <row r="884" spans="1:14" x14ac:dyDescent="0.35">
      <c r="A884" s="6" t="str">
        <f>TRIM(Dataset!A884)</f>
        <v>ORD200882</v>
      </c>
      <c r="B884" s="4">
        <f>Dataset!B884</f>
        <v>45836</v>
      </c>
      <c r="C884" s="6" t="str">
        <f>TRIM(Dataset!C884)</f>
        <v>C43335</v>
      </c>
      <c r="D884" s="6" t="str">
        <f>TRIM(Dataset!D884)</f>
        <v>Phone</v>
      </c>
      <c r="E884" s="13">
        <f>VALUE(TRIM(Dataset!E884))</f>
        <v>2</v>
      </c>
      <c r="F884" s="10">
        <f>VALUE(TRIM(Dataset!F884))</f>
        <v>274.12</v>
      </c>
      <c r="G884" s="6" t="str">
        <f>TRIM(Dataset!G884)</f>
        <v>533 Main St</v>
      </c>
      <c r="H884" s="6" t="str">
        <f>TRIM(Dataset!H884)</f>
        <v>Cash</v>
      </c>
      <c r="I884" s="6" t="str">
        <f>TRIM(Dataset!I884)</f>
        <v>Delivered</v>
      </c>
      <c r="J884" s="6" t="str">
        <f>TRIM(Dataset!J884)</f>
        <v>TRK91848650</v>
      </c>
      <c r="K884" s="8" t="str">
        <f>TRIM(Dataset!K884)</f>
        <v>6</v>
      </c>
      <c r="L884" s="6" t="str">
        <f>Dataset!L884</f>
        <v>FREESHIP</v>
      </c>
      <c r="M884" s="6" t="str">
        <f>TRIM(Dataset!M884)</f>
        <v>Referral</v>
      </c>
      <c r="N884" s="10">
        <f>VALUE(TRIM(Dataset!N884))</f>
        <v>548.24</v>
      </c>
    </row>
    <row r="885" spans="1:14" x14ac:dyDescent="0.35">
      <c r="A885" s="6" t="str">
        <f>TRIM(Dataset!A885)</f>
        <v>ORD200883</v>
      </c>
      <c r="B885" s="4">
        <f>Dataset!B885</f>
        <v>45790</v>
      </c>
      <c r="C885" s="6" t="str">
        <f>TRIM(Dataset!C885)</f>
        <v>C43595</v>
      </c>
      <c r="D885" s="6" t="str">
        <f>TRIM(Dataset!D885)</f>
        <v>Printer</v>
      </c>
      <c r="E885" s="13">
        <f>VALUE(TRIM(Dataset!E885))</f>
        <v>5</v>
      </c>
      <c r="F885" s="10">
        <f>VALUE(TRIM(Dataset!F885))</f>
        <v>561.48</v>
      </c>
      <c r="G885" s="6" t="str">
        <f>TRIM(Dataset!G885)</f>
        <v>451 Main St</v>
      </c>
      <c r="H885" s="6" t="str">
        <f>TRIM(Dataset!H885)</f>
        <v>Online</v>
      </c>
      <c r="I885" s="6" t="str">
        <f>TRIM(Dataset!I885)</f>
        <v>Delivered</v>
      </c>
      <c r="J885" s="6" t="str">
        <f>TRIM(Dataset!J885)</f>
        <v>TRK25317348</v>
      </c>
      <c r="K885" s="8" t="str">
        <f>TRIM(Dataset!K885)</f>
        <v>9</v>
      </c>
      <c r="L885" s="6" t="str">
        <f>Dataset!L885</f>
        <v>FREESHIP</v>
      </c>
      <c r="M885" s="6" t="str">
        <f>TRIM(Dataset!M885)</f>
        <v>Facebook</v>
      </c>
      <c r="N885" s="10">
        <f>VALUE(TRIM(Dataset!N885))</f>
        <v>2807.4</v>
      </c>
    </row>
    <row r="886" spans="1:14" x14ac:dyDescent="0.35">
      <c r="A886" s="6" t="str">
        <f>TRIM(Dataset!A886)</f>
        <v>ORD200884</v>
      </c>
      <c r="B886" s="4">
        <f>Dataset!B886</f>
        <v>45427</v>
      </c>
      <c r="C886" s="6" t="str">
        <f>TRIM(Dataset!C886)</f>
        <v>C71471</v>
      </c>
      <c r="D886" s="6" t="str">
        <f>TRIM(Dataset!D886)</f>
        <v>Chair</v>
      </c>
      <c r="E886" s="13">
        <f>VALUE(TRIM(Dataset!E886))</f>
        <v>1</v>
      </c>
      <c r="F886" s="10">
        <f>VALUE(TRIM(Dataset!F886))</f>
        <v>595.54</v>
      </c>
      <c r="G886" s="6" t="str">
        <f>TRIM(Dataset!G886)</f>
        <v>817 Main St</v>
      </c>
      <c r="H886" s="6" t="str">
        <f>TRIM(Dataset!H886)</f>
        <v>Gift Card</v>
      </c>
      <c r="I886" s="6" t="str">
        <f>TRIM(Dataset!I886)</f>
        <v>Shipped</v>
      </c>
      <c r="J886" s="6" t="str">
        <f>TRIM(Dataset!J886)</f>
        <v>TRK52137079</v>
      </c>
      <c r="K886" s="8" t="str">
        <f>TRIM(Dataset!K886)</f>
        <v>4</v>
      </c>
      <c r="L886" s="6" t="s">
        <v>4284</v>
      </c>
      <c r="M886" s="6" t="str">
        <f>TRIM(Dataset!M886)</f>
        <v>Instagram</v>
      </c>
      <c r="N886" s="10">
        <f>VALUE(TRIM(Dataset!N886))</f>
        <v>595.54</v>
      </c>
    </row>
    <row r="887" spans="1:14" x14ac:dyDescent="0.35">
      <c r="A887" s="6" t="str">
        <f>TRIM(Dataset!A887)</f>
        <v>ORD200885</v>
      </c>
      <c r="B887" s="4">
        <f>Dataset!B887</f>
        <v>45389</v>
      </c>
      <c r="C887" s="6" t="str">
        <f>TRIM(Dataset!C887)</f>
        <v>C61090</v>
      </c>
      <c r="D887" s="6" t="str">
        <f>TRIM(Dataset!D887)</f>
        <v>Laptop</v>
      </c>
      <c r="E887" s="13">
        <f>VALUE(TRIM(Dataset!E887))</f>
        <v>4</v>
      </c>
      <c r="F887" s="10">
        <f>VALUE(TRIM(Dataset!F887))</f>
        <v>515.59</v>
      </c>
      <c r="G887" s="6" t="str">
        <f>TRIM(Dataset!G887)</f>
        <v>387 Main St</v>
      </c>
      <c r="H887" s="6" t="str">
        <f>TRIM(Dataset!H887)</f>
        <v>Credit Card</v>
      </c>
      <c r="I887" s="6" t="str">
        <f>TRIM(Dataset!I887)</f>
        <v>Shipped</v>
      </c>
      <c r="J887" s="6" t="str">
        <f>TRIM(Dataset!J887)</f>
        <v>TRK36388962</v>
      </c>
      <c r="K887" s="8" t="str">
        <f>TRIM(Dataset!K887)</f>
        <v>7</v>
      </c>
      <c r="L887" s="6" t="str">
        <f>Dataset!L887</f>
        <v>FREESHIP</v>
      </c>
      <c r="M887" s="6" t="str">
        <f>TRIM(Dataset!M887)</f>
        <v>Google</v>
      </c>
      <c r="N887" s="10">
        <f>VALUE(TRIM(Dataset!N887))</f>
        <v>2062.36</v>
      </c>
    </row>
    <row r="888" spans="1:14" x14ac:dyDescent="0.35">
      <c r="A888" s="6" t="str">
        <f>TRIM(Dataset!A888)</f>
        <v>ORD200886</v>
      </c>
      <c r="B888" s="4">
        <f>Dataset!B888</f>
        <v>45224</v>
      </c>
      <c r="C888" s="6" t="str">
        <f>TRIM(Dataset!C888)</f>
        <v>C29620</v>
      </c>
      <c r="D888" s="6" t="str">
        <f>TRIM(Dataset!D888)</f>
        <v>Phone</v>
      </c>
      <c r="E888" s="13">
        <f>VALUE(TRIM(Dataset!E888))</f>
        <v>1</v>
      </c>
      <c r="F888" s="10">
        <f>VALUE(TRIM(Dataset!F888))</f>
        <v>460.13</v>
      </c>
      <c r="G888" s="6" t="str">
        <f>TRIM(Dataset!G888)</f>
        <v>792 Main St</v>
      </c>
      <c r="H888" s="6" t="str">
        <f>TRIM(Dataset!H888)</f>
        <v>Credit Card</v>
      </c>
      <c r="I888" s="6" t="str">
        <f>TRIM(Dataset!I888)</f>
        <v>Returned</v>
      </c>
      <c r="J888" s="6" t="str">
        <f>TRIM(Dataset!J888)</f>
        <v>TRK22046456</v>
      </c>
      <c r="K888" s="8" t="str">
        <f>TRIM(Dataset!K888)</f>
        <v>1</v>
      </c>
      <c r="L888" s="6" t="s">
        <v>4284</v>
      </c>
      <c r="M888" s="6" t="str">
        <f>TRIM(Dataset!M888)</f>
        <v>Google</v>
      </c>
      <c r="N888" s="10">
        <f>VALUE(TRIM(Dataset!N888))</f>
        <v>460.13</v>
      </c>
    </row>
    <row r="889" spans="1:14" x14ac:dyDescent="0.35">
      <c r="A889" s="6" t="str">
        <f>TRIM(Dataset!A889)</f>
        <v>ORD200887</v>
      </c>
      <c r="B889" s="4">
        <f>Dataset!B889</f>
        <v>45645</v>
      </c>
      <c r="C889" s="6" t="str">
        <f>TRIM(Dataset!C889)</f>
        <v>C67932</v>
      </c>
      <c r="D889" s="6" t="str">
        <f>TRIM(Dataset!D889)</f>
        <v>Chair</v>
      </c>
      <c r="E889" s="13">
        <f>VALUE(TRIM(Dataset!E889))</f>
        <v>3</v>
      </c>
      <c r="F889" s="10">
        <f>VALUE(TRIM(Dataset!F889))</f>
        <v>171.66</v>
      </c>
      <c r="G889" s="6" t="str">
        <f>TRIM(Dataset!G889)</f>
        <v>857 Main St</v>
      </c>
      <c r="H889" s="6" t="str">
        <f>TRIM(Dataset!H889)</f>
        <v>Debit Card</v>
      </c>
      <c r="I889" s="6" t="str">
        <f>TRIM(Dataset!I889)</f>
        <v>Delivered</v>
      </c>
      <c r="J889" s="6" t="str">
        <f>TRIM(Dataset!J889)</f>
        <v>TRK88547534</v>
      </c>
      <c r="K889" s="8" t="str">
        <f>TRIM(Dataset!K889)</f>
        <v>7</v>
      </c>
      <c r="L889" s="6" t="s">
        <v>4284</v>
      </c>
      <c r="M889" s="6" t="str">
        <f>TRIM(Dataset!M889)</f>
        <v>Google</v>
      </c>
      <c r="N889" s="10">
        <f>VALUE(TRIM(Dataset!N889))</f>
        <v>514.98</v>
      </c>
    </row>
    <row r="890" spans="1:14" x14ac:dyDescent="0.35">
      <c r="A890" s="6" t="str">
        <f>TRIM(Dataset!A890)</f>
        <v>ORD200888</v>
      </c>
      <c r="B890" s="4">
        <f>Dataset!B890</f>
        <v>45496</v>
      </c>
      <c r="C890" s="6" t="str">
        <f>TRIM(Dataset!C890)</f>
        <v>C14427</v>
      </c>
      <c r="D890" s="6" t="str">
        <f>TRIM(Dataset!D890)</f>
        <v>Laptop</v>
      </c>
      <c r="E890" s="13">
        <f>VALUE(TRIM(Dataset!E890))</f>
        <v>2</v>
      </c>
      <c r="F890" s="10">
        <f>VALUE(TRIM(Dataset!F890))</f>
        <v>266.95</v>
      </c>
      <c r="G890" s="6" t="str">
        <f>TRIM(Dataset!G890)</f>
        <v>833 Main St</v>
      </c>
      <c r="H890" s="6" t="str">
        <f>TRIM(Dataset!H890)</f>
        <v>Credit Card</v>
      </c>
      <c r="I890" s="6" t="str">
        <f>TRIM(Dataset!I890)</f>
        <v>Pending</v>
      </c>
      <c r="J890" s="6" t="str">
        <f>TRIM(Dataset!J890)</f>
        <v>TRK58024529</v>
      </c>
      <c r="K890" s="8" t="str">
        <f>TRIM(Dataset!K890)</f>
        <v>3</v>
      </c>
      <c r="L890" s="6" t="s">
        <v>4284</v>
      </c>
      <c r="M890" s="6" t="str">
        <f>TRIM(Dataset!M890)</f>
        <v>Instagram</v>
      </c>
      <c r="N890" s="10">
        <f>VALUE(TRIM(Dataset!N890))</f>
        <v>533.9</v>
      </c>
    </row>
    <row r="891" spans="1:14" x14ac:dyDescent="0.35">
      <c r="A891" s="6" t="str">
        <f>TRIM(Dataset!A891)</f>
        <v>ORD200889</v>
      </c>
      <c r="B891" s="4">
        <f>Dataset!B891</f>
        <v>45592</v>
      </c>
      <c r="C891" s="6" t="str">
        <f>TRIM(Dataset!C891)</f>
        <v>C36725</v>
      </c>
      <c r="D891" s="6" t="str">
        <f>TRIM(Dataset!D891)</f>
        <v>Monitor</v>
      </c>
      <c r="E891" s="13">
        <f>VALUE(TRIM(Dataset!E891))</f>
        <v>5</v>
      </c>
      <c r="F891" s="10">
        <f>VALUE(TRIM(Dataset!F891))</f>
        <v>650.72</v>
      </c>
      <c r="G891" s="6" t="str">
        <f>TRIM(Dataset!G891)</f>
        <v>350 Main St</v>
      </c>
      <c r="H891" s="6" t="str">
        <f>TRIM(Dataset!H891)</f>
        <v>Credit Card</v>
      </c>
      <c r="I891" s="6" t="str">
        <f>TRIM(Dataset!I891)</f>
        <v>Cancelled</v>
      </c>
      <c r="J891" s="6" t="str">
        <f>TRIM(Dataset!J891)</f>
        <v>TRK16808790</v>
      </c>
      <c r="K891" s="8" t="str">
        <f>TRIM(Dataset!K891)</f>
        <v>8</v>
      </c>
      <c r="L891" s="6" t="str">
        <f>Dataset!L891</f>
        <v>WINTER15</v>
      </c>
      <c r="M891" s="6" t="str">
        <f>TRIM(Dataset!M891)</f>
        <v>Email</v>
      </c>
      <c r="N891" s="10">
        <f>VALUE(TRIM(Dataset!N891))</f>
        <v>3253.6</v>
      </c>
    </row>
    <row r="892" spans="1:14" x14ac:dyDescent="0.35">
      <c r="A892" s="6" t="str">
        <f>TRIM(Dataset!A892)</f>
        <v>ORD200890</v>
      </c>
      <c r="B892" s="4">
        <f>Dataset!B892</f>
        <v>45149</v>
      </c>
      <c r="C892" s="6" t="str">
        <f>TRIM(Dataset!C892)</f>
        <v>C51921</v>
      </c>
      <c r="D892" s="6" t="str">
        <f>TRIM(Dataset!D892)</f>
        <v>Laptop</v>
      </c>
      <c r="E892" s="13">
        <f>VALUE(TRIM(Dataset!E892))</f>
        <v>3</v>
      </c>
      <c r="F892" s="10">
        <f>VALUE(TRIM(Dataset!F892))</f>
        <v>439.53</v>
      </c>
      <c r="G892" s="6" t="str">
        <f>TRIM(Dataset!G892)</f>
        <v>943 Main St</v>
      </c>
      <c r="H892" s="6" t="str">
        <f>TRIM(Dataset!H892)</f>
        <v>Debit Card</v>
      </c>
      <c r="I892" s="6" t="str">
        <f>TRIM(Dataset!I892)</f>
        <v>Pending</v>
      </c>
      <c r="J892" s="6" t="str">
        <f>TRIM(Dataset!J892)</f>
        <v>TRK85741716</v>
      </c>
      <c r="K892" s="8" t="str">
        <f>TRIM(Dataset!K892)</f>
        <v>5</v>
      </c>
      <c r="L892" s="6" t="s">
        <v>4284</v>
      </c>
      <c r="M892" s="6" t="str">
        <f>TRIM(Dataset!M892)</f>
        <v>Google</v>
      </c>
      <c r="N892" s="10">
        <f>VALUE(TRIM(Dataset!N892))</f>
        <v>1318.59</v>
      </c>
    </row>
    <row r="893" spans="1:14" x14ac:dyDescent="0.35">
      <c r="A893" s="6" t="str">
        <f>TRIM(Dataset!A893)</f>
        <v>ORD200891</v>
      </c>
      <c r="B893" s="4">
        <f>Dataset!B893</f>
        <v>45241</v>
      </c>
      <c r="C893" s="6" t="str">
        <f>TRIM(Dataset!C893)</f>
        <v>C36534</v>
      </c>
      <c r="D893" s="6" t="str">
        <f>TRIM(Dataset!D893)</f>
        <v>Monitor</v>
      </c>
      <c r="E893" s="13">
        <f>VALUE(TRIM(Dataset!E893))</f>
        <v>3</v>
      </c>
      <c r="F893" s="10">
        <f>VALUE(TRIM(Dataset!F893))</f>
        <v>654.54</v>
      </c>
      <c r="G893" s="6" t="str">
        <f>TRIM(Dataset!G893)</f>
        <v>918 Main St</v>
      </c>
      <c r="H893" s="6" t="str">
        <f>TRIM(Dataset!H893)</f>
        <v>Cash</v>
      </c>
      <c r="I893" s="6" t="str">
        <f>TRIM(Dataset!I893)</f>
        <v>Returned</v>
      </c>
      <c r="J893" s="6" t="str">
        <f>TRIM(Dataset!J893)</f>
        <v>TRK38952138</v>
      </c>
      <c r="K893" s="8" t="str">
        <f>TRIM(Dataset!K893)</f>
        <v>7</v>
      </c>
      <c r="L893" s="6" t="str">
        <f>Dataset!L893</f>
        <v>SAVE10</v>
      </c>
      <c r="M893" s="6" t="str">
        <f>TRIM(Dataset!M893)</f>
        <v>Referral</v>
      </c>
      <c r="N893" s="10">
        <f>VALUE(TRIM(Dataset!N893))</f>
        <v>1963.62</v>
      </c>
    </row>
    <row r="894" spans="1:14" x14ac:dyDescent="0.35">
      <c r="A894" s="6" t="str">
        <f>TRIM(Dataset!A894)</f>
        <v>ORD200892</v>
      </c>
      <c r="B894" s="4">
        <f>Dataset!B894</f>
        <v>45447</v>
      </c>
      <c r="C894" s="6" t="str">
        <f>TRIM(Dataset!C894)</f>
        <v>C72043</v>
      </c>
      <c r="D894" s="6" t="str">
        <f>TRIM(Dataset!D894)</f>
        <v>Desk</v>
      </c>
      <c r="E894" s="13">
        <f>VALUE(TRIM(Dataset!E894))</f>
        <v>1</v>
      </c>
      <c r="F894" s="10">
        <f>VALUE(TRIM(Dataset!F894))</f>
        <v>394.53</v>
      </c>
      <c r="G894" s="6" t="str">
        <f>TRIM(Dataset!G894)</f>
        <v>480 Main St</v>
      </c>
      <c r="H894" s="6" t="str">
        <f>TRIM(Dataset!H894)</f>
        <v>Cash</v>
      </c>
      <c r="I894" s="6" t="str">
        <f>TRIM(Dataset!I894)</f>
        <v>Shipped</v>
      </c>
      <c r="J894" s="6" t="str">
        <f>TRIM(Dataset!J894)</f>
        <v>TRK40896408</v>
      </c>
      <c r="K894" s="8" t="str">
        <f>TRIM(Dataset!K894)</f>
        <v>2</v>
      </c>
      <c r="L894" s="6" t="str">
        <f>Dataset!L894</f>
        <v>FREESHIP</v>
      </c>
      <c r="M894" s="6" t="str">
        <f>TRIM(Dataset!M894)</f>
        <v>Referral</v>
      </c>
      <c r="N894" s="10">
        <f>VALUE(TRIM(Dataset!N894))</f>
        <v>394.53</v>
      </c>
    </row>
    <row r="895" spans="1:14" x14ac:dyDescent="0.35">
      <c r="A895" s="6" t="str">
        <f>TRIM(Dataset!A895)</f>
        <v>ORD200893</v>
      </c>
      <c r="B895" s="4">
        <f>Dataset!B895</f>
        <v>45006</v>
      </c>
      <c r="C895" s="6" t="str">
        <f>TRIM(Dataset!C895)</f>
        <v>C99533</v>
      </c>
      <c r="D895" s="6" t="str">
        <f>TRIM(Dataset!D895)</f>
        <v>Monitor</v>
      </c>
      <c r="E895" s="13">
        <f>VALUE(TRIM(Dataset!E895))</f>
        <v>1</v>
      </c>
      <c r="F895" s="10">
        <f>VALUE(TRIM(Dataset!F895))</f>
        <v>678.01</v>
      </c>
      <c r="G895" s="6" t="str">
        <f>TRIM(Dataset!G895)</f>
        <v>696 Main St</v>
      </c>
      <c r="H895" s="6" t="str">
        <f>TRIM(Dataset!H895)</f>
        <v>Cash</v>
      </c>
      <c r="I895" s="6" t="str">
        <f>TRIM(Dataset!I895)</f>
        <v>Pending</v>
      </c>
      <c r="J895" s="6" t="str">
        <f>TRIM(Dataset!J895)</f>
        <v>TRK55701253</v>
      </c>
      <c r="K895" s="8" t="str">
        <f>TRIM(Dataset!K895)</f>
        <v>4</v>
      </c>
      <c r="L895" s="6" t="str">
        <f>Dataset!L895</f>
        <v>FREESHIP</v>
      </c>
      <c r="M895" s="6" t="str">
        <f>TRIM(Dataset!M895)</f>
        <v>Referral</v>
      </c>
      <c r="N895" s="10">
        <f>VALUE(TRIM(Dataset!N895))</f>
        <v>678.01</v>
      </c>
    </row>
    <row r="896" spans="1:14" x14ac:dyDescent="0.35">
      <c r="A896" s="6" t="str">
        <f>TRIM(Dataset!A896)</f>
        <v>ORD200894</v>
      </c>
      <c r="B896" s="4">
        <f>Dataset!B896</f>
        <v>45069</v>
      </c>
      <c r="C896" s="6" t="str">
        <f>TRIM(Dataset!C896)</f>
        <v>C90852</v>
      </c>
      <c r="D896" s="6" t="str">
        <f>TRIM(Dataset!D896)</f>
        <v>Tablet</v>
      </c>
      <c r="E896" s="13">
        <f>VALUE(TRIM(Dataset!E896))</f>
        <v>3</v>
      </c>
      <c r="F896" s="10">
        <f>VALUE(TRIM(Dataset!F896))</f>
        <v>575.01</v>
      </c>
      <c r="G896" s="6" t="str">
        <f>TRIM(Dataset!G896)</f>
        <v>852 Main St</v>
      </c>
      <c r="H896" s="6" t="str">
        <f>TRIM(Dataset!H896)</f>
        <v>Online</v>
      </c>
      <c r="I896" s="6" t="str">
        <f>TRIM(Dataset!I896)</f>
        <v>Cancelled</v>
      </c>
      <c r="J896" s="6" t="str">
        <f>TRIM(Dataset!J896)</f>
        <v>TRK37551831</v>
      </c>
      <c r="K896" s="8" t="str">
        <f>TRIM(Dataset!K896)</f>
        <v>8</v>
      </c>
      <c r="L896" s="6" t="str">
        <f>Dataset!L896</f>
        <v>WINTER15</v>
      </c>
      <c r="M896" s="6" t="str">
        <f>TRIM(Dataset!M896)</f>
        <v>Instagram</v>
      </c>
      <c r="N896" s="10">
        <f>VALUE(TRIM(Dataset!N896))</f>
        <v>1725.03</v>
      </c>
    </row>
    <row r="897" spans="1:14" x14ac:dyDescent="0.35">
      <c r="A897" s="6" t="str">
        <f>TRIM(Dataset!A897)</f>
        <v>ORD200895</v>
      </c>
      <c r="B897" s="4">
        <f>Dataset!B897</f>
        <v>45239</v>
      </c>
      <c r="C897" s="6" t="str">
        <f>TRIM(Dataset!C897)</f>
        <v>C81882</v>
      </c>
      <c r="D897" s="6" t="str">
        <f>TRIM(Dataset!D897)</f>
        <v>Chair</v>
      </c>
      <c r="E897" s="13">
        <f>VALUE(TRIM(Dataset!E897))</f>
        <v>3</v>
      </c>
      <c r="F897" s="10">
        <f>VALUE(TRIM(Dataset!F897))</f>
        <v>154.63999999999999</v>
      </c>
      <c r="G897" s="6" t="str">
        <f>TRIM(Dataset!G897)</f>
        <v>832 Main St</v>
      </c>
      <c r="H897" s="6" t="str">
        <f>TRIM(Dataset!H897)</f>
        <v>Debit Card</v>
      </c>
      <c r="I897" s="6" t="str">
        <f>TRIM(Dataset!I897)</f>
        <v>Pending</v>
      </c>
      <c r="J897" s="6" t="str">
        <f>TRIM(Dataset!J897)</f>
        <v>TRK62371264</v>
      </c>
      <c r="K897" s="8" t="str">
        <f>TRIM(Dataset!K897)</f>
        <v>6</v>
      </c>
      <c r="L897" s="6" t="str">
        <f>Dataset!L897</f>
        <v>WINTER15</v>
      </c>
      <c r="M897" s="6" t="str">
        <f>TRIM(Dataset!M897)</f>
        <v>Facebook</v>
      </c>
      <c r="N897" s="10">
        <f>VALUE(TRIM(Dataset!N897))</f>
        <v>463.92</v>
      </c>
    </row>
    <row r="898" spans="1:14" x14ac:dyDescent="0.35">
      <c r="A898" s="6" t="str">
        <f>TRIM(Dataset!A898)</f>
        <v>ORD200896</v>
      </c>
      <c r="B898" s="4">
        <f>Dataset!B898</f>
        <v>45583</v>
      </c>
      <c r="C898" s="6" t="str">
        <f>TRIM(Dataset!C898)</f>
        <v>C85466</v>
      </c>
      <c r="D898" s="6" t="str">
        <f>TRIM(Dataset!D898)</f>
        <v>Desk</v>
      </c>
      <c r="E898" s="13">
        <f>VALUE(TRIM(Dataset!E898))</f>
        <v>3</v>
      </c>
      <c r="F898" s="10">
        <f>VALUE(TRIM(Dataset!F898))</f>
        <v>147.29</v>
      </c>
      <c r="G898" s="6" t="str">
        <f>TRIM(Dataset!G898)</f>
        <v>102 Main St</v>
      </c>
      <c r="H898" s="6" t="str">
        <f>TRIM(Dataset!H898)</f>
        <v>Gift Card</v>
      </c>
      <c r="I898" s="6" t="str">
        <f>TRIM(Dataset!I898)</f>
        <v>Shipped</v>
      </c>
      <c r="J898" s="6" t="str">
        <f>TRIM(Dataset!J898)</f>
        <v>TRK66764177</v>
      </c>
      <c r="K898" s="8" t="str">
        <f>TRIM(Dataset!K898)</f>
        <v>3</v>
      </c>
      <c r="L898" s="6" t="str">
        <f>Dataset!L898</f>
        <v>FREESHIP</v>
      </c>
      <c r="M898" s="6" t="str">
        <f>TRIM(Dataset!M898)</f>
        <v>Google</v>
      </c>
      <c r="N898" s="10">
        <f>VALUE(TRIM(Dataset!N898))</f>
        <v>441.87</v>
      </c>
    </row>
    <row r="899" spans="1:14" x14ac:dyDescent="0.35">
      <c r="A899" s="6" t="str">
        <f>TRIM(Dataset!A899)</f>
        <v>ORD200897</v>
      </c>
      <c r="B899" s="4">
        <f>Dataset!B899</f>
        <v>45538</v>
      </c>
      <c r="C899" s="6" t="str">
        <f>TRIM(Dataset!C899)</f>
        <v>C87995</v>
      </c>
      <c r="D899" s="6" t="str">
        <f>TRIM(Dataset!D899)</f>
        <v>Laptop</v>
      </c>
      <c r="E899" s="13">
        <f>VALUE(TRIM(Dataset!E899))</f>
        <v>4</v>
      </c>
      <c r="F899" s="10">
        <f>VALUE(TRIM(Dataset!F899))</f>
        <v>481.48</v>
      </c>
      <c r="G899" s="6" t="str">
        <f>TRIM(Dataset!G899)</f>
        <v>358 Main St</v>
      </c>
      <c r="H899" s="6" t="str">
        <f>TRIM(Dataset!H899)</f>
        <v>Gift Card</v>
      </c>
      <c r="I899" s="6" t="str">
        <f>TRIM(Dataset!I899)</f>
        <v>Delivered</v>
      </c>
      <c r="J899" s="6" t="str">
        <f>TRIM(Dataset!J899)</f>
        <v>TRK38730545</v>
      </c>
      <c r="K899" s="8" t="str">
        <f>TRIM(Dataset!K899)</f>
        <v>5</v>
      </c>
      <c r="L899" s="6" t="str">
        <f>Dataset!L899</f>
        <v>SAVE10</v>
      </c>
      <c r="M899" s="6" t="str">
        <f>TRIM(Dataset!M899)</f>
        <v>Instagram</v>
      </c>
      <c r="N899" s="10">
        <f>VALUE(TRIM(Dataset!N899))</f>
        <v>1925.92</v>
      </c>
    </row>
    <row r="900" spans="1:14" x14ac:dyDescent="0.35">
      <c r="A900" s="6" t="str">
        <f>TRIM(Dataset!A900)</f>
        <v>ORD200898</v>
      </c>
      <c r="B900" s="4">
        <f>Dataset!B900</f>
        <v>45721</v>
      </c>
      <c r="C900" s="6" t="str">
        <f>TRIM(Dataset!C900)</f>
        <v>C44619</v>
      </c>
      <c r="D900" s="6" t="str">
        <f>TRIM(Dataset!D900)</f>
        <v>Monitor</v>
      </c>
      <c r="E900" s="13">
        <f>VALUE(TRIM(Dataset!E900))</f>
        <v>3</v>
      </c>
      <c r="F900" s="10">
        <f>VALUE(TRIM(Dataset!F900))</f>
        <v>158.37</v>
      </c>
      <c r="G900" s="6" t="str">
        <f>TRIM(Dataset!G900)</f>
        <v>742 Main St</v>
      </c>
      <c r="H900" s="6" t="str">
        <f>TRIM(Dataset!H900)</f>
        <v>Cash</v>
      </c>
      <c r="I900" s="6" t="str">
        <f>TRIM(Dataset!I900)</f>
        <v>Shipped</v>
      </c>
      <c r="J900" s="6" t="str">
        <f>TRIM(Dataset!J900)</f>
        <v>TRK66662528</v>
      </c>
      <c r="K900" s="8" t="str">
        <f>TRIM(Dataset!K900)</f>
        <v>6</v>
      </c>
      <c r="L900" s="6" t="s">
        <v>4284</v>
      </c>
      <c r="M900" s="6" t="str">
        <f>TRIM(Dataset!M900)</f>
        <v>Referral</v>
      </c>
      <c r="N900" s="10">
        <f>VALUE(TRIM(Dataset!N900))</f>
        <v>475.11</v>
      </c>
    </row>
    <row r="901" spans="1:14" x14ac:dyDescent="0.35">
      <c r="A901" s="6" t="str">
        <f>TRIM(Dataset!A901)</f>
        <v>ORD200899</v>
      </c>
      <c r="B901" s="4">
        <f>Dataset!B901</f>
        <v>45770</v>
      </c>
      <c r="C901" s="6" t="str">
        <f>TRIM(Dataset!C901)</f>
        <v>C99904</v>
      </c>
      <c r="D901" s="6" t="str">
        <f>TRIM(Dataset!D901)</f>
        <v>Printer</v>
      </c>
      <c r="E901" s="13">
        <f>VALUE(TRIM(Dataset!E901))</f>
        <v>2</v>
      </c>
      <c r="F901" s="10">
        <f>VALUE(TRIM(Dataset!F901))</f>
        <v>323.37</v>
      </c>
      <c r="G901" s="6" t="str">
        <f>TRIM(Dataset!G901)</f>
        <v>552 Main St</v>
      </c>
      <c r="H901" s="6" t="str">
        <f>TRIM(Dataset!H901)</f>
        <v>Online</v>
      </c>
      <c r="I901" s="6" t="str">
        <f>TRIM(Dataset!I901)</f>
        <v>Pending</v>
      </c>
      <c r="J901" s="6" t="str">
        <f>TRIM(Dataset!J901)</f>
        <v>TRK83843411</v>
      </c>
      <c r="K901" s="8" t="str">
        <f>TRIM(Dataset!K901)</f>
        <v>3</v>
      </c>
      <c r="L901" s="6" t="str">
        <f>Dataset!L901</f>
        <v>SAVE10</v>
      </c>
      <c r="M901" s="6" t="str">
        <f>TRIM(Dataset!M901)</f>
        <v>Instagram</v>
      </c>
      <c r="N901" s="10">
        <f>VALUE(TRIM(Dataset!N901))</f>
        <v>646.74</v>
      </c>
    </row>
    <row r="902" spans="1:14" x14ac:dyDescent="0.35">
      <c r="A902" s="6" t="str">
        <f>TRIM(Dataset!A902)</f>
        <v>ORD200900</v>
      </c>
      <c r="B902" s="4">
        <f>Dataset!B902</f>
        <v>45695</v>
      </c>
      <c r="C902" s="6" t="str">
        <f>TRIM(Dataset!C902)</f>
        <v>C52342</v>
      </c>
      <c r="D902" s="6" t="str">
        <f>TRIM(Dataset!D902)</f>
        <v>Laptop</v>
      </c>
      <c r="E902" s="13">
        <f>VALUE(TRIM(Dataset!E902))</f>
        <v>5</v>
      </c>
      <c r="F902" s="10">
        <f>VALUE(TRIM(Dataset!F902))</f>
        <v>73.83</v>
      </c>
      <c r="G902" s="6" t="str">
        <f>TRIM(Dataset!G902)</f>
        <v>991 Main St</v>
      </c>
      <c r="H902" s="6" t="str">
        <f>TRIM(Dataset!H902)</f>
        <v>Debit Card</v>
      </c>
      <c r="I902" s="6" t="str">
        <f>TRIM(Dataset!I902)</f>
        <v>Pending</v>
      </c>
      <c r="J902" s="6" t="str">
        <f>TRIM(Dataset!J902)</f>
        <v>TRK67342586</v>
      </c>
      <c r="K902" s="8" t="str">
        <f>TRIM(Dataset!K902)</f>
        <v>9</v>
      </c>
      <c r="L902" s="6" t="s">
        <v>4284</v>
      </c>
      <c r="M902" s="6" t="str">
        <f>TRIM(Dataset!M902)</f>
        <v>Instagram</v>
      </c>
      <c r="N902" s="10">
        <f>VALUE(TRIM(Dataset!N902))</f>
        <v>369.15</v>
      </c>
    </row>
    <row r="903" spans="1:14" x14ac:dyDescent="0.35">
      <c r="A903" s="6" t="str">
        <f>TRIM(Dataset!A903)</f>
        <v>ORD200901</v>
      </c>
      <c r="B903" s="4">
        <f>Dataset!B903</f>
        <v>45410</v>
      </c>
      <c r="C903" s="6" t="str">
        <f>TRIM(Dataset!C903)</f>
        <v>C44277</v>
      </c>
      <c r="D903" s="6" t="str">
        <f>TRIM(Dataset!D903)</f>
        <v>Tablet</v>
      </c>
      <c r="E903" s="13">
        <f>VALUE(TRIM(Dataset!E903))</f>
        <v>1</v>
      </c>
      <c r="F903" s="10">
        <f>VALUE(TRIM(Dataset!F903))</f>
        <v>458.63</v>
      </c>
      <c r="G903" s="6" t="str">
        <f>TRIM(Dataset!G903)</f>
        <v>839 Main St</v>
      </c>
      <c r="H903" s="6" t="str">
        <f>TRIM(Dataset!H903)</f>
        <v>Debit Card</v>
      </c>
      <c r="I903" s="6" t="str">
        <f>TRIM(Dataset!I903)</f>
        <v>Returned</v>
      </c>
      <c r="J903" s="6" t="str">
        <f>TRIM(Dataset!J903)</f>
        <v>TRK79321479</v>
      </c>
      <c r="K903" s="8" t="str">
        <f>TRIM(Dataset!K903)</f>
        <v>4</v>
      </c>
      <c r="L903" s="6" t="str">
        <f>Dataset!L903</f>
        <v>WINTER15</v>
      </c>
      <c r="M903" s="6" t="str">
        <f>TRIM(Dataset!M903)</f>
        <v>Referral</v>
      </c>
      <c r="N903" s="10">
        <f>VALUE(TRIM(Dataset!N903))</f>
        <v>458.63</v>
      </c>
    </row>
    <row r="904" spans="1:14" x14ac:dyDescent="0.35">
      <c r="A904" s="6" t="str">
        <f>TRIM(Dataset!A904)</f>
        <v>ORD200902</v>
      </c>
      <c r="B904" s="4">
        <f>Dataset!B904</f>
        <v>45486</v>
      </c>
      <c r="C904" s="6" t="str">
        <f>TRIM(Dataset!C904)</f>
        <v>C61162</v>
      </c>
      <c r="D904" s="6" t="str">
        <f>TRIM(Dataset!D904)</f>
        <v>Monitor</v>
      </c>
      <c r="E904" s="13">
        <f>VALUE(TRIM(Dataset!E904))</f>
        <v>4</v>
      </c>
      <c r="F904" s="10">
        <f>VALUE(TRIM(Dataset!F904))</f>
        <v>180.25</v>
      </c>
      <c r="G904" s="6" t="str">
        <f>TRIM(Dataset!G904)</f>
        <v>813 Main St</v>
      </c>
      <c r="H904" s="6" t="str">
        <f>TRIM(Dataset!H904)</f>
        <v>Debit Card</v>
      </c>
      <c r="I904" s="6" t="str">
        <f>TRIM(Dataset!I904)</f>
        <v>Cancelled</v>
      </c>
      <c r="J904" s="6" t="str">
        <f>TRIM(Dataset!J904)</f>
        <v>TRK76712124</v>
      </c>
      <c r="K904" s="8" t="str">
        <f>TRIM(Dataset!K904)</f>
        <v>7</v>
      </c>
      <c r="L904" s="6" t="s">
        <v>4284</v>
      </c>
      <c r="M904" s="6" t="str">
        <f>TRIM(Dataset!M904)</f>
        <v>Facebook</v>
      </c>
      <c r="N904" s="10">
        <f>VALUE(TRIM(Dataset!N904))</f>
        <v>721</v>
      </c>
    </row>
    <row r="905" spans="1:14" x14ac:dyDescent="0.35">
      <c r="A905" s="6" t="str">
        <f>TRIM(Dataset!A905)</f>
        <v>ORD200903</v>
      </c>
      <c r="B905" s="4">
        <f>Dataset!B905</f>
        <v>45063</v>
      </c>
      <c r="C905" s="6" t="str">
        <f>TRIM(Dataset!C905)</f>
        <v>C80868</v>
      </c>
      <c r="D905" s="6" t="str">
        <f>TRIM(Dataset!D905)</f>
        <v>Monitor</v>
      </c>
      <c r="E905" s="13">
        <f>VALUE(TRIM(Dataset!E905))</f>
        <v>3</v>
      </c>
      <c r="F905" s="10">
        <f>VALUE(TRIM(Dataset!F905))</f>
        <v>473.49</v>
      </c>
      <c r="G905" s="6" t="str">
        <f>TRIM(Dataset!G905)</f>
        <v>205 Main St</v>
      </c>
      <c r="H905" s="6" t="str">
        <f>TRIM(Dataset!H905)</f>
        <v>Credit Card</v>
      </c>
      <c r="I905" s="6" t="str">
        <f>TRIM(Dataset!I905)</f>
        <v>Pending</v>
      </c>
      <c r="J905" s="6" t="str">
        <f>TRIM(Dataset!J905)</f>
        <v>TRK56186636</v>
      </c>
      <c r="K905" s="8" t="str">
        <f>TRIM(Dataset!K905)</f>
        <v>7</v>
      </c>
      <c r="L905" s="6" t="s">
        <v>4284</v>
      </c>
      <c r="M905" s="6" t="str">
        <f>TRIM(Dataset!M905)</f>
        <v>Email</v>
      </c>
      <c r="N905" s="10">
        <f>VALUE(TRIM(Dataset!N905))</f>
        <v>1420.47</v>
      </c>
    </row>
    <row r="906" spans="1:14" x14ac:dyDescent="0.35">
      <c r="A906" s="6" t="str">
        <f>TRIM(Dataset!A906)</f>
        <v>ORD200904</v>
      </c>
      <c r="B906" s="4">
        <f>Dataset!B906</f>
        <v>45693</v>
      </c>
      <c r="C906" s="6" t="str">
        <f>TRIM(Dataset!C906)</f>
        <v>C16693</v>
      </c>
      <c r="D906" s="6" t="str">
        <f>TRIM(Dataset!D906)</f>
        <v>Monitor</v>
      </c>
      <c r="E906" s="13">
        <f>VALUE(TRIM(Dataset!E906))</f>
        <v>4</v>
      </c>
      <c r="F906" s="10">
        <f>VALUE(TRIM(Dataset!F906))</f>
        <v>237.43</v>
      </c>
      <c r="G906" s="6" t="str">
        <f>TRIM(Dataset!G906)</f>
        <v>262 Main St</v>
      </c>
      <c r="H906" s="6" t="str">
        <f>TRIM(Dataset!H906)</f>
        <v>Cash</v>
      </c>
      <c r="I906" s="6" t="str">
        <f>TRIM(Dataset!I906)</f>
        <v>Cancelled</v>
      </c>
      <c r="J906" s="6" t="str">
        <f>TRIM(Dataset!J906)</f>
        <v>TRK41146508</v>
      </c>
      <c r="K906" s="8" t="str">
        <f>TRIM(Dataset!K906)</f>
        <v>8</v>
      </c>
      <c r="L906" s="6" t="str">
        <f>Dataset!L906</f>
        <v>WINTER15</v>
      </c>
      <c r="M906" s="6" t="str">
        <f>TRIM(Dataset!M906)</f>
        <v>Referral</v>
      </c>
      <c r="N906" s="10">
        <f>VALUE(TRIM(Dataset!N906))</f>
        <v>949.72</v>
      </c>
    </row>
    <row r="907" spans="1:14" x14ac:dyDescent="0.35">
      <c r="A907" s="6" t="str">
        <f>TRIM(Dataset!A907)</f>
        <v>ORD200905</v>
      </c>
      <c r="B907" s="4">
        <f>Dataset!B907</f>
        <v>45253</v>
      </c>
      <c r="C907" s="6" t="str">
        <f>TRIM(Dataset!C907)</f>
        <v>C67818</v>
      </c>
      <c r="D907" s="6" t="str">
        <f>TRIM(Dataset!D907)</f>
        <v>Laptop</v>
      </c>
      <c r="E907" s="13">
        <f>VALUE(TRIM(Dataset!E907))</f>
        <v>1</v>
      </c>
      <c r="F907" s="10">
        <f>VALUE(TRIM(Dataset!F907))</f>
        <v>442.39</v>
      </c>
      <c r="G907" s="6" t="str">
        <f>TRIM(Dataset!G907)</f>
        <v>101 Main St</v>
      </c>
      <c r="H907" s="6" t="str">
        <f>TRIM(Dataset!H907)</f>
        <v>Gift Card</v>
      </c>
      <c r="I907" s="6" t="str">
        <f>TRIM(Dataset!I907)</f>
        <v>Pending</v>
      </c>
      <c r="J907" s="6" t="str">
        <f>TRIM(Dataset!J907)</f>
        <v>TRK81978113</v>
      </c>
      <c r="K907" s="8" t="str">
        <f>TRIM(Dataset!K907)</f>
        <v>6</v>
      </c>
      <c r="L907" s="6" t="str">
        <f>Dataset!L907</f>
        <v>FREESHIP</v>
      </c>
      <c r="M907" s="6" t="str">
        <f>TRIM(Dataset!M907)</f>
        <v>Facebook</v>
      </c>
      <c r="N907" s="10">
        <f>VALUE(TRIM(Dataset!N907))</f>
        <v>442.39</v>
      </c>
    </row>
    <row r="908" spans="1:14" x14ac:dyDescent="0.35">
      <c r="A908" s="6" t="str">
        <f>TRIM(Dataset!A908)</f>
        <v>ORD200906</v>
      </c>
      <c r="B908" s="4">
        <f>Dataset!B908</f>
        <v>45538</v>
      </c>
      <c r="C908" s="6" t="str">
        <f>TRIM(Dataset!C908)</f>
        <v>C49938</v>
      </c>
      <c r="D908" s="6" t="str">
        <f>TRIM(Dataset!D908)</f>
        <v>Monitor</v>
      </c>
      <c r="E908" s="13">
        <f>VALUE(TRIM(Dataset!E908))</f>
        <v>1</v>
      </c>
      <c r="F908" s="10">
        <f>VALUE(TRIM(Dataset!F908))</f>
        <v>62.12</v>
      </c>
      <c r="G908" s="6" t="str">
        <f>TRIM(Dataset!G908)</f>
        <v>141 Main St</v>
      </c>
      <c r="H908" s="6" t="str">
        <f>TRIM(Dataset!H908)</f>
        <v>Cash</v>
      </c>
      <c r="I908" s="6" t="str">
        <f>TRIM(Dataset!I908)</f>
        <v>Returned</v>
      </c>
      <c r="J908" s="6" t="str">
        <f>TRIM(Dataset!J908)</f>
        <v>TRK80175572</v>
      </c>
      <c r="K908" s="8" t="str">
        <f>TRIM(Dataset!K908)</f>
        <v>2</v>
      </c>
      <c r="L908" s="6" t="s">
        <v>4284</v>
      </c>
      <c r="M908" s="6" t="str">
        <f>TRIM(Dataset!M908)</f>
        <v>Email</v>
      </c>
      <c r="N908" s="10">
        <f>VALUE(TRIM(Dataset!N908))</f>
        <v>62.12</v>
      </c>
    </row>
    <row r="909" spans="1:14" x14ac:dyDescent="0.35">
      <c r="A909" s="6" t="str">
        <f>TRIM(Dataset!A909)</f>
        <v>ORD200907</v>
      </c>
      <c r="B909" s="4">
        <f>Dataset!B909</f>
        <v>45508</v>
      </c>
      <c r="C909" s="6" t="str">
        <f>TRIM(Dataset!C909)</f>
        <v>C90898</v>
      </c>
      <c r="D909" s="6" t="str">
        <f>TRIM(Dataset!D909)</f>
        <v>Desk</v>
      </c>
      <c r="E909" s="13">
        <f>VALUE(TRIM(Dataset!E909))</f>
        <v>5</v>
      </c>
      <c r="F909" s="10">
        <f>VALUE(TRIM(Dataset!F909))</f>
        <v>298.39</v>
      </c>
      <c r="G909" s="6" t="str">
        <f>TRIM(Dataset!G909)</f>
        <v>583 Main St</v>
      </c>
      <c r="H909" s="6" t="str">
        <f>TRIM(Dataset!H909)</f>
        <v>Gift Card</v>
      </c>
      <c r="I909" s="6" t="str">
        <f>TRIM(Dataset!I909)</f>
        <v>Cancelled</v>
      </c>
      <c r="J909" s="6" t="str">
        <f>TRIM(Dataset!J909)</f>
        <v>TRK52935170</v>
      </c>
      <c r="K909" s="8" t="str">
        <f>TRIM(Dataset!K909)</f>
        <v>7</v>
      </c>
      <c r="L909" s="6" t="str">
        <f>Dataset!L909</f>
        <v>WINTER15</v>
      </c>
      <c r="M909" s="6" t="str">
        <f>TRIM(Dataset!M909)</f>
        <v>Referral</v>
      </c>
      <c r="N909" s="10">
        <f>VALUE(TRIM(Dataset!N909))</f>
        <v>1491.95</v>
      </c>
    </row>
    <row r="910" spans="1:14" x14ac:dyDescent="0.35">
      <c r="A910" s="6" t="str">
        <f>TRIM(Dataset!A910)</f>
        <v>ORD200908</v>
      </c>
      <c r="B910" s="4">
        <f>Dataset!B910</f>
        <v>45783</v>
      </c>
      <c r="C910" s="6" t="str">
        <f>TRIM(Dataset!C910)</f>
        <v>C35117</v>
      </c>
      <c r="D910" s="6" t="str">
        <f>TRIM(Dataset!D910)</f>
        <v>Desk</v>
      </c>
      <c r="E910" s="13">
        <f>VALUE(TRIM(Dataset!E910))</f>
        <v>2</v>
      </c>
      <c r="F910" s="10">
        <f>VALUE(TRIM(Dataset!F910))</f>
        <v>697.93</v>
      </c>
      <c r="G910" s="6" t="str">
        <f>TRIM(Dataset!G910)</f>
        <v>332 Main St</v>
      </c>
      <c r="H910" s="6" t="str">
        <f>TRIM(Dataset!H910)</f>
        <v>Credit Card</v>
      </c>
      <c r="I910" s="6" t="str">
        <f>TRIM(Dataset!I910)</f>
        <v>Cancelled</v>
      </c>
      <c r="J910" s="6" t="str">
        <f>TRIM(Dataset!J910)</f>
        <v>TRK27155709</v>
      </c>
      <c r="K910" s="8" t="str">
        <f>TRIM(Dataset!K910)</f>
        <v>2</v>
      </c>
      <c r="L910" s="6" t="str">
        <f>Dataset!L910</f>
        <v>SAVE10</v>
      </c>
      <c r="M910" s="6" t="str">
        <f>TRIM(Dataset!M910)</f>
        <v>Google</v>
      </c>
      <c r="N910" s="10">
        <f>VALUE(TRIM(Dataset!N910))</f>
        <v>1395.86</v>
      </c>
    </row>
    <row r="911" spans="1:14" x14ac:dyDescent="0.35">
      <c r="A911" s="6" t="str">
        <f>TRIM(Dataset!A911)</f>
        <v>ORD200909</v>
      </c>
      <c r="B911" s="4">
        <f>Dataset!B911</f>
        <v>45439</v>
      </c>
      <c r="C911" s="6" t="str">
        <f>TRIM(Dataset!C911)</f>
        <v>C60203</v>
      </c>
      <c r="D911" s="6" t="str">
        <f>TRIM(Dataset!D911)</f>
        <v>Tablet</v>
      </c>
      <c r="E911" s="13">
        <f>VALUE(TRIM(Dataset!E911))</f>
        <v>2</v>
      </c>
      <c r="F911" s="10">
        <f>VALUE(TRIM(Dataset!F911))</f>
        <v>291.85000000000002</v>
      </c>
      <c r="G911" s="6" t="str">
        <f>TRIM(Dataset!G911)</f>
        <v>569 Main St</v>
      </c>
      <c r="H911" s="6" t="str">
        <f>TRIM(Dataset!H911)</f>
        <v>Cash</v>
      </c>
      <c r="I911" s="6" t="str">
        <f>TRIM(Dataset!I911)</f>
        <v>Shipped</v>
      </c>
      <c r="J911" s="6" t="str">
        <f>TRIM(Dataset!J911)</f>
        <v>TRK76525279</v>
      </c>
      <c r="K911" s="8" t="str">
        <f>TRIM(Dataset!K911)</f>
        <v>5</v>
      </c>
      <c r="L911" s="6" t="str">
        <f>Dataset!L911</f>
        <v>FREESHIP</v>
      </c>
      <c r="M911" s="6" t="str">
        <f>TRIM(Dataset!M911)</f>
        <v>Instagram</v>
      </c>
      <c r="N911" s="10">
        <f>VALUE(TRIM(Dataset!N911))</f>
        <v>583.70000000000005</v>
      </c>
    </row>
    <row r="912" spans="1:14" x14ac:dyDescent="0.35">
      <c r="A912" s="6" t="str">
        <f>TRIM(Dataset!A912)</f>
        <v>ORD200910</v>
      </c>
      <c r="B912" s="4">
        <f>Dataset!B912</f>
        <v>45443</v>
      </c>
      <c r="C912" s="6" t="str">
        <f>TRIM(Dataset!C912)</f>
        <v>C36174</v>
      </c>
      <c r="D912" s="6" t="str">
        <f>TRIM(Dataset!D912)</f>
        <v>Printer</v>
      </c>
      <c r="E912" s="13">
        <f>VALUE(TRIM(Dataset!E912))</f>
        <v>3</v>
      </c>
      <c r="F912" s="10">
        <f>VALUE(TRIM(Dataset!F912))</f>
        <v>308.98</v>
      </c>
      <c r="G912" s="6" t="str">
        <f>TRIM(Dataset!G912)</f>
        <v>348 Main St</v>
      </c>
      <c r="H912" s="6" t="str">
        <f>TRIM(Dataset!H912)</f>
        <v>Cash</v>
      </c>
      <c r="I912" s="6" t="str">
        <f>TRIM(Dataset!I912)</f>
        <v>Delivered</v>
      </c>
      <c r="J912" s="6" t="str">
        <f>TRIM(Dataset!J912)</f>
        <v>TRK26397548</v>
      </c>
      <c r="K912" s="8" t="str">
        <f>TRIM(Dataset!K912)</f>
        <v>3</v>
      </c>
      <c r="L912" s="6" t="str">
        <f>Dataset!L912</f>
        <v>SAVE10</v>
      </c>
      <c r="M912" s="6" t="str">
        <f>TRIM(Dataset!M912)</f>
        <v>Instagram</v>
      </c>
      <c r="N912" s="10">
        <f>VALUE(TRIM(Dataset!N912))</f>
        <v>926.94</v>
      </c>
    </row>
    <row r="913" spans="1:14" x14ac:dyDescent="0.35">
      <c r="A913" s="6" t="str">
        <f>TRIM(Dataset!A913)</f>
        <v>ORD200911</v>
      </c>
      <c r="B913" s="4">
        <f>Dataset!B913</f>
        <v>45517</v>
      </c>
      <c r="C913" s="6" t="str">
        <f>TRIM(Dataset!C913)</f>
        <v>C80872</v>
      </c>
      <c r="D913" s="6" t="str">
        <f>TRIM(Dataset!D913)</f>
        <v>Desk</v>
      </c>
      <c r="E913" s="13">
        <f>VALUE(TRIM(Dataset!E913))</f>
        <v>5</v>
      </c>
      <c r="F913" s="10">
        <f>VALUE(TRIM(Dataset!F913))</f>
        <v>396.86</v>
      </c>
      <c r="G913" s="6" t="str">
        <f>TRIM(Dataset!G913)</f>
        <v>593 Main St</v>
      </c>
      <c r="H913" s="6" t="str">
        <f>TRIM(Dataset!H913)</f>
        <v>Cash</v>
      </c>
      <c r="I913" s="6" t="str">
        <f>TRIM(Dataset!I913)</f>
        <v>Cancelled</v>
      </c>
      <c r="J913" s="6" t="str">
        <f>TRIM(Dataset!J913)</f>
        <v>TRK43967487</v>
      </c>
      <c r="K913" s="8" t="str">
        <f>TRIM(Dataset!K913)</f>
        <v>9</v>
      </c>
      <c r="L913" s="6" t="str">
        <f>Dataset!L913</f>
        <v>SAVE10</v>
      </c>
      <c r="M913" s="6" t="str">
        <f>TRIM(Dataset!M913)</f>
        <v>Instagram</v>
      </c>
      <c r="N913" s="10">
        <f>VALUE(TRIM(Dataset!N913))</f>
        <v>1984.3</v>
      </c>
    </row>
    <row r="914" spans="1:14" x14ac:dyDescent="0.35">
      <c r="A914" s="6" t="str">
        <f>TRIM(Dataset!A914)</f>
        <v>ORD200912</v>
      </c>
      <c r="B914" s="4">
        <f>Dataset!B914</f>
        <v>45313</v>
      </c>
      <c r="C914" s="6" t="str">
        <f>TRIM(Dataset!C914)</f>
        <v>C67604</v>
      </c>
      <c r="D914" s="6" t="str">
        <f>TRIM(Dataset!D914)</f>
        <v>Desk</v>
      </c>
      <c r="E914" s="13">
        <f>VALUE(TRIM(Dataset!E914))</f>
        <v>2</v>
      </c>
      <c r="F914" s="10">
        <f>VALUE(TRIM(Dataset!F914))</f>
        <v>139.69</v>
      </c>
      <c r="G914" s="6" t="str">
        <f>TRIM(Dataset!G914)</f>
        <v>318 Main St</v>
      </c>
      <c r="H914" s="6" t="str">
        <f>TRIM(Dataset!H914)</f>
        <v>Online</v>
      </c>
      <c r="I914" s="6" t="str">
        <f>TRIM(Dataset!I914)</f>
        <v>Returned</v>
      </c>
      <c r="J914" s="6" t="str">
        <f>TRIM(Dataset!J914)</f>
        <v>TRK85545920</v>
      </c>
      <c r="K914" s="8" t="str">
        <f>TRIM(Dataset!K914)</f>
        <v>7</v>
      </c>
      <c r="L914" s="6" t="str">
        <f>Dataset!L914</f>
        <v>FREESHIP</v>
      </c>
      <c r="M914" s="6" t="str">
        <f>TRIM(Dataset!M914)</f>
        <v>Email</v>
      </c>
      <c r="N914" s="10">
        <f>VALUE(TRIM(Dataset!N914))</f>
        <v>279.38</v>
      </c>
    </row>
    <row r="915" spans="1:14" x14ac:dyDescent="0.35">
      <c r="A915" s="6" t="str">
        <f>TRIM(Dataset!A915)</f>
        <v>ORD200913</v>
      </c>
      <c r="B915" s="4">
        <f>Dataset!B915</f>
        <v>44973</v>
      </c>
      <c r="C915" s="6" t="str">
        <f>TRIM(Dataset!C915)</f>
        <v>C45599</v>
      </c>
      <c r="D915" s="6" t="str">
        <f>TRIM(Dataset!D915)</f>
        <v>Printer</v>
      </c>
      <c r="E915" s="13">
        <f>VALUE(TRIM(Dataset!E915))</f>
        <v>5</v>
      </c>
      <c r="F915" s="10">
        <f>VALUE(TRIM(Dataset!F915))</f>
        <v>475.95</v>
      </c>
      <c r="G915" s="6" t="str">
        <f>TRIM(Dataset!G915)</f>
        <v>505 Main St</v>
      </c>
      <c r="H915" s="6" t="str">
        <f>TRIM(Dataset!H915)</f>
        <v>Credit Card</v>
      </c>
      <c r="I915" s="6" t="str">
        <f>TRIM(Dataset!I915)</f>
        <v>Returned</v>
      </c>
      <c r="J915" s="6" t="str">
        <f>TRIM(Dataset!J915)</f>
        <v>TRK62277685</v>
      </c>
      <c r="K915" s="8" t="str">
        <f>TRIM(Dataset!K915)</f>
        <v>8</v>
      </c>
      <c r="L915" s="6" t="str">
        <f>Dataset!L915</f>
        <v>WINTER15</v>
      </c>
      <c r="M915" s="6" t="str">
        <f>TRIM(Dataset!M915)</f>
        <v>Facebook</v>
      </c>
      <c r="N915" s="10">
        <f>VALUE(TRIM(Dataset!N915))</f>
        <v>2379.75</v>
      </c>
    </row>
    <row r="916" spans="1:14" x14ac:dyDescent="0.35">
      <c r="A916" s="6" t="str">
        <f>TRIM(Dataset!A916)</f>
        <v>ORD200914</v>
      </c>
      <c r="B916" s="4">
        <f>Dataset!B916</f>
        <v>45698</v>
      </c>
      <c r="C916" s="6" t="str">
        <f>TRIM(Dataset!C916)</f>
        <v>C70352</v>
      </c>
      <c r="D916" s="6" t="str">
        <f>TRIM(Dataset!D916)</f>
        <v>Desk</v>
      </c>
      <c r="E916" s="13">
        <f>VALUE(TRIM(Dataset!E916))</f>
        <v>1</v>
      </c>
      <c r="F916" s="10">
        <f>VALUE(TRIM(Dataset!F916))</f>
        <v>626.6</v>
      </c>
      <c r="G916" s="6" t="str">
        <f>TRIM(Dataset!G916)</f>
        <v>955 Main St</v>
      </c>
      <c r="H916" s="6" t="str">
        <f>TRIM(Dataset!H916)</f>
        <v>Gift Card</v>
      </c>
      <c r="I916" s="6" t="str">
        <f>TRIM(Dataset!I916)</f>
        <v>Returned</v>
      </c>
      <c r="J916" s="6" t="str">
        <f>TRIM(Dataset!J916)</f>
        <v>TRK51589589</v>
      </c>
      <c r="K916" s="8" t="str">
        <f>TRIM(Dataset!K916)</f>
        <v>4</v>
      </c>
      <c r="L916" s="6" t="str">
        <f>Dataset!L916</f>
        <v>WINTER15</v>
      </c>
      <c r="M916" s="6" t="str">
        <f>TRIM(Dataset!M916)</f>
        <v>Facebook</v>
      </c>
      <c r="N916" s="10">
        <f>VALUE(TRIM(Dataset!N916))</f>
        <v>626.6</v>
      </c>
    </row>
    <row r="917" spans="1:14" x14ac:dyDescent="0.35">
      <c r="A917" s="6" t="str">
        <f>TRIM(Dataset!A917)</f>
        <v>ORD200915</v>
      </c>
      <c r="B917" s="4">
        <f>Dataset!B917</f>
        <v>45338</v>
      </c>
      <c r="C917" s="6" t="str">
        <f>TRIM(Dataset!C917)</f>
        <v>C20643</v>
      </c>
      <c r="D917" s="6" t="str">
        <f>TRIM(Dataset!D917)</f>
        <v>Laptop</v>
      </c>
      <c r="E917" s="13">
        <f>VALUE(TRIM(Dataset!E917))</f>
        <v>4</v>
      </c>
      <c r="F917" s="10">
        <f>VALUE(TRIM(Dataset!F917))</f>
        <v>502.99</v>
      </c>
      <c r="G917" s="6" t="str">
        <f>TRIM(Dataset!G917)</f>
        <v>939 Main St</v>
      </c>
      <c r="H917" s="6" t="str">
        <f>TRIM(Dataset!H917)</f>
        <v>Debit Card</v>
      </c>
      <c r="I917" s="6" t="str">
        <f>TRIM(Dataset!I917)</f>
        <v>Shipped</v>
      </c>
      <c r="J917" s="6" t="str">
        <f>TRIM(Dataset!J917)</f>
        <v>TRK30736692</v>
      </c>
      <c r="K917" s="8" t="str">
        <f>TRIM(Dataset!K917)</f>
        <v>4</v>
      </c>
      <c r="L917" s="6" t="str">
        <f>Dataset!L917</f>
        <v>WINTER15</v>
      </c>
      <c r="M917" s="6" t="str">
        <f>TRIM(Dataset!M917)</f>
        <v>Referral</v>
      </c>
      <c r="N917" s="10">
        <f>VALUE(TRIM(Dataset!N917))</f>
        <v>2011.96</v>
      </c>
    </row>
    <row r="918" spans="1:14" x14ac:dyDescent="0.35">
      <c r="A918" s="6" t="str">
        <f>TRIM(Dataset!A918)</f>
        <v>ORD200916</v>
      </c>
      <c r="B918" s="4">
        <f>Dataset!B918</f>
        <v>45464</v>
      </c>
      <c r="C918" s="6" t="str">
        <f>TRIM(Dataset!C918)</f>
        <v>C35669</v>
      </c>
      <c r="D918" s="6" t="str">
        <f>TRIM(Dataset!D918)</f>
        <v>Printer</v>
      </c>
      <c r="E918" s="13">
        <f>VALUE(TRIM(Dataset!E918))</f>
        <v>5</v>
      </c>
      <c r="F918" s="10">
        <f>VALUE(TRIM(Dataset!F918))</f>
        <v>578.83000000000004</v>
      </c>
      <c r="G918" s="6" t="str">
        <f>TRIM(Dataset!G918)</f>
        <v>165 Main St</v>
      </c>
      <c r="H918" s="6" t="str">
        <f>TRIM(Dataset!H918)</f>
        <v>Cash</v>
      </c>
      <c r="I918" s="6" t="str">
        <f>TRIM(Dataset!I918)</f>
        <v>Returned</v>
      </c>
      <c r="J918" s="6" t="str">
        <f>TRIM(Dataset!J918)</f>
        <v>TRK13928455</v>
      </c>
      <c r="K918" s="8" t="str">
        <f>TRIM(Dataset!K918)</f>
        <v>6</v>
      </c>
      <c r="L918" s="6" t="s">
        <v>4284</v>
      </c>
      <c r="M918" s="6" t="str">
        <f>TRIM(Dataset!M918)</f>
        <v>Referral</v>
      </c>
      <c r="N918" s="10">
        <f>VALUE(TRIM(Dataset!N918))</f>
        <v>2894.15</v>
      </c>
    </row>
    <row r="919" spans="1:14" x14ac:dyDescent="0.35">
      <c r="A919" s="6" t="str">
        <f>TRIM(Dataset!A919)</f>
        <v>ORD200917</v>
      </c>
      <c r="B919" s="4">
        <f>Dataset!B919</f>
        <v>45677</v>
      </c>
      <c r="C919" s="6" t="str">
        <f>TRIM(Dataset!C919)</f>
        <v>C65524</v>
      </c>
      <c r="D919" s="6" t="str">
        <f>TRIM(Dataset!D919)</f>
        <v>Laptop</v>
      </c>
      <c r="E919" s="13">
        <f>VALUE(TRIM(Dataset!E919))</f>
        <v>5</v>
      </c>
      <c r="F919" s="10">
        <f>VALUE(TRIM(Dataset!F919))</f>
        <v>383.82</v>
      </c>
      <c r="G919" s="6" t="str">
        <f>TRIM(Dataset!G919)</f>
        <v>836 Main St</v>
      </c>
      <c r="H919" s="6" t="str">
        <f>TRIM(Dataset!H919)</f>
        <v>Credit Card</v>
      </c>
      <c r="I919" s="6" t="str">
        <f>TRIM(Dataset!I919)</f>
        <v>Returned</v>
      </c>
      <c r="J919" s="6" t="str">
        <f>TRIM(Dataset!J919)</f>
        <v>TRK19315310</v>
      </c>
      <c r="K919" s="8" t="str">
        <f>TRIM(Dataset!K919)</f>
        <v>7</v>
      </c>
      <c r="L919" s="6" t="str">
        <f>Dataset!L919</f>
        <v>FREESHIP</v>
      </c>
      <c r="M919" s="6" t="str">
        <f>TRIM(Dataset!M919)</f>
        <v>Google</v>
      </c>
      <c r="N919" s="10">
        <f>VALUE(TRIM(Dataset!N919))</f>
        <v>1919.1</v>
      </c>
    </row>
    <row r="920" spans="1:14" x14ac:dyDescent="0.35">
      <c r="A920" s="6" t="str">
        <f>TRIM(Dataset!A920)</f>
        <v>ORD200918</v>
      </c>
      <c r="B920" s="4">
        <f>Dataset!B920</f>
        <v>45832</v>
      </c>
      <c r="C920" s="6" t="str">
        <f>TRIM(Dataset!C920)</f>
        <v>C74359</v>
      </c>
      <c r="D920" s="6" t="str">
        <f>TRIM(Dataset!D920)</f>
        <v>Laptop</v>
      </c>
      <c r="E920" s="13">
        <f>VALUE(TRIM(Dataset!E920))</f>
        <v>5</v>
      </c>
      <c r="F920" s="10">
        <f>VALUE(TRIM(Dataset!F920))</f>
        <v>368.25</v>
      </c>
      <c r="G920" s="6" t="str">
        <f>TRIM(Dataset!G920)</f>
        <v>706 Main St</v>
      </c>
      <c r="H920" s="6" t="str">
        <f>TRIM(Dataset!H920)</f>
        <v>Online</v>
      </c>
      <c r="I920" s="6" t="str">
        <f>TRIM(Dataset!I920)</f>
        <v>Delivered</v>
      </c>
      <c r="J920" s="6" t="str">
        <f>TRIM(Dataset!J920)</f>
        <v>TRK18250450</v>
      </c>
      <c r="K920" s="8" t="str">
        <f>TRIM(Dataset!K920)</f>
        <v>5</v>
      </c>
      <c r="L920" s="6" t="s">
        <v>4284</v>
      </c>
      <c r="M920" s="6" t="str">
        <f>TRIM(Dataset!M920)</f>
        <v>Instagram</v>
      </c>
      <c r="N920" s="10">
        <f>VALUE(TRIM(Dataset!N920))</f>
        <v>1841.25</v>
      </c>
    </row>
    <row r="921" spans="1:14" x14ac:dyDescent="0.35">
      <c r="A921" s="6" t="str">
        <f>TRIM(Dataset!A921)</f>
        <v>ORD200919</v>
      </c>
      <c r="B921" s="4">
        <f>Dataset!B921</f>
        <v>45695</v>
      </c>
      <c r="C921" s="6" t="str">
        <f>TRIM(Dataset!C921)</f>
        <v>C92086</v>
      </c>
      <c r="D921" s="6" t="str">
        <f>TRIM(Dataset!D921)</f>
        <v>Printer</v>
      </c>
      <c r="E921" s="13">
        <f>VALUE(TRIM(Dataset!E921))</f>
        <v>2</v>
      </c>
      <c r="F921" s="10">
        <f>VALUE(TRIM(Dataset!F921))</f>
        <v>374.6</v>
      </c>
      <c r="G921" s="6" t="str">
        <f>TRIM(Dataset!G921)</f>
        <v>187 Main St</v>
      </c>
      <c r="H921" s="6" t="str">
        <f>TRIM(Dataset!H921)</f>
        <v>Online</v>
      </c>
      <c r="I921" s="6" t="str">
        <f>TRIM(Dataset!I921)</f>
        <v>Shipped</v>
      </c>
      <c r="J921" s="6" t="str">
        <f>TRIM(Dataset!J921)</f>
        <v>TRK23357668</v>
      </c>
      <c r="K921" s="8" t="str">
        <f>TRIM(Dataset!K921)</f>
        <v>3</v>
      </c>
      <c r="L921" s="6" t="str">
        <f>Dataset!L921</f>
        <v>FREESHIP</v>
      </c>
      <c r="M921" s="6" t="str">
        <f>TRIM(Dataset!M921)</f>
        <v>Referral</v>
      </c>
      <c r="N921" s="10">
        <f>VALUE(TRIM(Dataset!N921))</f>
        <v>749.2</v>
      </c>
    </row>
    <row r="922" spans="1:14" x14ac:dyDescent="0.35">
      <c r="A922" s="6" t="str">
        <f>TRIM(Dataset!A922)</f>
        <v>ORD200920</v>
      </c>
      <c r="B922" s="4">
        <f>Dataset!B922</f>
        <v>45728</v>
      </c>
      <c r="C922" s="6" t="str">
        <f>TRIM(Dataset!C922)</f>
        <v>C26137</v>
      </c>
      <c r="D922" s="6" t="str">
        <f>TRIM(Dataset!D922)</f>
        <v>Tablet</v>
      </c>
      <c r="E922" s="13">
        <f>VALUE(TRIM(Dataset!E922))</f>
        <v>2</v>
      </c>
      <c r="F922" s="10">
        <f>VALUE(TRIM(Dataset!F922))</f>
        <v>428.09</v>
      </c>
      <c r="G922" s="6" t="str">
        <f>TRIM(Dataset!G922)</f>
        <v>978 Main St</v>
      </c>
      <c r="H922" s="6" t="str">
        <f>TRIM(Dataset!H922)</f>
        <v>Credit Card</v>
      </c>
      <c r="I922" s="6" t="str">
        <f>TRIM(Dataset!I922)</f>
        <v>Returned</v>
      </c>
      <c r="J922" s="6" t="str">
        <f>TRIM(Dataset!J922)</f>
        <v>TRK98110407</v>
      </c>
      <c r="K922" s="8" t="str">
        <f>TRIM(Dataset!K922)</f>
        <v>6</v>
      </c>
      <c r="L922" s="6" t="s">
        <v>4284</v>
      </c>
      <c r="M922" s="6" t="str">
        <f>TRIM(Dataset!M922)</f>
        <v>Instagram</v>
      </c>
      <c r="N922" s="10">
        <f>VALUE(TRIM(Dataset!N922))</f>
        <v>856.18</v>
      </c>
    </row>
    <row r="923" spans="1:14" x14ac:dyDescent="0.35">
      <c r="A923" s="6" t="str">
        <f>TRIM(Dataset!A923)</f>
        <v>ORD200921</v>
      </c>
      <c r="B923" s="4">
        <f>Dataset!B923</f>
        <v>45131</v>
      </c>
      <c r="C923" s="6" t="str">
        <f>TRIM(Dataset!C923)</f>
        <v>C90573</v>
      </c>
      <c r="D923" s="6" t="str">
        <f>TRIM(Dataset!D923)</f>
        <v>Tablet</v>
      </c>
      <c r="E923" s="13">
        <f>VALUE(TRIM(Dataset!E923))</f>
        <v>1</v>
      </c>
      <c r="F923" s="10">
        <f>VALUE(TRIM(Dataset!F923))</f>
        <v>438.93</v>
      </c>
      <c r="G923" s="6" t="str">
        <f>TRIM(Dataset!G923)</f>
        <v>144 Main St</v>
      </c>
      <c r="H923" s="6" t="str">
        <f>TRIM(Dataset!H923)</f>
        <v>Gift Card</v>
      </c>
      <c r="I923" s="6" t="str">
        <f>TRIM(Dataset!I923)</f>
        <v>Cancelled</v>
      </c>
      <c r="J923" s="6" t="str">
        <f>TRIM(Dataset!J923)</f>
        <v>TRK90075720</v>
      </c>
      <c r="K923" s="8" t="str">
        <f>TRIM(Dataset!K923)</f>
        <v>3</v>
      </c>
      <c r="L923" s="6" t="str">
        <f>Dataset!L923</f>
        <v>SAVE10</v>
      </c>
      <c r="M923" s="6" t="str">
        <f>TRIM(Dataset!M923)</f>
        <v>Referral</v>
      </c>
      <c r="N923" s="10">
        <f>VALUE(TRIM(Dataset!N923))</f>
        <v>438.93</v>
      </c>
    </row>
    <row r="924" spans="1:14" x14ac:dyDescent="0.35">
      <c r="A924" s="6" t="str">
        <f>TRIM(Dataset!A924)</f>
        <v>ORD200922</v>
      </c>
      <c r="B924" s="4">
        <f>Dataset!B924</f>
        <v>45460</v>
      </c>
      <c r="C924" s="6" t="str">
        <f>TRIM(Dataset!C924)</f>
        <v>C81857</v>
      </c>
      <c r="D924" s="6" t="str">
        <f>TRIM(Dataset!D924)</f>
        <v>Desk</v>
      </c>
      <c r="E924" s="13">
        <f>VALUE(TRIM(Dataset!E924))</f>
        <v>2</v>
      </c>
      <c r="F924" s="10">
        <f>VALUE(TRIM(Dataset!F924))</f>
        <v>563.82000000000005</v>
      </c>
      <c r="G924" s="6" t="str">
        <f>TRIM(Dataset!G924)</f>
        <v>487 Main St</v>
      </c>
      <c r="H924" s="6" t="str">
        <f>TRIM(Dataset!H924)</f>
        <v>Credit Card</v>
      </c>
      <c r="I924" s="6" t="str">
        <f>TRIM(Dataset!I924)</f>
        <v>Pending</v>
      </c>
      <c r="J924" s="6" t="str">
        <f>TRIM(Dataset!J924)</f>
        <v>TRK79737732</v>
      </c>
      <c r="K924" s="8" t="str">
        <f>TRIM(Dataset!K924)</f>
        <v>3</v>
      </c>
      <c r="L924" s="6" t="s">
        <v>4284</v>
      </c>
      <c r="M924" s="6" t="str">
        <f>TRIM(Dataset!M924)</f>
        <v>Instagram</v>
      </c>
      <c r="N924" s="10">
        <f>VALUE(TRIM(Dataset!N924))</f>
        <v>1127.6400000000001</v>
      </c>
    </row>
    <row r="925" spans="1:14" x14ac:dyDescent="0.35">
      <c r="A925" s="6" t="str">
        <f>TRIM(Dataset!A925)</f>
        <v>ORD200923</v>
      </c>
      <c r="B925" s="4">
        <f>Dataset!B925</f>
        <v>44968</v>
      </c>
      <c r="C925" s="6" t="str">
        <f>TRIM(Dataset!C925)</f>
        <v>C91582</v>
      </c>
      <c r="D925" s="6" t="str">
        <f>TRIM(Dataset!D925)</f>
        <v>Printer</v>
      </c>
      <c r="E925" s="13">
        <f>VALUE(TRIM(Dataset!E925))</f>
        <v>3</v>
      </c>
      <c r="F925" s="10">
        <f>VALUE(TRIM(Dataset!F925))</f>
        <v>649.92999999999995</v>
      </c>
      <c r="G925" s="6" t="str">
        <f>TRIM(Dataset!G925)</f>
        <v>836 Main St</v>
      </c>
      <c r="H925" s="6" t="str">
        <f>TRIM(Dataset!H925)</f>
        <v>Credit Card</v>
      </c>
      <c r="I925" s="6" t="str">
        <f>TRIM(Dataset!I925)</f>
        <v>Pending</v>
      </c>
      <c r="J925" s="6" t="str">
        <f>TRIM(Dataset!J925)</f>
        <v>TRK99938245</v>
      </c>
      <c r="K925" s="8" t="str">
        <f>TRIM(Dataset!K925)</f>
        <v>7</v>
      </c>
      <c r="L925" s="6" t="str">
        <f>Dataset!L925</f>
        <v>WINTER15</v>
      </c>
      <c r="M925" s="6" t="str">
        <f>TRIM(Dataset!M925)</f>
        <v>Facebook</v>
      </c>
      <c r="N925" s="10">
        <f>VALUE(TRIM(Dataset!N925))</f>
        <v>1949.79</v>
      </c>
    </row>
    <row r="926" spans="1:14" x14ac:dyDescent="0.35">
      <c r="A926" s="6" t="str">
        <f>TRIM(Dataset!A926)</f>
        <v>ORD200924</v>
      </c>
      <c r="B926" s="4">
        <f>Dataset!B926</f>
        <v>45738</v>
      </c>
      <c r="C926" s="6" t="str">
        <f>TRIM(Dataset!C926)</f>
        <v>C81319</v>
      </c>
      <c r="D926" s="6" t="str">
        <f>TRIM(Dataset!D926)</f>
        <v>Printer</v>
      </c>
      <c r="E926" s="13">
        <f>VALUE(TRIM(Dataset!E926))</f>
        <v>5</v>
      </c>
      <c r="F926" s="10">
        <f>VALUE(TRIM(Dataset!F926))</f>
        <v>268.43</v>
      </c>
      <c r="G926" s="6" t="str">
        <f>TRIM(Dataset!G926)</f>
        <v>991 Main St</v>
      </c>
      <c r="H926" s="6" t="str">
        <f>TRIM(Dataset!H926)</f>
        <v>Cash</v>
      </c>
      <c r="I926" s="6" t="str">
        <f>TRIM(Dataset!I926)</f>
        <v>Returned</v>
      </c>
      <c r="J926" s="6" t="str">
        <f>TRIM(Dataset!J926)</f>
        <v>TRK55330558</v>
      </c>
      <c r="K926" s="8" t="str">
        <f>TRIM(Dataset!K926)</f>
        <v>5</v>
      </c>
      <c r="L926" s="6" t="str">
        <f>Dataset!L926</f>
        <v>SAVE10</v>
      </c>
      <c r="M926" s="6" t="str">
        <f>TRIM(Dataset!M926)</f>
        <v>Email</v>
      </c>
      <c r="N926" s="10">
        <f>VALUE(TRIM(Dataset!N926))</f>
        <v>1342.15</v>
      </c>
    </row>
    <row r="927" spans="1:14" x14ac:dyDescent="0.35">
      <c r="A927" s="6" t="str">
        <f>TRIM(Dataset!A927)</f>
        <v>ORD200925</v>
      </c>
      <c r="B927" s="4">
        <f>Dataset!B927</f>
        <v>45646</v>
      </c>
      <c r="C927" s="6" t="str">
        <f>TRIM(Dataset!C927)</f>
        <v>C78500</v>
      </c>
      <c r="D927" s="6" t="str">
        <f>TRIM(Dataset!D927)</f>
        <v>Monitor</v>
      </c>
      <c r="E927" s="13">
        <f>VALUE(TRIM(Dataset!E927))</f>
        <v>5</v>
      </c>
      <c r="F927" s="10">
        <f>VALUE(TRIM(Dataset!F927))</f>
        <v>502.47</v>
      </c>
      <c r="G927" s="6" t="str">
        <f>TRIM(Dataset!G927)</f>
        <v>304 Main St</v>
      </c>
      <c r="H927" s="6" t="str">
        <f>TRIM(Dataset!H927)</f>
        <v>Online</v>
      </c>
      <c r="I927" s="6" t="str">
        <f>TRIM(Dataset!I927)</f>
        <v>Shipped</v>
      </c>
      <c r="J927" s="6" t="str">
        <f>TRIM(Dataset!J927)</f>
        <v>TRK97460884</v>
      </c>
      <c r="K927" s="8" t="str">
        <f>TRIM(Dataset!K927)</f>
        <v>10</v>
      </c>
      <c r="L927" s="6" t="str">
        <f>Dataset!L927</f>
        <v>WINTER15</v>
      </c>
      <c r="M927" s="6" t="str">
        <f>TRIM(Dataset!M927)</f>
        <v>Email</v>
      </c>
      <c r="N927" s="10">
        <f>VALUE(TRIM(Dataset!N927))</f>
        <v>2512.35</v>
      </c>
    </row>
    <row r="928" spans="1:14" x14ac:dyDescent="0.35">
      <c r="A928" s="6" t="str">
        <f>TRIM(Dataset!A928)</f>
        <v>ORD200926</v>
      </c>
      <c r="B928" s="4">
        <f>Dataset!B928</f>
        <v>45371</v>
      </c>
      <c r="C928" s="6" t="str">
        <f>TRIM(Dataset!C928)</f>
        <v>C67533</v>
      </c>
      <c r="D928" s="6" t="str">
        <f>TRIM(Dataset!D928)</f>
        <v>Desk</v>
      </c>
      <c r="E928" s="13">
        <f>VALUE(TRIM(Dataset!E928))</f>
        <v>1</v>
      </c>
      <c r="F928" s="10">
        <f>VALUE(TRIM(Dataset!F928))</f>
        <v>26.95</v>
      </c>
      <c r="G928" s="6" t="str">
        <f>TRIM(Dataset!G928)</f>
        <v>672 Main St</v>
      </c>
      <c r="H928" s="6" t="str">
        <f>TRIM(Dataset!H928)</f>
        <v>Cash</v>
      </c>
      <c r="I928" s="6" t="str">
        <f>TRIM(Dataset!I928)</f>
        <v>Delivered</v>
      </c>
      <c r="J928" s="6" t="str">
        <f>TRIM(Dataset!J928)</f>
        <v>TRK14566395</v>
      </c>
      <c r="K928" s="8" t="str">
        <f>TRIM(Dataset!K928)</f>
        <v>1</v>
      </c>
      <c r="L928" s="6" t="str">
        <f>Dataset!L928</f>
        <v>WINTER15</v>
      </c>
      <c r="M928" s="6" t="str">
        <f>TRIM(Dataset!M928)</f>
        <v>Email</v>
      </c>
      <c r="N928" s="10">
        <f>VALUE(TRIM(Dataset!N928))</f>
        <v>26.95</v>
      </c>
    </row>
    <row r="929" spans="1:14" x14ac:dyDescent="0.35">
      <c r="A929" s="6" t="str">
        <f>TRIM(Dataset!A929)</f>
        <v>ORD200927</v>
      </c>
      <c r="B929" s="4">
        <f>Dataset!B929</f>
        <v>44971</v>
      </c>
      <c r="C929" s="6" t="str">
        <f>TRIM(Dataset!C929)</f>
        <v>C35566</v>
      </c>
      <c r="D929" s="6" t="str">
        <f>TRIM(Dataset!D929)</f>
        <v>Laptop</v>
      </c>
      <c r="E929" s="13">
        <f>VALUE(TRIM(Dataset!E929))</f>
        <v>4</v>
      </c>
      <c r="F929" s="10">
        <f>VALUE(TRIM(Dataset!F929))</f>
        <v>64.69</v>
      </c>
      <c r="G929" s="6" t="str">
        <f>TRIM(Dataset!G929)</f>
        <v>638 Main St</v>
      </c>
      <c r="H929" s="6" t="str">
        <f>TRIM(Dataset!H929)</f>
        <v>Debit Card</v>
      </c>
      <c r="I929" s="6" t="str">
        <f>TRIM(Dataset!I929)</f>
        <v>Shipped</v>
      </c>
      <c r="J929" s="6" t="str">
        <f>TRIM(Dataset!J929)</f>
        <v>TRK10003020</v>
      </c>
      <c r="K929" s="8" t="str">
        <f>TRIM(Dataset!K929)</f>
        <v>7</v>
      </c>
      <c r="L929" s="6" t="str">
        <f>Dataset!L929</f>
        <v>WINTER15</v>
      </c>
      <c r="M929" s="6" t="str">
        <f>TRIM(Dataset!M929)</f>
        <v>Google</v>
      </c>
      <c r="N929" s="10">
        <f>VALUE(TRIM(Dataset!N929))</f>
        <v>258.76</v>
      </c>
    </row>
    <row r="930" spans="1:14" x14ac:dyDescent="0.35">
      <c r="A930" s="6" t="str">
        <f>TRIM(Dataset!A930)</f>
        <v>ORD200928</v>
      </c>
      <c r="B930" s="4">
        <f>Dataset!B930</f>
        <v>45421</v>
      </c>
      <c r="C930" s="6" t="str">
        <f>TRIM(Dataset!C930)</f>
        <v>C77166</v>
      </c>
      <c r="D930" s="6" t="str">
        <f>TRIM(Dataset!D930)</f>
        <v>Laptop</v>
      </c>
      <c r="E930" s="13">
        <f>VALUE(TRIM(Dataset!E930))</f>
        <v>3</v>
      </c>
      <c r="F930" s="10">
        <f>VALUE(TRIM(Dataset!F930))</f>
        <v>247.11</v>
      </c>
      <c r="G930" s="6" t="str">
        <f>TRIM(Dataset!G930)</f>
        <v>821 Main St</v>
      </c>
      <c r="H930" s="6" t="str">
        <f>TRIM(Dataset!H930)</f>
        <v>Debit Card</v>
      </c>
      <c r="I930" s="6" t="str">
        <f>TRIM(Dataset!I930)</f>
        <v>Returned</v>
      </c>
      <c r="J930" s="6" t="str">
        <f>TRIM(Dataset!J930)</f>
        <v>TRK18896595</v>
      </c>
      <c r="K930" s="8" t="str">
        <f>TRIM(Dataset!K930)</f>
        <v>3</v>
      </c>
      <c r="L930" s="6" t="str">
        <f>Dataset!L930</f>
        <v>WINTER15</v>
      </c>
      <c r="M930" s="6" t="str">
        <f>TRIM(Dataset!M930)</f>
        <v>Referral</v>
      </c>
      <c r="N930" s="10">
        <f>VALUE(TRIM(Dataset!N930))</f>
        <v>741.33</v>
      </c>
    </row>
    <row r="931" spans="1:14" x14ac:dyDescent="0.35">
      <c r="A931" s="6" t="str">
        <f>TRIM(Dataset!A931)</f>
        <v>ORD200929</v>
      </c>
      <c r="B931" s="4">
        <f>Dataset!B931</f>
        <v>45581</v>
      </c>
      <c r="C931" s="6" t="str">
        <f>TRIM(Dataset!C931)</f>
        <v>C67936</v>
      </c>
      <c r="D931" s="6" t="str">
        <f>TRIM(Dataset!D931)</f>
        <v>Tablet</v>
      </c>
      <c r="E931" s="13">
        <f>VALUE(TRIM(Dataset!E931))</f>
        <v>2</v>
      </c>
      <c r="F931" s="10">
        <f>VALUE(TRIM(Dataset!F931))</f>
        <v>536.25</v>
      </c>
      <c r="G931" s="6" t="str">
        <f>TRIM(Dataset!G931)</f>
        <v>553 Main St</v>
      </c>
      <c r="H931" s="6" t="str">
        <f>TRIM(Dataset!H931)</f>
        <v>Debit Card</v>
      </c>
      <c r="I931" s="6" t="str">
        <f>TRIM(Dataset!I931)</f>
        <v>Pending</v>
      </c>
      <c r="J931" s="6" t="str">
        <f>TRIM(Dataset!J931)</f>
        <v>TRK71803414</v>
      </c>
      <c r="K931" s="8" t="str">
        <f>TRIM(Dataset!K931)</f>
        <v>3</v>
      </c>
      <c r="L931" s="6" t="s">
        <v>4284</v>
      </c>
      <c r="M931" s="6" t="str">
        <f>TRIM(Dataset!M931)</f>
        <v>Email</v>
      </c>
      <c r="N931" s="10">
        <f>VALUE(TRIM(Dataset!N931))</f>
        <v>1072.5</v>
      </c>
    </row>
    <row r="932" spans="1:14" x14ac:dyDescent="0.35">
      <c r="A932" s="6" t="str">
        <f>TRIM(Dataset!A932)</f>
        <v>ORD200930</v>
      </c>
      <c r="B932" s="4">
        <f>Dataset!B932</f>
        <v>45642</v>
      </c>
      <c r="C932" s="6" t="str">
        <f>TRIM(Dataset!C932)</f>
        <v>C59554</v>
      </c>
      <c r="D932" s="6" t="str">
        <f>TRIM(Dataset!D932)</f>
        <v>Phone</v>
      </c>
      <c r="E932" s="13">
        <f>VALUE(TRIM(Dataset!E932))</f>
        <v>2</v>
      </c>
      <c r="F932" s="10">
        <f>VALUE(TRIM(Dataset!F932))</f>
        <v>456.04</v>
      </c>
      <c r="G932" s="6" t="str">
        <f>TRIM(Dataset!G932)</f>
        <v>382 Main St</v>
      </c>
      <c r="H932" s="6" t="str">
        <f>TRIM(Dataset!H932)</f>
        <v>Debit Card</v>
      </c>
      <c r="I932" s="6" t="str">
        <f>TRIM(Dataset!I932)</f>
        <v>Returned</v>
      </c>
      <c r="J932" s="6" t="str">
        <f>TRIM(Dataset!J932)</f>
        <v>TRK28182447</v>
      </c>
      <c r="K932" s="8" t="str">
        <f>TRIM(Dataset!K932)</f>
        <v>4</v>
      </c>
      <c r="L932" s="6" t="str">
        <f>Dataset!L932</f>
        <v>FREESHIP</v>
      </c>
      <c r="M932" s="6" t="str">
        <f>TRIM(Dataset!M932)</f>
        <v>Email</v>
      </c>
      <c r="N932" s="10">
        <f>VALUE(TRIM(Dataset!N932))</f>
        <v>912.08</v>
      </c>
    </row>
    <row r="933" spans="1:14" x14ac:dyDescent="0.35">
      <c r="A933" s="6" t="str">
        <f>TRIM(Dataset!A933)</f>
        <v>ORD200931</v>
      </c>
      <c r="B933" s="4">
        <f>Dataset!B933</f>
        <v>45292</v>
      </c>
      <c r="C933" s="6" t="str">
        <f>TRIM(Dataset!C933)</f>
        <v>C14005</v>
      </c>
      <c r="D933" s="6" t="str">
        <f>TRIM(Dataset!D933)</f>
        <v>Printer</v>
      </c>
      <c r="E933" s="13">
        <f>VALUE(TRIM(Dataset!E933))</f>
        <v>2</v>
      </c>
      <c r="F933" s="10">
        <f>VALUE(TRIM(Dataset!F933))</f>
        <v>40.229999999999997</v>
      </c>
      <c r="G933" s="6" t="str">
        <f>TRIM(Dataset!G933)</f>
        <v>623 Main St</v>
      </c>
      <c r="H933" s="6" t="str">
        <f>TRIM(Dataset!H933)</f>
        <v>Credit Card</v>
      </c>
      <c r="I933" s="6" t="str">
        <f>TRIM(Dataset!I933)</f>
        <v>Cancelled</v>
      </c>
      <c r="J933" s="6" t="str">
        <f>TRIM(Dataset!J933)</f>
        <v>TRK87567926</v>
      </c>
      <c r="K933" s="8" t="str">
        <f>TRIM(Dataset!K933)</f>
        <v>4</v>
      </c>
      <c r="L933" s="6" t="str">
        <f>Dataset!L933</f>
        <v>SAVE10</v>
      </c>
      <c r="M933" s="6" t="str">
        <f>TRIM(Dataset!M933)</f>
        <v>Google</v>
      </c>
      <c r="N933" s="10">
        <f>VALUE(TRIM(Dataset!N933))</f>
        <v>80.459999999999994</v>
      </c>
    </row>
    <row r="934" spans="1:14" x14ac:dyDescent="0.35">
      <c r="A934" s="6" t="str">
        <f>TRIM(Dataset!A934)</f>
        <v>ORD200932</v>
      </c>
      <c r="B934" s="4">
        <f>Dataset!B934</f>
        <v>45011</v>
      </c>
      <c r="C934" s="6" t="str">
        <f>TRIM(Dataset!C934)</f>
        <v>C26118</v>
      </c>
      <c r="D934" s="6" t="str">
        <f>TRIM(Dataset!D934)</f>
        <v>Laptop</v>
      </c>
      <c r="E934" s="13">
        <f>VALUE(TRIM(Dataset!E934))</f>
        <v>2</v>
      </c>
      <c r="F934" s="10">
        <f>VALUE(TRIM(Dataset!F934))</f>
        <v>72.39</v>
      </c>
      <c r="G934" s="6" t="str">
        <f>TRIM(Dataset!G934)</f>
        <v>168 Main St</v>
      </c>
      <c r="H934" s="6" t="str">
        <f>TRIM(Dataset!H934)</f>
        <v>Online</v>
      </c>
      <c r="I934" s="6" t="str">
        <f>TRIM(Dataset!I934)</f>
        <v>Delivered</v>
      </c>
      <c r="J934" s="6" t="str">
        <f>TRIM(Dataset!J934)</f>
        <v>TRK15334251</v>
      </c>
      <c r="K934" s="8" t="str">
        <f>TRIM(Dataset!K934)</f>
        <v>7</v>
      </c>
      <c r="L934" s="6" t="str">
        <f>Dataset!L934</f>
        <v>WINTER15</v>
      </c>
      <c r="M934" s="6" t="str">
        <f>TRIM(Dataset!M934)</f>
        <v>Instagram</v>
      </c>
      <c r="N934" s="10">
        <f>VALUE(TRIM(Dataset!N934))</f>
        <v>144.78</v>
      </c>
    </row>
    <row r="935" spans="1:14" x14ac:dyDescent="0.35">
      <c r="A935" s="6" t="str">
        <f>TRIM(Dataset!A935)</f>
        <v>ORD200933</v>
      </c>
      <c r="B935" s="4">
        <f>Dataset!B935</f>
        <v>44952</v>
      </c>
      <c r="C935" s="6" t="str">
        <f>TRIM(Dataset!C935)</f>
        <v>C59685</v>
      </c>
      <c r="D935" s="6" t="str">
        <f>TRIM(Dataset!D935)</f>
        <v>Monitor</v>
      </c>
      <c r="E935" s="13">
        <f>VALUE(TRIM(Dataset!E935))</f>
        <v>2</v>
      </c>
      <c r="F935" s="10">
        <f>VALUE(TRIM(Dataset!F935))</f>
        <v>394.16</v>
      </c>
      <c r="G935" s="6" t="str">
        <f>TRIM(Dataset!G935)</f>
        <v>255 Main St</v>
      </c>
      <c r="H935" s="6" t="str">
        <f>TRIM(Dataset!H935)</f>
        <v>Online</v>
      </c>
      <c r="I935" s="6" t="str">
        <f>TRIM(Dataset!I935)</f>
        <v>Shipped</v>
      </c>
      <c r="J935" s="6" t="str">
        <f>TRIM(Dataset!J935)</f>
        <v>TRK43718093</v>
      </c>
      <c r="K935" s="8" t="str">
        <f>TRIM(Dataset!K935)</f>
        <v>2</v>
      </c>
      <c r="L935" s="6" t="s">
        <v>4284</v>
      </c>
      <c r="M935" s="6" t="str">
        <f>TRIM(Dataset!M935)</f>
        <v>Referral</v>
      </c>
      <c r="N935" s="10">
        <f>VALUE(TRIM(Dataset!N935))</f>
        <v>788.32</v>
      </c>
    </row>
    <row r="936" spans="1:14" x14ac:dyDescent="0.35">
      <c r="A936" s="6" t="str">
        <f>TRIM(Dataset!A936)</f>
        <v>ORD200934</v>
      </c>
      <c r="B936" s="4">
        <f>Dataset!B936</f>
        <v>45809</v>
      </c>
      <c r="C936" s="6" t="str">
        <f>TRIM(Dataset!C936)</f>
        <v>C40304</v>
      </c>
      <c r="D936" s="6" t="str">
        <f>TRIM(Dataset!D936)</f>
        <v>Laptop</v>
      </c>
      <c r="E936" s="13">
        <f>VALUE(TRIM(Dataset!E936))</f>
        <v>4</v>
      </c>
      <c r="F936" s="10">
        <f>VALUE(TRIM(Dataset!F936))</f>
        <v>119.84</v>
      </c>
      <c r="G936" s="6" t="str">
        <f>TRIM(Dataset!G936)</f>
        <v>692 Main St</v>
      </c>
      <c r="H936" s="6" t="str">
        <f>TRIM(Dataset!H936)</f>
        <v>Gift Card</v>
      </c>
      <c r="I936" s="6" t="str">
        <f>TRIM(Dataset!I936)</f>
        <v>Shipped</v>
      </c>
      <c r="J936" s="6" t="str">
        <f>TRIM(Dataset!J936)</f>
        <v>TRK85790948</v>
      </c>
      <c r="K936" s="8" t="str">
        <f>TRIM(Dataset!K936)</f>
        <v>8</v>
      </c>
      <c r="L936" s="6" t="str">
        <f>Dataset!L936</f>
        <v>FREESHIP</v>
      </c>
      <c r="M936" s="6" t="str">
        <f>TRIM(Dataset!M936)</f>
        <v>Referral</v>
      </c>
      <c r="N936" s="10">
        <f>VALUE(TRIM(Dataset!N936))</f>
        <v>479.36</v>
      </c>
    </row>
    <row r="937" spans="1:14" x14ac:dyDescent="0.35">
      <c r="A937" s="6" t="str">
        <f>TRIM(Dataset!A937)</f>
        <v>ORD200935</v>
      </c>
      <c r="B937" s="4">
        <f>Dataset!B937</f>
        <v>45254</v>
      </c>
      <c r="C937" s="6" t="str">
        <f>TRIM(Dataset!C937)</f>
        <v>C39593</v>
      </c>
      <c r="D937" s="6" t="str">
        <f>TRIM(Dataset!D937)</f>
        <v>Phone</v>
      </c>
      <c r="E937" s="13">
        <f>VALUE(TRIM(Dataset!E937))</f>
        <v>3</v>
      </c>
      <c r="F937" s="10">
        <f>VALUE(TRIM(Dataset!F937))</f>
        <v>692.71</v>
      </c>
      <c r="G937" s="6" t="str">
        <f>TRIM(Dataset!G937)</f>
        <v>398 Main St</v>
      </c>
      <c r="H937" s="6" t="str">
        <f>TRIM(Dataset!H937)</f>
        <v>Credit Card</v>
      </c>
      <c r="I937" s="6" t="str">
        <f>TRIM(Dataset!I937)</f>
        <v>Delivered</v>
      </c>
      <c r="J937" s="6" t="str">
        <f>TRIM(Dataset!J937)</f>
        <v>TRK62405253</v>
      </c>
      <c r="K937" s="8" t="str">
        <f>TRIM(Dataset!K937)</f>
        <v>3</v>
      </c>
      <c r="L937" s="6" t="str">
        <f>Dataset!L937</f>
        <v>FREESHIP</v>
      </c>
      <c r="M937" s="6" t="str">
        <f>TRIM(Dataset!M937)</f>
        <v>Instagram</v>
      </c>
      <c r="N937" s="10">
        <f>VALUE(TRIM(Dataset!N937))</f>
        <v>2078.13</v>
      </c>
    </row>
    <row r="938" spans="1:14" x14ac:dyDescent="0.35">
      <c r="A938" s="6" t="str">
        <f>TRIM(Dataset!A938)</f>
        <v>ORD200936</v>
      </c>
      <c r="B938" s="4">
        <f>Dataset!B938</f>
        <v>45303</v>
      </c>
      <c r="C938" s="6" t="str">
        <f>TRIM(Dataset!C938)</f>
        <v>C50612</v>
      </c>
      <c r="D938" s="6" t="str">
        <f>TRIM(Dataset!D938)</f>
        <v>Chair</v>
      </c>
      <c r="E938" s="13">
        <f>VALUE(TRIM(Dataset!E938))</f>
        <v>4</v>
      </c>
      <c r="F938" s="10">
        <f>VALUE(TRIM(Dataset!F938))</f>
        <v>56.66</v>
      </c>
      <c r="G938" s="6" t="str">
        <f>TRIM(Dataset!G938)</f>
        <v>737 Main St</v>
      </c>
      <c r="H938" s="6" t="str">
        <f>TRIM(Dataset!H938)</f>
        <v>Online</v>
      </c>
      <c r="I938" s="6" t="str">
        <f>TRIM(Dataset!I938)</f>
        <v>Delivered</v>
      </c>
      <c r="J938" s="6" t="str">
        <f>TRIM(Dataset!J938)</f>
        <v>TRK44140968</v>
      </c>
      <c r="K938" s="8" t="str">
        <f>TRIM(Dataset!K938)</f>
        <v>4</v>
      </c>
      <c r="L938" s="6" t="str">
        <f>Dataset!L938</f>
        <v>SAVE10</v>
      </c>
      <c r="M938" s="6" t="str">
        <f>TRIM(Dataset!M938)</f>
        <v>Instagram</v>
      </c>
      <c r="N938" s="10">
        <f>VALUE(TRIM(Dataset!N938))</f>
        <v>226.64</v>
      </c>
    </row>
    <row r="939" spans="1:14" x14ac:dyDescent="0.35">
      <c r="A939" s="6" t="str">
        <f>TRIM(Dataset!A939)</f>
        <v>ORD200937</v>
      </c>
      <c r="B939" s="4">
        <f>Dataset!B939</f>
        <v>45307</v>
      </c>
      <c r="C939" s="6" t="str">
        <f>TRIM(Dataset!C939)</f>
        <v>C39791</v>
      </c>
      <c r="D939" s="6" t="str">
        <f>TRIM(Dataset!D939)</f>
        <v>Chair</v>
      </c>
      <c r="E939" s="13">
        <f>VALUE(TRIM(Dataset!E939))</f>
        <v>2</v>
      </c>
      <c r="F939" s="10">
        <f>VALUE(TRIM(Dataset!F939))</f>
        <v>298.52999999999997</v>
      </c>
      <c r="G939" s="6" t="str">
        <f>TRIM(Dataset!G939)</f>
        <v>536 Main St</v>
      </c>
      <c r="H939" s="6" t="str">
        <f>TRIM(Dataset!H939)</f>
        <v>Debit Card</v>
      </c>
      <c r="I939" s="6" t="str">
        <f>TRIM(Dataset!I939)</f>
        <v>Cancelled</v>
      </c>
      <c r="J939" s="6" t="str">
        <f>TRIM(Dataset!J939)</f>
        <v>TRK46221436</v>
      </c>
      <c r="K939" s="8" t="str">
        <f>TRIM(Dataset!K939)</f>
        <v>5</v>
      </c>
      <c r="L939" s="6" t="str">
        <f>Dataset!L939</f>
        <v>WINTER15</v>
      </c>
      <c r="M939" s="6" t="str">
        <f>TRIM(Dataset!M939)</f>
        <v>Email</v>
      </c>
      <c r="N939" s="10">
        <f>VALUE(TRIM(Dataset!N939))</f>
        <v>597.05999999999995</v>
      </c>
    </row>
    <row r="940" spans="1:14" x14ac:dyDescent="0.35">
      <c r="A940" s="6" t="str">
        <f>TRIM(Dataset!A940)</f>
        <v>ORD200938</v>
      </c>
      <c r="B940" s="4">
        <f>Dataset!B940</f>
        <v>45119</v>
      </c>
      <c r="C940" s="6" t="str">
        <f>TRIM(Dataset!C940)</f>
        <v>C39017</v>
      </c>
      <c r="D940" s="6" t="str">
        <f>TRIM(Dataset!D940)</f>
        <v>Chair</v>
      </c>
      <c r="E940" s="13">
        <f>VALUE(TRIM(Dataset!E940))</f>
        <v>3</v>
      </c>
      <c r="F940" s="10">
        <f>VALUE(TRIM(Dataset!F940))</f>
        <v>331.46</v>
      </c>
      <c r="G940" s="6" t="str">
        <f>TRIM(Dataset!G940)</f>
        <v>696 Main St</v>
      </c>
      <c r="H940" s="6" t="str">
        <f>TRIM(Dataset!H940)</f>
        <v>Credit Card</v>
      </c>
      <c r="I940" s="6" t="str">
        <f>TRIM(Dataset!I940)</f>
        <v>Cancelled</v>
      </c>
      <c r="J940" s="6" t="str">
        <f>TRIM(Dataset!J940)</f>
        <v>TRK91155214</v>
      </c>
      <c r="K940" s="8" t="str">
        <f>TRIM(Dataset!K940)</f>
        <v>6</v>
      </c>
      <c r="L940" s="6" t="str">
        <f>Dataset!L940</f>
        <v>WINTER15</v>
      </c>
      <c r="M940" s="6" t="str">
        <f>TRIM(Dataset!M940)</f>
        <v>Referral</v>
      </c>
      <c r="N940" s="10">
        <f>VALUE(TRIM(Dataset!N940))</f>
        <v>994.38</v>
      </c>
    </row>
    <row r="941" spans="1:14" x14ac:dyDescent="0.35">
      <c r="A941" s="6" t="str">
        <f>TRIM(Dataset!A941)</f>
        <v>ORD200939</v>
      </c>
      <c r="B941" s="4">
        <f>Dataset!B941</f>
        <v>45763</v>
      </c>
      <c r="C941" s="6" t="str">
        <f>TRIM(Dataset!C941)</f>
        <v>C48510</v>
      </c>
      <c r="D941" s="6" t="str">
        <f>TRIM(Dataset!D941)</f>
        <v>Laptop</v>
      </c>
      <c r="E941" s="13">
        <f>VALUE(TRIM(Dataset!E941))</f>
        <v>2</v>
      </c>
      <c r="F941" s="10">
        <f>VALUE(TRIM(Dataset!F941))</f>
        <v>521.4</v>
      </c>
      <c r="G941" s="6" t="str">
        <f>TRIM(Dataset!G941)</f>
        <v>212 Main St</v>
      </c>
      <c r="H941" s="6" t="str">
        <f>TRIM(Dataset!H941)</f>
        <v>Cash</v>
      </c>
      <c r="I941" s="6" t="str">
        <f>TRIM(Dataset!I941)</f>
        <v>Delivered</v>
      </c>
      <c r="J941" s="6" t="str">
        <f>TRIM(Dataset!J941)</f>
        <v>TRK53152886</v>
      </c>
      <c r="K941" s="8" t="str">
        <f>TRIM(Dataset!K941)</f>
        <v>7</v>
      </c>
      <c r="L941" s="6" t="str">
        <f>Dataset!L941</f>
        <v>SAVE10</v>
      </c>
      <c r="M941" s="6" t="str">
        <f>TRIM(Dataset!M941)</f>
        <v>Instagram</v>
      </c>
      <c r="N941" s="10">
        <f>VALUE(TRIM(Dataset!N941))</f>
        <v>1042.8</v>
      </c>
    </row>
    <row r="942" spans="1:14" x14ac:dyDescent="0.35">
      <c r="A942" s="6" t="str">
        <f>TRIM(Dataset!A942)</f>
        <v>ORD200940</v>
      </c>
      <c r="B942" s="4">
        <f>Dataset!B942</f>
        <v>45012</v>
      </c>
      <c r="C942" s="6" t="str">
        <f>TRIM(Dataset!C942)</f>
        <v>C74003</v>
      </c>
      <c r="D942" s="6" t="str">
        <f>TRIM(Dataset!D942)</f>
        <v>Printer</v>
      </c>
      <c r="E942" s="13">
        <f>VALUE(TRIM(Dataset!E942))</f>
        <v>4</v>
      </c>
      <c r="F942" s="10">
        <f>VALUE(TRIM(Dataset!F942))</f>
        <v>305.32</v>
      </c>
      <c r="G942" s="6" t="str">
        <f>TRIM(Dataset!G942)</f>
        <v>679 Main St</v>
      </c>
      <c r="H942" s="6" t="str">
        <f>TRIM(Dataset!H942)</f>
        <v>Online</v>
      </c>
      <c r="I942" s="6" t="str">
        <f>TRIM(Dataset!I942)</f>
        <v>Cancelled</v>
      </c>
      <c r="J942" s="6" t="str">
        <f>TRIM(Dataset!J942)</f>
        <v>TRK91525779</v>
      </c>
      <c r="K942" s="8" t="str">
        <f>TRIM(Dataset!K942)</f>
        <v>4</v>
      </c>
      <c r="L942" s="6" t="str">
        <f>Dataset!L942</f>
        <v>SAVE10</v>
      </c>
      <c r="M942" s="6" t="str">
        <f>TRIM(Dataset!M942)</f>
        <v>Google</v>
      </c>
      <c r="N942" s="10">
        <f>VALUE(TRIM(Dataset!N942))</f>
        <v>1221.28</v>
      </c>
    </row>
    <row r="943" spans="1:14" x14ac:dyDescent="0.35">
      <c r="A943" s="6" t="str">
        <f>TRIM(Dataset!A943)</f>
        <v>ORD200941</v>
      </c>
      <c r="B943" s="4">
        <f>Dataset!B943</f>
        <v>45124</v>
      </c>
      <c r="C943" s="6" t="str">
        <f>TRIM(Dataset!C943)</f>
        <v>C91155</v>
      </c>
      <c r="D943" s="6" t="str">
        <f>TRIM(Dataset!D943)</f>
        <v>Printer</v>
      </c>
      <c r="E943" s="13">
        <f>VALUE(TRIM(Dataset!E943))</f>
        <v>5</v>
      </c>
      <c r="F943" s="10">
        <f>VALUE(TRIM(Dataset!F943))</f>
        <v>111.7</v>
      </c>
      <c r="G943" s="6" t="str">
        <f>TRIM(Dataset!G943)</f>
        <v>599 Main St</v>
      </c>
      <c r="H943" s="6" t="str">
        <f>TRIM(Dataset!H943)</f>
        <v>Credit Card</v>
      </c>
      <c r="I943" s="6" t="str">
        <f>TRIM(Dataset!I943)</f>
        <v>Cancelled</v>
      </c>
      <c r="J943" s="6" t="str">
        <f>TRIM(Dataset!J943)</f>
        <v>TRK82162952</v>
      </c>
      <c r="K943" s="8" t="str">
        <f>TRIM(Dataset!K943)</f>
        <v>9</v>
      </c>
      <c r="L943" s="6" t="str">
        <f>Dataset!L943</f>
        <v>FREESHIP</v>
      </c>
      <c r="M943" s="6" t="str">
        <f>TRIM(Dataset!M943)</f>
        <v>Email</v>
      </c>
      <c r="N943" s="10">
        <f>VALUE(TRIM(Dataset!N943))</f>
        <v>558.5</v>
      </c>
    </row>
    <row r="944" spans="1:14" x14ac:dyDescent="0.35">
      <c r="A944" s="6" t="str">
        <f>TRIM(Dataset!A944)</f>
        <v>ORD200942</v>
      </c>
      <c r="B944" s="4">
        <f>Dataset!B944</f>
        <v>45198</v>
      </c>
      <c r="C944" s="6" t="str">
        <f>TRIM(Dataset!C944)</f>
        <v>C17591</v>
      </c>
      <c r="D944" s="6" t="str">
        <f>TRIM(Dataset!D944)</f>
        <v>Tablet</v>
      </c>
      <c r="E944" s="13">
        <f>VALUE(TRIM(Dataset!E944))</f>
        <v>1</v>
      </c>
      <c r="F944" s="10">
        <f>VALUE(TRIM(Dataset!F944))</f>
        <v>479.76</v>
      </c>
      <c r="G944" s="6" t="str">
        <f>TRIM(Dataset!G944)</f>
        <v>882 Main St</v>
      </c>
      <c r="H944" s="6" t="str">
        <f>TRIM(Dataset!H944)</f>
        <v>Credit Card</v>
      </c>
      <c r="I944" s="6" t="str">
        <f>TRIM(Dataset!I944)</f>
        <v>Pending</v>
      </c>
      <c r="J944" s="6" t="str">
        <f>TRIM(Dataset!J944)</f>
        <v>TRK56070470</v>
      </c>
      <c r="K944" s="8" t="str">
        <f>TRIM(Dataset!K944)</f>
        <v>1</v>
      </c>
      <c r="L944" s="6" t="s">
        <v>4284</v>
      </c>
      <c r="M944" s="6" t="str">
        <f>TRIM(Dataset!M944)</f>
        <v>Email</v>
      </c>
      <c r="N944" s="10">
        <f>VALUE(TRIM(Dataset!N944))</f>
        <v>479.76</v>
      </c>
    </row>
    <row r="945" spans="1:14" x14ac:dyDescent="0.35">
      <c r="A945" s="6" t="str">
        <f>TRIM(Dataset!A945)</f>
        <v>ORD200943</v>
      </c>
      <c r="B945" s="4">
        <f>Dataset!B945</f>
        <v>45287</v>
      </c>
      <c r="C945" s="6" t="str">
        <f>TRIM(Dataset!C945)</f>
        <v>C43330</v>
      </c>
      <c r="D945" s="6" t="str">
        <f>TRIM(Dataset!D945)</f>
        <v>Monitor</v>
      </c>
      <c r="E945" s="13">
        <f>VALUE(TRIM(Dataset!E945))</f>
        <v>3</v>
      </c>
      <c r="F945" s="10">
        <f>VALUE(TRIM(Dataset!F945))</f>
        <v>193.49</v>
      </c>
      <c r="G945" s="6" t="str">
        <f>TRIM(Dataset!G945)</f>
        <v>355 Main St</v>
      </c>
      <c r="H945" s="6" t="str">
        <f>TRIM(Dataset!H945)</f>
        <v>Gift Card</v>
      </c>
      <c r="I945" s="6" t="str">
        <f>TRIM(Dataset!I945)</f>
        <v>Returned</v>
      </c>
      <c r="J945" s="6" t="str">
        <f>TRIM(Dataset!J945)</f>
        <v>TRK71594838</v>
      </c>
      <c r="K945" s="8" t="str">
        <f>TRIM(Dataset!K945)</f>
        <v>6</v>
      </c>
      <c r="L945" s="6" t="str">
        <f>Dataset!L945</f>
        <v>FREESHIP</v>
      </c>
      <c r="M945" s="6" t="str">
        <f>TRIM(Dataset!M945)</f>
        <v>Facebook</v>
      </c>
      <c r="N945" s="10">
        <f>VALUE(TRIM(Dataset!N945))</f>
        <v>580.47</v>
      </c>
    </row>
    <row r="946" spans="1:14" x14ac:dyDescent="0.35">
      <c r="A946" s="6" t="str">
        <f>TRIM(Dataset!A946)</f>
        <v>ORD200944</v>
      </c>
      <c r="B946" s="4">
        <f>Dataset!B946</f>
        <v>45642</v>
      </c>
      <c r="C946" s="6" t="str">
        <f>TRIM(Dataset!C946)</f>
        <v>C32687</v>
      </c>
      <c r="D946" s="6" t="str">
        <f>TRIM(Dataset!D946)</f>
        <v>Laptop</v>
      </c>
      <c r="E946" s="13">
        <f>VALUE(TRIM(Dataset!E946))</f>
        <v>2</v>
      </c>
      <c r="F946" s="10">
        <f>VALUE(TRIM(Dataset!F946))</f>
        <v>426.22</v>
      </c>
      <c r="G946" s="6" t="str">
        <f>TRIM(Dataset!G946)</f>
        <v>448 Main St</v>
      </c>
      <c r="H946" s="6" t="str">
        <f>TRIM(Dataset!H946)</f>
        <v>Online</v>
      </c>
      <c r="I946" s="6" t="str">
        <f>TRIM(Dataset!I946)</f>
        <v>Delivered</v>
      </c>
      <c r="J946" s="6" t="str">
        <f>TRIM(Dataset!J946)</f>
        <v>TRK98284560</v>
      </c>
      <c r="K946" s="8" t="str">
        <f>TRIM(Dataset!K946)</f>
        <v>7</v>
      </c>
      <c r="L946" s="6" t="str">
        <f>Dataset!L946</f>
        <v>WINTER15</v>
      </c>
      <c r="M946" s="6" t="str">
        <f>TRIM(Dataset!M946)</f>
        <v>Google</v>
      </c>
      <c r="N946" s="10">
        <f>VALUE(TRIM(Dataset!N946))</f>
        <v>852.44</v>
      </c>
    </row>
    <row r="947" spans="1:14" x14ac:dyDescent="0.35">
      <c r="A947" s="6" t="str">
        <f>TRIM(Dataset!A947)</f>
        <v>ORD200945</v>
      </c>
      <c r="B947" s="4">
        <f>Dataset!B947</f>
        <v>45158</v>
      </c>
      <c r="C947" s="6" t="str">
        <f>TRIM(Dataset!C947)</f>
        <v>C79722</v>
      </c>
      <c r="D947" s="6" t="str">
        <f>TRIM(Dataset!D947)</f>
        <v>Tablet</v>
      </c>
      <c r="E947" s="13">
        <f>VALUE(TRIM(Dataset!E947))</f>
        <v>5</v>
      </c>
      <c r="F947" s="10">
        <f>VALUE(TRIM(Dataset!F947))</f>
        <v>276.44</v>
      </c>
      <c r="G947" s="6" t="str">
        <f>TRIM(Dataset!G947)</f>
        <v>619 Main St</v>
      </c>
      <c r="H947" s="6" t="str">
        <f>TRIM(Dataset!H947)</f>
        <v>Gift Card</v>
      </c>
      <c r="I947" s="6" t="str">
        <f>TRIM(Dataset!I947)</f>
        <v>Shipped</v>
      </c>
      <c r="J947" s="6" t="str">
        <f>TRIM(Dataset!J947)</f>
        <v>TRK29976438</v>
      </c>
      <c r="K947" s="8" t="str">
        <f>TRIM(Dataset!K947)</f>
        <v>10</v>
      </c>
      <c r="L947" s="6" t="str">
        <f>Dataset!L947</f>
        <v>FREESHIP</v>
      </c>
      <c r="M947" s="6" t="str">
        <f>TRIM(Dataset!M947)</f>
        <v>Referral</v>
      </c>
      <c r="N947" s="10">
        <f>VALUE(TRIM(Dataset!N947))</f>
        <v>1382.2</v>
      </c>
    </row>
    <row r="948" spans="1:14" x14ac:dyDescent="0.35">
      <c r="A948" s="6" t="str">
        <f>TRIM(Dataset!A948)</f>
        <v>ORD200946</v>
      </c>
      <c r="B948" s="4">
        <f>Dataset!B948</f>
        <v>45416</v>
      </c>
      <c r="C948" s="6" t="str">
        <f>TRIM(Dataset!C948)</f>
        <v>C65021</v>
      </c>
      <c r="D948" s="6" t="str">
        <f>TRIM(Dataset!D948)</f>
        <v>Phone</v>
      </c>
      <c r="E948" s="13">
        <f>VALUE(TRIM(Dataset!E948))</f>
        <v>2</v>
      </c>
      <c r="F948" s="10">
        <f>VALUE(TRIM(Dataset!F948))</f>
        <v>404.96</v>
      </c>
      <c r="G948" s="6" t="str">
        <f>TRIM(Dataset!G948)</f>
        <v>546 Main St</v>
      </c>
      <c r="H948" s="6" t="str">
        <f>TRIM(Dataset!H948)</f>
        <v>Cash</v>
      </c>
      <c r="I948" s="6" t="str">
        <f>TRIM(Dataset!I948)</f>
        <v>Shipped</v>
      </c>
      <c r="J948" s="6" t="str">
        <f>TRIM(Dataset!J948)</f>
        <v>TRK20626179</v>
      </c>
      <c r="K948" s="8" t="str">
        <f>TRIM(Dataset!K948)</f>
        <v>4</v>
      </c>
      <c r="L948" s="6" t="str">
        <f>Dataset!L948</f>
        <v>SAVE10</v>
      </c>
      <c r="M948" s="6" t="str">
        <f>TRIM(Dataset!M948)</f>
        <v>Email</v>
      </c>
      <c r="N948" s="10">
        <f>VALUE(TRIM(Dataset!N948))</f>
        <v>809.92</v>
      </c>
    </row>
    <row r="949" spans="1:14" x14ac:dyDescent="0.35">
      <c r="A949" s="6" t="str">
        <f>TRIM(Dataset!A949)</f>
        <v>ORD200947</v>
      </c>
      <c r="B949" s="4">
        <f>Dataset!B949</f>
        <v>45176</v>
      </c>
      <c r="C949" s="6" t="str">
        <f>TRIM(Dataset!C949)</f>
        <v>C85520</v>
      </c>
      <c r="D949" s="6" t="str">
        <f>TRIM(Dataset!D949)</f>
        <v>Phone</v>
      </c>
      <c r="E949" s="13">
        <f>VALUE(TRIM(Dataset!E949))</f>
        <v>4</v>
      </c>
      <c r="F949" s="10">
        <f>VALUE(TRIM(Dataset!F949))</f>
        <v>465.66</v>
      </c>
      <c r="G949" s="6" t="str">
        <f>TRIM(Dataset!G949)</f>
        <v>119 Main St</v>
      </c>
      <c r="H949" s="6" t="str">
        <f>TRIM(Dataset!H949)</f>
        <v>Online</v>
      </c>
      <c r="I949" s="6" t="str">
        <f>TRIM(Dataset!I949)</f>
        <v>Returned</v>
      </c>
      <c r="J949" s="6" t="str">
        <f>TRIM(Dataset!J949)</f>
        <v>TRK65994177</v>
      </c>
      <c r="K949" s="8" t="str">
        <f>TRIM(Dataset!K949)</f>
        <v>9</v>
      </c>
      <c r="L949" s="6" t="str">
        <f>Dataset!L949</f>
        <v>FREESHIP</v>
      </c>
      <c r="M949" s="6" t="str">
        <f>TRIM(Dataset!M949)</f>
        <v>Email</v>
      </c>
      <c r="N949" s="10">
        <f>VALUE(TRIM(Dataset!N949))</f>
        <v>1862.64</v>
      </c>
    </row>
    <row r="950" spans="1:14" x14ac:dyDescent="0.35">
      <c r="A950" s="6" t="str">
        <f>TRIM(Dataset!A950)</f>
        <v>ORD200948</v>
      </c>
      <c r="B950" s="4">
        <f>Dataset!B950</f>
        <v>45464</v>
      </c>
      <c r="C950" s="6" t="str">
        <f>TRIM(Dataset!C950)</f>
        <v>C94569</v>
      </c>
      <c r="D950" s="6" t="str">
        <f>TRIM(Dataset!D950)</f>
        <v>Phone</v>
      </c>
      <c r="E950" s="13">
        <f>VALUE(TRIM(Dataset!E950))</f>
        <v>2</v>
      </c>
      <c r="F950" s="10">
        <f>VALUE(TRIM(Dataset!F950))</f>
        <v>594.07000000000005</v>
      </c>
      <c r="G950" s="6" t="str">
        <f>TRIM(Dataset!G950)</f>
        <v>739 Main St</v>
      </c>
      <c r="H950" s="6" t="str">
        <f>TRIM(Dataset!H950)</f>
        <v>Gift Card</v>
      </c>
      <c r="I950" s="6" t="str">
        <f>TRIM(Dataset!I950)</f>
        <v>Cancelled</v>
      </c>
      <c r="J950" s="6" t="str">
        <f>TRIM(Dataset!J950)</f>
        <v>TRK79269291</v>
      </c>
      <c r="K950" s="8" t="str">
        <f>TRIM(Dataset!K950)</f>
        <v>2</v>
      </c>
      <c r="L950" s="6" t="s">
        <v>4284</v>
      </c>
      <c r="M950" s="6" t="str">
        <f>TRIM(Dataset!M950)</f>
        <v>Google</v>
      </c>
      <c r="N950" s="10">
        <f>VALUE(TRIM(Dataset!N950))</f>
        <v>1188.1400000000001</v>
      </c>
    </row>
    <row r="951" spans="1:14" x14ac:dyDescent="0.35">
      <c r="A951" s="6" t="str">
        <f>TRIM(Dataset!A951)</f>
        <v>ORD200949</v>
      </c>
      <c r="B951" s="4">
        <f>Dataset!B951</f>
        <v>45239</v>
      </c>
      <c r="C951" s="6" t="str">
        <f>TRIM(Dataset!C951)</f>
        <v>C55778</v>
      </c>
      <c r="D951" s="6" t="str">
        <f>TRIM(Dataset!D951)</f>
        <v>Desk</v>
      </c>
      <c r="E951" s="13">
        <f>VALUE(TRIM(Dataset!E951))</f>
        <v>5</v>
      </c>
      <c r="F951" s="10">
        <f>VALUE(TRIM(Dataset!F951))</f>
        <v>110.38</v>
      </c>
      <c r="G951" s="6" t="str">
        <f>TRIM(Dataset!G951)</f>
        <v>319 Main St</v>
      </c>
      <c r="H951" s="6" t="str">
        <f>TRIM(Dataset!H951)</f>
        <v>Cash</v>
      </c>
      <c r="I951" s="6" t="str">
        <f>TRIM(Dataset!I951)</f>
        <v>Pending</v>
      </c>
      <c r="J951" s="6" t="str">
        <f>TRIM(Dataset!J951)</f>
        <v>TRK93797108</v>
      </c>
      <c r="K951" s="8" t="str">
        <f>TRIM(Dataset!K951)</f>
        <v>10</v>
      </c>
      <c r="L951" s="6" t="s">
        <v>4284</v>
      </c>
      <c r="M951" s="6" t="str">
        <f>TRIM(Dataset!M951)</f>
        <v>Referral</v>
      </c>
      <c r="N951" s="10">
        <f>VALUE(TRIM(Dataset!N951))</f>
        <v>551.9</v>
      </c>
    </row>
    <row r="952" spans="1:14" x14ac:dyDescent="0.35">
      <c r="A952" s="6" t="str">
        <f>TRIM(Dataset!A952)</f>
        <v>ORD200950</v>
      </c>
      <c r="B952" s="4">
        <f>Dataset!B952</f>
        <v>45443</v>
      </c>
      <c r="C952" s="6" t="str">
        <f>TRIM(Dataset!C952)</f>
        <v>C19722</v>
      </c>
      <c r="D952" s="6" t="str">
        <f>TRIM(Dataset!D952)</f>
        <v>Laptop</v>
      </c>
      <c r="E952" s="13">
        <f>VALUE(TRIM(Dataset!E952))</f>
        <v>1</v>
      </c>
      <c r="F952" s="10">
        <f>VALUE(TRIM(Dataset!F952))</f>
        <v>596.24</v>
      </c>
      <c r="G952" s="6" t="str">
        <f>TRIM(Dataset!G952)</f>
        <v>891 Main St</v>
      </c>
      <c r="H952" s="6" t="str">
        <f>TRIM(Dataset!H952)</f>
        <v>Credit Card</v>
      </c>
      <c r="I952" s="6" t="str">
        <f>TRIM(Dataset!I952)</f>
        <v>Returned</v>
      </c>
      <c r="J952" s="6" t="str">
        <f>TRIM(Dataset!J952)</f>
        <v>TRK78094361</v>
      </c>
      <c r="K952" s="8" t="str">
        <f>TRIM(Dataset!K952)</f>
        <v>4</v>
      </c>
      <c r="L952" s="6" t="str">
        <f>Dataset!L952</f>
        <v>FREESHIP</v>
      </c>
      <c r="M952" s="6" t="str">
        <f>TRIM(Dataset!M952)</f>
        <v>Instagram</v>
      </c>
      <c r="N952" s="10">
        <f>VALUE(TRIM(Dataset!N952))</f>
        <v>596.24</v>
      </c>
    </row>
    <row r="953" spans="1:14" x14ac:dyDescent="0.35">
      <c r="A953" s="6" t="str">
        <f>TRIM(Dataset!A953)</f>
        <v>ORD200951</v>
      </c>
      <c r="B953" s="4">
        <f>Dataset!B953</f>
        <v>45495</v>
      </c>
      <c r="C953" s="6" t="str">
        <f>TRIM(Dataset!C953)</f>
        <v>C74928</v>
      </c>
      <c r="D953" s="6" t="str">
        <f>TRIM(Dataset!D953)</f>
        <v>Printer</v>
      </c>
      <c r="E953" s="13">
        <f>VALUE(TRIM(Dataset!E953))</f>
        <v>2</v>
      </c>
      <c r="F953" s="10">
        <f>VALUE(TRIM(Dataset!F953))</f>
        <v>306.24</v>
      </c>
      <c r="G953" s="6" t="str">
        <f>TRIM(Dataset!G953)</f>
        <v>589 Main St</v>
      </c>
      <c r="H953" s="6" t="str">
        <f>TRIM(Dataset!H953)</f>
        <v>Online</v>
      </c>
      <c r="I953" s="6" t="str">
        <f>TRIM(Dataset!I953)</f>
        <v>Returned</v>
      </c>
      <c r="J953" s="6" t="str">
        <f>TRIM(Dataset!J953)</f>
        <v>TRK39845914</v>
      </c>
      <c r="K953" s="8" t="str">
        <f>TRIM(Dataset!K953)</f>
        <v>4</v>
      </c>
      <c r="L953" s="6" t="str">
        <f>Dataset!L953</f>
        <v>FREESHIP</v>
      </c>
      <c r="M953" s="6" t="str">
        <f>TRIM(Dataset!M953)</f>
        <v>Email</v>
      </c>
      <c r="N953" s="10">
        <f>VALUE(TRIM(Dataset!N953))</f>
        <v>612.48</v>
      </c>
    </row>
    <row r="954" spans="1:14" x14ac:dyDescent="0.35">
      <c r="A954" s="6" t="str">
        <f>TRIM(Dataset!A954)</f>
        <v>ORD200952</v>
      </c>
      <c r="B954" s="4">
        <f>Dataset!B954</f>
        <v>45715</v>
      </c>
      <c r="C954" s="6" t="str">
        <f>TRIM(Dataset!C954)</f>
        <v>C49111</v>
      </c>
      <c r="D954" s="6" t="str">
        <f>TRIM(Dataset!D954)</f>
        <v>Monitor</v>
      </c>
      <c r="E954" s="13">
        <f>VALUE(TRIM(Dataset!E954))</f>
        <v>3</v>
      </c>
      <c r="F954" s="10">
        <f>VALUE(TRIM(Dataset!F954))</f>
        <v>503.39</v>
      </c>
      <c r="G954" s="6" t="str">
        <f>TRIM(Dataset!G954)</f>
        <v>225 Main St</v>
      </c>
      <c r="H954" s="6" t="str">
        <f>TRIM(Dataset!H954)</f>
        <v>Online</v>
      </c>
      <c r="I954" s="6" t="str">
        <f>TRIM(Dataset!I954)</f>
        <v>Pending</v>
      </c>
      <c r="J954" s="6" t="str">
        <f>TRIM(Dataset!J954)</f>
        <v>TRK45303393</v>
      </c>
      <c r="K954" s="8" t="str">
        <f>TRIM(Dataset!K954)</f>
        <v>5</v>
      </c>
      <c r="L954" s="6" t="s">
        <v>4284</v>
      </c>
      <c r="M954" s="6" t="str">
        <f>TRIM(Dataset!M954)</f>
        <v>Facebook</v>
      </c>
      <c r="N954" s="10">
        <f>VALUE(TRIM(Dataset!N954))</f>
        <v>1510.17</v>
      </c>
    </row>
    <row r="955" spans="1:14" x14ac:dyDescent="0.35">
      <c r="A955" s="6" t="str">
        <f>TRIM(Dataset!A955)</f>
        <v>ORD200953</v>
      </c>
      <c r="B955" s="4">
        <f>Dataset!B955</f>
        <v>44963</v>
      </c>
      <c r="C955" s="6" t="str">
        <f>TRIM(Dataset!C955)</f>
        <v>C43721</v>
      </c>
      <c r="D955" s="6" t="str">
        <f>TRIM(Dataset!D955)</f>
        <v>Phone</v>
      </c>
      <c r="E955" s="13">
        <f>VALUE(TRIM(Dataset!E955))</f>
        <v>1</v>
      </c>
      <c r="F955" s="10">
        <f>VALUE(TRIM(Dataset!F955))</f>
        <v>131.61000000000001</v>
      </c>
      <c r="G955" s="6" t="str">
        <f>TRIM(Dataset!G955)</f>
        <v>971 Main St</v>
      </c>
      <c r="H955" s="6" t="str">
        <f>TRIM(Dataset!H955)</f>
        <v>Cash</v>
      </c>
      <c r="I955" s="6" t="str">
        <f>TRIM(Dataset!I955)</f>
        <v>Shipped</v>
      </c>
      <c r="J955" s="6" t="str">
        <f>TRIM(Dataset!J955)</f>
        <v>TRK89392104</v>
      </c>
      <c r="K955" s="8" t="str">
        <f>TRIM(Dataset!K955)</f>
        <v>2</v>
      </c>
      <c r="L955" s="6" t="str">
        <f>Dataset!L955</f>
        <v>FREESHIP</v>
      </c>
      <c r="M955" s="6" t="str">
        <f>TRIM(Dataset!M955)</f>
        <v>Facebook</v>
      </c>
      <c r="N955" s="10">
        <f>VALUE(TRIM(Dataset!N955))</f>
        <v>131.61000000000001</v>
      </c>
    </row>
    <row r="956" spans="1:14" x14ac:dyDescent="0.35">
      <c r="A956" s="6" t="str">
        <f>TRIM(Dataset!A956)</f>
        <v>ORD200954</v>
      </c>
      <c r="B956" s="4">
        <f>Dataset!B956</f>
        <v>45587</v>
      </c>
      <c r="C956" s="6" t="str">
        <f>TRIM(Dataset!C956)</f>
        <v>C68609</v>
      </c>
      <c r="D956" s="6" t="str">
        <f>TRIM(Dataset!D956)</f>
        <v>Chair</v>
      </c>
      <c r="E956" s="13">
        <f>VALUE(TRIM(Dataset!E956))</f>
        <v>3</v>
      </c>
      <c r="F956" s="10">
        <f>VALUE(TRIM(Dataset!F956))</f>
        <v>443.44</v>
      </c>
      <c r="G956" s="6" t="str">
        <f>TRIM(Dataset!G956)</f>
        <v>240 Main St</v>
      </c>
      <c r="H956" s="6" t="str">
        <f>TRIM(Dataset!H956)</f>
        <v>Gift Card</v>
      </c>
      <c r="I956" s="6" t="str">
        <f>TRIM(Dataset!I956)</f>
        <v>Shipped</v>
      </c>
      <c r="J956" s="6" t="str">
        <f>TRIM(Dataset!J956)</f>
        <v>TRK58273778</v>
      </c>
      <c r="K956" s="8" t="str">
        <f>TRIM(Dataset!K956)</f>
        <v>3</v>
      </c>
      <c r="L956" s="6" t="str">
        <f>Dataset!L956</f>
        <v>FREESHIP</v>
      </c>
      <c r="M956" s="6" t="str">
        <f>TRIM(Dataset!M956)</f>
        <v>Google</v>
      </c>
      <c r="N956" s="10">
        <f>VALUE(TRIM(Dataset!N956))</f>
        <v>1330.32</v>
      </c>
    </row>
    <row r="957" spans="1:14" x14ac:dyDescent="0.35">
      <c r="A957" s="6" t="str">
        <f>TRIM(Dataset!A957)</f>
        <v>ORD200955</v>
      </c>
      <c r="B957" s="4">
        <f>Dataset!B957</f>
        <v>44949</v>
      </c>
      <c r="C957" s="6" t="str">
        <f>TRIM(Dataset!C957)</f>
        <v>C82068</v>
      </c>
      <c r="D957" s="6" t="str">
        <f>TRIM(Dataset!D957)</f>
        <v>Chair</v>
      </c>
      <c r="E957" s="13">
        <f>VALUE(TRIM(Dataset!E957))</f>
        <v>1</v>
      </c>
      <c r="F957" s="10">
        <f>VALUE(TRIM(Dataset!F957))</f>
        <v>408.13</v>
      </c>
      <c r="G957" s="6" t="str">
        <f>TRIM(Dataset!G957)</f>
        <v>164 Main St</v>
      </c>
      <c r="H957" s="6" t="str">
        <f>TRIM(Dataset!H957)</f>
        <v>Gift Card</v>
      </c>
      <c r="I957" s="6" t="str">
        <f>TRIM(Dataset!I957)</f>
        <v>Shipped</v>
      </c>
      <c r="J957" s="6" t="str">
        <f>TRIM(Dataset!J957)</f>
        <v>TRK25779180</v>
      </c>
      <c r="K957" s="8" t="str">
        <f>TRIM(Dataset!K957)</f>
        <v>3</v>
      </c>
      <c r="L957" s="6" t="str">
        <f>Dataset!L957</f>
        <v>WINTER15</v>
      </c>
      <c r="M957" s="6" t="str">
        <f>TRIM(Dataset!M957)</f>
        <v>Instagram</v>
      </c>
      <c r="N957" s="10">
        <f>VALUE(TRIM(Dataset!N957))</f>
        <v>408.13</v>
      </c>
    </row>
    <row r="958" spans="1:14" x14ac:dyDescent="0.35">
      <c r="A958" s="6" t="str">
        <f>TRIM(Dataset!A958)</f>
        <v>ORD200956</v>
      </c>
      <c r="B958" s="4">
        <f>Dataset!B958</f>
        <v>45393</v>
      </c>
      <c r="C958" s="6" t="str">
        <f>TRIM(Dataset!C958)</f>
        <v>C21191</v>
      </c>
      <c r="D958" s="6" t="str">
        <f>TRIM(Dataset!D958)</f>
        <v>Phone</v>
      </c>
      <c r="E958" s="13">
        <f>VALUE(TRIM(Dataset!E958))</f>
        <v>2</v>
      </c>
      <c r="F958" s="10">
        <f>VALUE(TRIM(Dataset!F958))</f>
        <v>160.97999999999999</v>
      </c>
      <c r="G958" s="6" t="str">
        <f>TRIM(Dataset!G958)</f>
        <v>381 Main St</v>
      </c>
      <c r="H958" s="6" t="str">
        <f>TRIM(Dataset!H958)</f>
        <v>Debit Card</v>
      </c>
      <c r="I958" s="6" t="str">
        <f>TRIM(Dataset!I958)</f>
        <v>Delivered</v>
      </c>
      <c r="J958" s="6" t="str">
        <f>TRIM(Dataset!J958)</f>
        <v>TRK86246309</v>
      </c>
      <c r="K958" s="8" t="str">
        <f>TRIM(Dataset!K958)</f>
        <v>3</v>
      </c>
      <c r="L958" s="6" t="str">
        <f>Dataset!L958</f>
        <v>SAVE10</v>
      </c>
      <c r="M958" s="6" t="str">
        <f>TRIM(Dataset!M958)</f>
        <v>Referral</v>
      </c>
      <c r="N958" s="10">
        <f>VALUE(TRIM(Dataset!N958))</f>
        <v>321.95999999999998</v>
      </c>
    </row>
    <row r="959" spans="1:14" x14ac:dyDescent="0.35">
      <c r="A959" s="6" t="str">
        <f>TRIM(Dataset!A959)</f>
        <v>ORD200957</v>
      </c>
      <c r="B959" s="4">
        <f>Dataset!B959</f>
        <v>44938</v>
      </c>
      <c r="C959" s="6" t="str">
        <f>TRIM(Dataset!C959)</f>
        <v>C73575</v>
      </c>
      <c r="D959" s="6" t="str">
        <f>TRIM(Dataset!D959)</f>
        <v>Monitor</v>
      </c>
      <c r="E959" s="13">
        <f>VALUE(TRIM(Dataset!E959))</f>
        <v>5</v>
      </c>
      <c r="F959" s="10">
        <f>VALUE(TRIM(Dataset!F959))</f>
        <v>643.89</v>
      </c>
      <c r="G959" s="6" t="str">
        <f>TRIM(Dataset!G959)</f>
        <v>851 Main St</v>
      </c>
      <c r="H959" s="6" t="str">
        <f>TRIM(Dataset!H959)</f>
        <v>Cash</v>
      </c>
      <c r="I959" s="6" t="str">
        <f>TRIM(Dataset!I959)</f>
        <v>Returned</v>
      </c>
      <c r="J959" s="6" t="str">
        <f>TRIM(Dataset!J959)</f>
        <v>TRK23387612</v>
      </c>
      <c r="K959" s="8" t="str">
        <f>TRIM(Dataset!K959)</f>
        <v>8</v>
      </c>
      <c r="L959" s="6" t="str">
        <f>Dataset!L959</f>
        <v>WINTER15</v>
      </c>
      <c r="M959" s="6" t="str">
        <f>TRIM(Dataset!M959)</f>
        <v>Facebook</v>
      </c>
      <c r="N959" s="10">
        <f>VALUE(TRIM(Dataset!N959))</f>
        <v>3219.45</v>
      </c>
    </row>
    <row r="960" spans="1:14" x14ac:dyDescent="0.35">
      <c r="A960" s="6" t="str">
        <f>TRIM(Dataset!A960)</f>
        <v>ORD200958</v>
      </c>
      <c r="B960" s="4">
        <f>Dataset!B960</f>
        <v>45059</v>
      </c>
      <c r="C960" s="6" t="str">
        <f>TRIM(Dataset!C960)</f>
        <v>C82685</v>
      </c>
      <c r="D960" s="6" t="str">
        <f>TRIM(Dataset!D960)</f>
        <v>Desk</v>
      </c>
      <c r="E960" s="13">
        <f>VALUE(TRIM(Dataset!E960))</f>
        <v>3</v>
      </c>
      <c r="F960" s="10">
        <f>VALUE(TRIM(Dataset!F960))</f>
        <v>158.66</v>
      </c>
      <c r="G960" s="6" t="str">
        <f>TRIM(Dataset!G960)</f>
        <v>537 Main St</v>
      </c>
      <c r="H960" s="6" t="str">
        <f>TRIM(Dataset!H960)</f>
        <v>Gift Card</v>
      </c>
      <c r="I960" s="6" t="str">
        <f>TRIM(Dataset!I960)</f>
        <v>Delivered</v>
      </c>
      <c r="J960" s="6" t="str">
        <f>TRIM(Dataset!J960)</f>
        <v>TRK70184320</v>
      </c>
      <c r="K960" s="8" t="str">
        <f>TRIM(Dataset!K960)</f>
        <v>7</v>
      </c>
      <c r="L960" s="6" t="str">
        <f>Dataset!L960</f>
        <v>WINTER15</v>
      </c>
      <c r="M960" s="6" t="str">
        <f>TRIM(Dataset!M960)</f>
        <v>Email</v>
      </c>
      <c r="N960" s="10">
        <f>VALUE(TRIM(Dataset!N960))</f>
        <v>475.98</v>
      </c>
    </row>
    <row r="961" spans="1:14" x14ac:dyDescent="0.35">
      <c r="A961" s="6" t="str">
        <f>TRIM(Dataset!A961)</f>
        <v>ORD200959</v>
      </c>
      <c r="B961" s="4">
        <f>Dataset!B961</f>
        <v>45395</v>
      </c>
      <c r="C961" s="6" t="str">
        <f>TRIM(Dataset!C961)</f>
        <v>C73996</v>
      </c>
      <c r="D961" s="6" t="str">
        <f>TRIM(Dataset!D961)</f>
        <v>Tablet</v>
      </c>
      <c r="E961" s="13">
        <f>VALUE(TRIM(Dataset!E961))</f>
        <v>2</v>
      </c>
      <c r="F961" s="10">
        <f>VALUE(TRIM(Dataset!F961))</f>
        <v>143.82</v>
      </c>
      <c r="G961" s="6" t="str">
        <f>TRIM(Dataset!G961)</f>
        <v>856 Main St</v>
      </c>
      <c r="H961" s="6" t="str">
        <f>TRIM(Dataset!H961)</f>
        <v>Credit Card</v>
      </c>
      <c r="I961" s="6" t="str">
        <f>TRIM(Dataset!I961)</f>
        <v>Returned</v>
      </c>
      <c r="J961" s="6" t="str">
        <f>TRIM(Dataset!J961)</f>
        <v>TRK74579570</v>
      </c>
      <c r="K961" s="8" t="str">
        <f>TRIM(Dataset!K961)</f>
        <v>6</v>
      </c>
      <c r="L961" s="6" t="str">
        <f>Dataset!L961</f>
        <v>SAVE10</v>
      </c>
      <c r="M961" s="6" t="str">
        <f>TRIM(Dataset!M961)</f>
        <v>Instagram</v>
      </c>
      <c r="N961" s="10">
        <f>VALUE(TRIM(Dataset!N961))</f>
        <v>287.64</v>
      </c>
    </row>
    <row r="962" spans="1:14" x14ac:dyDescent="0.35">
      <c r="A962" s="6" t="str">
        <f>TRIM(Dataset!A962)</f>
        <v>ORD200960</v>
      </c>
      <c r="B962" s="4">
        <f>Dataset!B962</f>
        <v>45271</v>
      </c>
      <c r="C962" s="6" t="str">
        <f>TRIM(Dataset!C962)</f>
        <v>C87687</v>
      </c>
      <c r="D962" s="6" t="str">
        <f>TRIM(Dataset!D962)</f>
        <v>Laptop</v>
      </c>
      <c r="E962" s="13">
        <f>VALUE(TRIM(Dataset!E962))</f>
        <v>3</v>
      </c>
      <c r="F962" s="10">
        <f>VALUE(TRIM(Dataset!F962))</f>
        <v>379.07</v>
      </c>
      <c r="G962" s="6" t="str">
        <f>TRIM(Dataset!G962)</f>
        <v>312 Main St</v>
      </c>
      <c r="H962" s="6" t="str">
        <f>TRIM(Dataset!H962)</f>
        <v>Gift Card</v>
      </c>
      <c r="I962" s="6" t="str">
        <f>TRIM(Dataset!I962)</f>
        <v>Pending</v>
      </c>
      <c r="J962" s="6" t="str">
        <f>TRIM(Dataset!J962)</f>
        <v>TRK60383805</v>
      </c>
      <c r="K962" s="8" t="str">
        <f>TRIM(Dataset!K962)</f>
        <v>3</v>
      </c>
      <c r="L962" s="6" t="str">
        <f>Dataset!L962</f>
        <v>WINTER15</v>
      </c>
      <c r="M962" s="6" t="str">
        <f>TRIM(Dataset!M962)</f>
        <v>Google</v>
      </c>
      <c r="N962" s="10">
        <f>VALUE(TRIM(Dataset!N962))</f>
        <v>1137.21</v>
      </c>
    </row>
    <row r="963" spans="1:14" x14ac:dyDescent="0.35">
      <c r="A963" s="6" t="str">
        <f>TRIM(Dataset!A963)</f>
        <v>ORD200961</v>
      </c>
      <c r="B963" s="4">
        <f>Dataset!B963</f>
        <v>45607</v>
      </c>
      <c r="C963" s="6" t="str">
        <f>TRIM(Dataset!C963)</f>
        <v>C55464</v>
      </c>
      <c r="D963" s="6" t="str">
        <f>TRIM(Dataset!D963)</f>
        <v>Phone</v>
      </c>
      <c r="E963" s="13">
        <f>VALUE(TRIM(Dataset!E963))</f>
        <v>1</v>
      </c>
      <c r="F963" s="10">
        <f>VALUE(TRIM(Dataset!F963))</f>
        <v>601.36</v>
      </c>
      <c r="G963" s="6" t="str">
        <f>TRIM(Dataset!G963)</f>
        <v>532 Main St</v>
      </c>
      <c r="H963" s="6" t="str">
        <f>TRIM(Dataset!H963)</f>
        <v>Online</v>
      </c>
      <c r="I963" s="6" t="str">
        <f>TRIM(Dataset!I963)</f>
        <v>Shipped</v>
      </c>
      <c r="J963" s="6" t="str">
        <f>TRIM(Dataset!J963)</f>
        <v>TRK81178598</v>
      </c>
      <c r="K963" s="8" t="str">
        <f>TRIM(Dataset!K963)</f>
        <v>1</v>
      </c>
      <c r="L963" s="6" t="s">
        <v>4284</v>
      </c>
      <c r="M963" s="6" t="str">
        <f>TRIM(Dataset!M963)</f>
        <v>Facebook</v>
      </c>
      <c r="N963" s="10">
        <f>VALUE(TRIM(Dataset!N963))</f>
        <v>601.36</v>
      </c>
    </row>
    <row r="964" spans="1:14" x14ac:dyDescent="0.35">
      <c r="A964" s="6" t="str">
        <f>TRIM(Dataset!A964)</f>
        <v>ORD200962</v>
      </c>
      <c r="B964" s="4">
        <f>Dataset!B964</f>
        <v>45541</v>
      </c>
      <c r="C964" s="6" t="str">
        <f>TRIM(Dataset!C964)</f>
        <v>C12459</v>
      </c>
      <c r="D964" s="6" t="str">
        <f>TRIM(Dataset!D964)</f>
        <v>Phone</v>
      </c>
      <c r="E964" s="13">
        <f>VALUE(TRIM(Dataset!E964))</f>
        <v>2</v>
      </c>
      <c r="F964" s="10">
        <f>VALUE(TRIM(Dataset!F964))</f>
        <v>142.08000000000001</v>
      </c>
      <c r="G964" s="6" t="str">
        <f>TRIM(Dataset!G964)</f>
        <v>838 Main St</v>
      </c>
      <c r="H964" s="6" t="str">
        <f>TRIM(Dataset!H964)</f>
        <v>Gift Card</v>
      </c>
      <c r="I964" s="6" t="str">
        <f>TRIM(Dataset!I964)</f>
        <v>Delivered</v>
      </c>
      <c r="J964" s="6" t="str">
        <f>TRIM(Dataset!J964)</f>
        <v>TRK30674085</v>
      </c>
      <c r="K964" s="8" t="str">
        <f>TRIM(Dataset!K964)</f>
        <v>4</v>
      </c>
      <c r="L964" s="6" t="str">
        <f>Dataset!L964</f>
        <v>SAVE10</v>
      </c>
      <c r="M964" s="6" t="str">
        <f>TRIM(Dataset!M964)</f>
        <v>Referral</v>
      </c>
      <c r="N964" s="10">
        <f>VALUE(TRIM(Dataset!N964))</f>
        <v>284.16000000000003</v>
      </c>
    </row>
    <row r="965" spans="1:14" x14ac:dyDescent="0.35">
      <c r="A965" s="6" t="str">
        <f>TRIM(Dataset!A965)</f>
        <v>ORD200963</v>
      </c>
      <c r="B965" s="4">
        <f>Dataset!B965</f>
        <v>45362</v>
      </c>
      <c r="C965" s="6" t="str">
        <f>TRIM(Dataset!C965)</f>
        <v>C88075</v>
      </c>
      <c r="D965" s="6" t="str">
        <f>TRIM(Dataset!D965)</f>
        <v>Chair</v>
      </c>
      <c r="E965" s="13">
        <f>VALUE(TRIM(Dataset!E965))</f>
        <v>5</v>
      </c>
      <c r="F965" s="10">
        <f>VALUE(TRIM(Dataset!F965))</f>
        <v>530.34</v>
      </c>
      <c r="G965" s="6" t="str">
        <f>TRIM(Dataset!G965)</f>
        <v>970 Main St</v>
      </c>
      <c r="H965" s="6" t="str">
        <f>TRIM(Dataset!H965)</f>
        <v>Online</v>
      </c>
      <c r="I965" s="6" t="str">
        <f>TRIM(Dataset!I965)</f>
        <v>Shipped</v>
      </c>
      <c r="J965" s="6" t="str">
        <f>TRIM(Dataset!J965)</f>
        <v>TRK42832976</v>
      </c>
      <c r="K965" s="8" t="str">
        <f>TRIM(Dataset!K965)</f>
        <v>9</v>
      </c>
      <c r="L965" s="6" t="str">
        <f>Dataset!L965</f>
        <v>FREESHIP</v>
      </c>
      <c r="M965" s="6" t="str">
        <f>TRIM(Dataset!M965)</f>
        <v>Google</v>
      </c>
      <c r="N965" s="10">
        <f>VALUE(TRIM(Dataset!N965))</f>
        <v>2651.7</v>
      </c>
    </row>
    <row r="966" spans="1:14" x14ac:dyDescent="0.35">
      <c r="A966" s="6" t="str">
        <f>TRIM(Dataset!A966)</f>
        <v>ORD200964</v>
      </c>
      <c r="B966" s="4">
        <f>Dataset!B966</f>
        <v>45158</v>
      </c>
      <c r="C966" s="6" t="str">
        <f>TRIM(Dataset!C966)</f>
        <v>C18583</v>
      </c>
      <c r="D966" s="6" t="str">
        <f>TRIM(Dataset!D966)</f>
        <v>Phone</v>
      </c>
      <c r="E966" s="13">
        <f>VALUE(TRIM(Dataset!E966))</f>
        <v>5</v>
      </c>
      <c r="F966" s="10">
        <f>VALUE(TRIM(Dataset!F966))</f>
        <v>364.42</v>
      </c>
      <c r="G966" s="6" t="str">
        <f>TRIM(Dataset!G966)</f>
        <v>778 Main St</v>
      </c>
      <c r="H966" s="6" t="str">
        <f>TRIM(Dataset!H966)</f>
        <v>Credit Card</v>
      </c>
      <c r="I966" s="6" t="str">
        <f>TRIM(Dataset!I966)</f>
        <v>Cancelled</v>
      </c>
      <c r="J966" s="6" t="str">
        <f>TRIM(Dataset!J966)</f>
        <v>TRK43084595</v>
      </c>
      <c r="K966" s="8" t="str">
        <f>TRIM(Dataset!K966)</f>
        <v>10</v>
      </c>
      <c r="L966" s="6" t="str">
        <f>Dataset!L966</f>
        <v>SAVE10</v>
      </c>
      <c r="M966" s="6" t="str">
        <f>TRIM(Dataset!M966)</f>
        <v>Referral</v>
      </c>
      <c r="N966" s="10">
        <f>VALUE(TRIM(Dataset!N966))</f>
        <v>1822.1</v>
      </c>
    </row>
    <row r="967" spans="1:14" x14ac:dyDescent="0.35">
      <c r="A967" s="6" t="str">
        <f>TRIM(Dataset!A967)</f>
        <v>ORD200965</v>
      </c>
      <c r="B967" s="4">
        <f>Dataset!B967</f>
        <v>45826</v>
      </c>
      <c r="C967" s="6" t="str">
        <f>TRIM(Dataset!C967)</f>
        <v>C70412</v>
      </c>
      <c r="D967" s="6" t="str">
        <f>TRIM(Dataset!D967)</f>
        <v>Laptop</v>
      </c>
      <c r="E967" s="13">
        <f>VALUE(TRIM(Dataset!E967))</f>
        <v>4</v>
      </c>
      <c r="F967" s="10">
        <f>VALUE(TRIM(Dataset!F967))</f>
        <v>578.28</v>
      </c>
      <c r="G967" s="6" t="str">
        <f>TRIM(Dataset!G967)</f>
        <v>791 Main St</v>
      </c>
      <c r="H967" s="6" t="str">
        <f>TRIM(Dataset!H967)</f>
        <v>Gift Card</v>
      </c>
      <c r="I967" s="6" t="str">
        <f>TRIM(Dataset!I967)</f>
        <v>Cancelled</v>
      </c>
      <c r="J967" s="6" t="str">
        <f>TRIM(Dataset!J967)</f>
        <v>TRK22192783</v>
      </c>
      <c r="K967" s="8" t="str">
        <f>TRIM(Dataset!K967)</f>
        <v>5</v>
      </c>
      <c r="L967" s="6" t="str">
        <f>Dataset!L967</f>
        <v>FREESHIP</v>
      </c>
      <c r="M967" s="6" t="str">
        <f>TRIM(Dataset!M967)</f>
        <v>Email</v>
      </c>
      <c r="N967" s="10">
        <f>VALUE(TRIM(Dataset!N967))</f>
        <v>2313.12</v>
      </c>
    </row>
    <row r="968" spans="1:14" x14ac:dyDescent="0.35">
      <c r="A968" s="6" t="str">
        <f>TRIM(Dataset!A968)</f>
        <v>ORD200966</v>
      </c>
      <c r="B968" s="4">
        <f>Dataset!B968</f>
        <v>45797</v>
      </c>
      <c r="C968" s="6" t="str">
        <f>TRIM(Dataset!C968)</f>
        <v>C58503</v>
      </c>
      <c r="D968" s="6" t="str">
        <f>TRIM(Dataset!D968)</f>
        <v>Monitor</v>
      </c>
      <c r="E968" s="13">
        <f>VALUE(TRIM(Dataset!E968))</f>
        <v>5</v>
      </c>
      <c r="F968" s="10">
        <f>VALUE(TRIM(Dataset!F968))</f>
        <v>280.52</v>
      </c>
      <c r="G968" s="6" t="str">
        <f>TRIM(Dataset!G968)</f>
        <v>290 Main St</v>
      </c>
      <c r="H968" s="6" t="str">
        <f>TRIM(Dataset!H968)</f>
        <v>Credit Card</v>
      </c>
      <c r="I968" s="6" t="str">
        <f>TRIM(Dataset!I968)</f>
        <v>Cancelled</v>
      </c>
      <c r="J968" s="6" t="str">
        <f>TRIM(Dataset!J968)</f>
        <v>TRK12981657</v>
      </c>
      <c r="K968" s="8" t="str">
        <f>TRIM(Dataset!K968)</f>
        <v>7</v>
      </c>
      <c r="L968" s="6" t="str">
        <f>Dataset!L968</f>
        <v>WINTER15</v>
      </c>
      <c r="M968" s="6" t="str">
        <f>TRIM(Dataset!M968)</f>
        <v>Facebook</v>
      </c>
      <c r="N968" s="10">
        <f>VALUE(TRIM(Dataset!N968))</f>
        <v>1402.6</v>
      </c>
    </row>
    <row r="969" spans="1:14" x14ac:dyDescent="0.35">
      <c r="A969" s="6" t="str">
        <f>TRIM(Dataset!A969)</f>
        <v>ORD200967</v>
      </c>
      <c r="B969" s="4">
        <f>Dataset!B969</f>
        <v>45783</v>
      </c>
      <c r="C969" s="6" t="str">
        <f>TRIM(Dataset!C969)</f>
        <v>C52879</v>
      </c>
      <c r="D969" s="6" t="str">
        <f>TRIM(Dataset!D969)</f>
        <v>Tablet</v>
      </c>
      <c r="E969" s="13">
        <f>VALUE(TRIM(Dataset!E969))</f>
        <v>5</v>
      </c>
      <c r="F969" s="10">
        <f>VALUE(TRIM(Dataset!F969))</f>
        <v>638.91999999999996</v>
      </c>
      <c r="G969" s="6" t="str">
        <f>TRIM(Dataset!G969)</f>
        <v>502 Main St</v>
      </c>
      <c r="H969" s="6" t="str">
        <f>TRIM(Dataset!H969)</f>
        <v>Credit Card</v>
      </c>
      <c r="I969" s="6" t="str">
        <f>TRIM(Dataset!I969)</f>
        <v>Returned</v>
      </c>
      <c r="J969" s="6" t="str">
        <f>TRIM(Dataset!J969)</f>
        <v>TRK67403284</v>
      </c>
      <c r="K969" s="8" t="str">
        <f>TRIM(Dataset!K969)</f>
        <v>5</v>
      </c>
      <c r="L969" s="6" t="str">
        <f>Dataset!L969</f>
        <v>FREESHIP</v>
      </c>
      <c r="M969" s="6" t="str">
        <f>TRIM(Dataset!M969)</f>
        <v>Google</v>
      </c>
      <c r="N969" s="10">
        <f>VALUE(TRIM(Dataset!N969))</f>
        <v>3194.6</v>
      </c>
    </row>
    <row r="970" spans="1:14" x14ac:dyDescent="0.35">
      <c r="A970" s="6" t="str">
        <f>TRIM(Dataset!A970)</f>
        <v>ORD200968</v>
      </c>
      <c r="B970" s="4">
        <f>Dataset!B970</f>
        <v>45330</v>
      </c>
      <c r="C970" s="6" t="str">
        <f>TRIM(Dataset!C970)</f>
        <v>C67870</v>
      </c>
      <c r="D970" s="6" t="str">
        <f>TRIM(Dataset!D970)</f>
        <v>Monitor</v>
      </c>
      <c r="E970" s="13">
        <f>VALUE(TRIM(Dataset!E970))</f>
        <v>4</v>
      </c>
      <c r="F970" s="10">
        <f>VALUE(TRIM(Dataset!F970))</f>
        <v>412.2</v>
      </c>
      <c r="G970" s="6" t="str">
        <f>TRIM(Dataset!G970)</f>
        <v>664 Main St</v>
      </c>
      <c r="H970" s="6" t="str">
        <f>TRIM(Dataset!H970)</f>
        <v>Credit Card</v>
      </c>
      <c r="I970" s="6" t="str">
        <f>TRIM(Dataset!I970)</f>
        <v>Shipped</v>
      </c>
      <c r="J970" s="6" t="str">
        <f>TRIM(Dataset!J970)</f>
        <v>TRK72602178</v>
      </c>
      <c r="K970" s="8" t="str">
        <f>TRIM(Dataset!K970)</f>
        <v>6</v>
      </c>
      <c r="L970" s="6" t="str">
        <f>Dataset!L970</f>
        <v>WINTER15</v>
      </c>
      <c r="M970" s="6" t="str">
        <f>TRIM(Dataset!M970)</f>
        <v>Referral</v>
      </c>
      <c r="N970" s="10">
        <f>VALUE(TRIM(Dataset!N970))</f>
        <v>1648.8</v>
      </c>
    </row>
    <row r="971" spans="1:14" x14ac:dyDescent="0.35">
      <c r="A971" s="6" t="str">
        <f>TRIM(Dataset!A971)</f>
        <v>ORD200969</v>
      </c>
      <c r="B971" s="4">
        <f>Dataset!B971</f>
        <v>45813</v>
      </c>
      <c r="C971" s="6" t="str">
        <f>TRIM(Dataset!C971)</f>
        <v>C19439</v>
      </c>
      <c r="D971" s="6" t="str">
        <f>TRIM(Dataset!D971)</f>
        <v>Desk</v>
      </c>
      <c r="E971" s="13">
        <f>VALUE(TRIM(Dataset!E971))</f>
        <v>1</v>
      </c>
      <c r="F971" s="10">
        <f>VALUE(TRIM(Dataset!F971))</f>
        <v>440.34</v>
      </c>
      <c r="G971" s="6" t="str">
        <f>TRIM(Dataset!G971)</f>
        <v>675 Main St</v>
      </c>
      <c r="H971" s="6" t="str">
        <f>TRIM(Dataset!H971)</f>
        <v>Gift Card</v>
      </c>
      <c r="I971" s="6" t="str">
        <f>TRIM(Dataset!I971)</f>
        <v>Shipped</v>
      </c>
      <c r="J971" s="6" t="str">
        <f>TRIM(Dataset!J971)</f>
        <v>TRK25383993</v>
      </c>
      <c r="K971" s="8" t="str">
        <f>TRIM(Dataset!K971)</f>
        <v>2</v>
      </c>
      <c r="L971" s="6" t="str">
        <f>Dataset!L971</f>
        <v>WINTER15</v>
      </c>
      <c r="M971" s="6" t="str">
        <f>TRIM(Dataset!M971)</f>
        <v>Facebook</v>
      </c>
      <c r="N971" s="10">
        <f>VALUE(TRIM(Dataset!N971))</f>
        <v>440.34</v>
      </c>
    </row>
    <row r="972" spans="1:14" x14ac:dyDescent="0.35">
      <c r="A972" s="6" t="str">
        <f>TRIM(Dataset!A972)</f>
        <v>ORD200970</v>
      </c>
      <c r="B972" s="4">
        <f>Dataset!B972</f>
        <v>45542</v>
      </c>
      <c r="C972" s="6" t="str">
        <f>TRIM(Dataset!C972)</f>
        <v>C72664</v>
      </c>
      <c r="D972" s="6" t="str">
        <f>TRIM(Dataset!D972)</f>
        <v>Desk</v>
      </c>
      <c r="E972" s="13">
        <f>VALUE(TRIM(Dataset!E972))</f>
        <v>1</v>
      </c>
      <c r="F972" s="10">
        <f>VALUE(TRIM(Dataset!F972))</f>
        <v>627.15</v>
      </c>
      <c r="G972" s="6" t="str">
        <f>TRIM(Dataset!G972)</f>
        <v>241 Main St</v>
      </c>
      <c r="H972" s="6" t="str">
        <f>TRIM(Dataset!H972)</f>
        <v>Cash</v>
      </c>
      <c r="I972" s="6" t="str">
        <f>TRIM(Dataset!I972)</f>
        <v>Delivered</v>
      </c>
      <c r="J972" s="6" t="str">
        <f>TRIM(Dataset!J972)</f>
        <v>TRK86694331</v>
      </c>
      <c r="K972" s="8" t="str">
        <f>TRIM(Dataset!K972)</f>
        <v>5</v>
      </c>
      <c r="L972" s="6" t="str">
        <f>Dataset!L972</f>
        <v>SAVE10</v>
      </c>
      <c r="M972" s="6" t="str">
        <f>TRIM(Dataset!M972)</f>
        <v>Instagram</v>
      </c>
      <c r="N972" s="10">
        <f>VALUE(TRIM(Dataset!N972))</f>
        <v>627.15</v>
      </c>
    </row>
    <row r="973" spans="1:14" x14ac:dyDescent="0.35">
      <c r="A973" s="6" t="str">
        <f>TRIM(Dataset!A973)</f>
        <v>ORD200971</v>
      </c>
      <c r="B973" s="4">
        <f>Dataset!B973</f>
        <v>45439</v>
      </c>
      <c r="C973" s="6" t="str">
        <f>TRIM(Dataset!C973)</f>
        <v>C32650</v>
      </c>
      <c r="D973" s="6" t="str">
        <f>TRIM(Dataset!D973)</f>
        <v>Monitor</v>
      </c>
      <c r="E973" s="13">
        <f>VALUE(TRIM(Dataset!E973))</f>
        <v>2</v>
      </c>
      <c r="F973" s="10">
        <f>VALUE(TRIM(Dataset!F973))</f>
        <v>605.26</v>
      </c>
      <c r="G973" s="6" t="str">
        <f>TRIM(Dataset!G973)</f>
        <v>934 Main St</v>
      </c>
      <c r="H973" s="6" t="str">
        <f>TRIM(Dataset!H973)</f>
        <v>Cash</v>
      </c>
      <c r="I973" s="6" t="str">
        <f>TRIM(Dataset!I973)</f>
        <v>Cancelled</v>
      </c>
      <c r="J973" s="6" t="str">
        <f>TRIM(Dataset!J973)</f>
        <v>TRK66648743</v>
      </c>
      <c r="K973" s="8" t="str">
        <f>TRIM(Dataset!K973)</f>
        <v>4</v>
      </c>
      <c r="L973" s="6" t="str">
        <f>Dataset!L973</f>
        <v>WINTER15</v>
      </c>
      <c r="M973" s="6" t="str">
        <f>TRIM(Dataset!M973)</f>
        <v>Referral</v>
      </c>
      <c r="N973" s="10">
        <f>VALUE(TRIM(Dataset!N973))</f>
        <v>1210.52</v>
      </c>
    </row>
    <row r="974" spans="1:14" x14ac:dyDescent="0.35">
      <c r="A974" s="6" t="str">
        <f>TRIM(Dataset!A974)</f>
        <v>ORD200972</v>
      </c>
      <c r="B974" s="4">
        <f>Dataset!B974</f>
        <v>45452</v>
      </c>
      <c r="C974" s="6" t="str">
        <f>TRIM(Dataset!C974)</f>
        <v>C66438</v>
      </c>
      <c r="D974" s="6" t="str">
        <f>TRIM(Dataset!D974)</f>
        <v>Laptop</v>
      </c>
      <c r="E974" s="13">
        <f>VALUE(TRIM(Dataset!E974))</f>
        <v>1</v>
      </c>
      <c r="F974" s="10">
        <f>VALUE(TRIM(Dataset!F974))</f>
        <v>90.27</v>
      </c>
      <c r="G974" s="6" t="str">
        <f>TRIM(Dataset!G974)</f>
        <v>816 Main St</v>
      </c>
      <c r="H974" s="6" t="str">
        <f>TRIM(Dataset!H974)</f>
        <v>Cash</v>
      </c>
      <c r="I974" s="6" t="str">
        <f>TRIM(Dataset!I974)</f>
        <v>Delivered</v>
      </c>
      <c r="J974" s="6" t="str">
        <f>TRIM(Dataset!J974)</f>
        <v>TRK32035271</v>
      </c>
      <c r="K974" s="8" t="str">
        <f>TRIM(Dataset!K974)</f>
        <v>5</v>
      </c>
      <c r="L974" s="6" t="str">
        <f>Dataset!L974</f>
        <v>SAVE10</v>
      </c>
      <c r="M974" s="6" t="str">
        <f>TRIM(Dataset!M974)</f>
        <v>Facebook</v>
      </c>
      <c r="N974" s="10">
        <f>VALUE(TRIM(Dataset!N974))</f>
        <v>90.27</v>
      </c>
    </row>
    <row r="975" spans="1:14" x14ac:dyDescent="0.35">
      <c r="A975" s="6" t="str">
        <f>TRIM(Dataset!A975)</f>
        <v>ORD200973</v>
      </c>
      <c r="B975" s="4">
        <f>Dataset!B975</f>
        <v>45817</v>
      </c>
      <c r="C975" s="6" t="str">
        <f>TRIM(Dataset!C975)</f>
        <v>C70010</v>
      </c>
      <c r="D975" s="6" t="str">
        <f>TRIM(Dataset!D975)</f>
        <v>Desk</v>
      </c>
      <c r="E975" s="13">
        <f>VALUE(TRIM(Dataset!E975))</f>
        <v>5</v>
      </c>
      <c r="F975" s="10">
        <f>VALUE(TRIM(Dataset!F975))</f>
        <v>230.77</v>
      </c>
      <c r="G975" s="6" t="str">
        <f>TRIM(Dataset!G975)</f>
        <v>141 Main St</v>
      </c>
      <c r="H975" s="6" t="str">
        <f>TRIM(Dataset!H975)</f>
        <v>Online</v>
      </c>
      <c r="I975" s="6" t="str">
        <f>TRIM(Dataset!I975)</f>
        <v>Pending</v>
      </c>
      <c r="J975" s="6" t="str">
        <f>TRIM(Dataset!J975)</f>
        <v>TRK50594008</v>
      </c>
      <c r="K975" s="8" t="str">
        <f>TRIM(Dataset!K975)</f>
        <v>10</v>
      </c>
      <c r="L975" s="6" t="str">
        <f>Dataset!L975</f>
        <v>WINTER15</v>
      </c>
      <c r="M975" s="6" t="str">
        <f>TRIM(Dataset!M975)</f>
        <v>Referral</v>
      </c>
      <c r="N975" s="10">
        <f>VALUE(TRIM(Dataset!N975))</f>
        <v>1153.8499999999999</v>
      </c>
    </row>
    <row r="976" spans="1:14" x14ac:dyDescent="0.35">
      <c r="A976" s="6" t="str">
        <f>TRIM(Dataset!A976)</f>
        <v>ORD200974</v>
      </c>
      <c r="B976" s="4">
        <f>Dataset!B976</f>
        <v>45196</v>
      </c>
      <c r="C976" s="6" t="str">
        <f>TRIM(Dataset!C976)</f>
        <v>C30722</v>
      </c>
      <c r="D976" s="6" t="str">
        <f>TRIM(Dataset!D976)</f>
        <v>Desk</v>
      </c>
      <c r="E976" s="13">
        <f>VALUE(TRIM(Dataset!E976))</f>
        <v>5</v>
      </c>
      <c r="F976" s="10">
        <f>VALUE(TRIM(Dataset!F976))</f>
        <v>266.77999999999997</v>
      </c>
      <c r="G976" s="6" t="str">
        <f>TRIM(Dataset!G976)</f>
        <v>274 Main St</v>
      </c>
      <c r="H976" s="6" t="str">
        <f>TRIM(Dataset!H976)</f>
        <v>Gift Card</v>
      </c>
      <c r="I976" s="6" t="str">
        <f>TRIM(Dataset!I976)</f>
        <v>Cancelled</v>
      </c>
      <c r="J976" s="6" t="str">
        <f>TRIM(Dataset!J976)</f>
        <v>TRK52088168</v>
      </c>
      <c r="K976" s="8" t="str">
        <f>TRIM(Dataset!K976)</f>
        <v>5</v>
      </c>
      <c r="L976" s="6" t="s">
        <v>4284</v>
      </c>
      <c r="M976" s="6" t="str">
        <f>TRIM(Dataset!M976)</f>
        <v>Email</v>
      </c>
      <c r="N976" s="10">
        <f>VALUE(TRIM(Dataset!N976))</f>
        <v>1333.9</v>
      </c>
    </row>
    <row r="977" spans="1:14" x14ac:dyDescent="0.35">
      <c r="A977" s="6" t="str">
        <f>TRIM(Dataset!A977)</f>
        <v>ORD200975</v>
      </c>
      <c r="B977" s="4">
        <f>Dataset!B977</f>
        <v>45064</v>
      </c>
      <c r="C977" s="6" t="str">
        <f>TRIM(Dataset!C977)</f>
        <v>C70529</v>
      </c>
      <c r="D977" s="6" t="str">
        <f>TRIM(Dataset!D977)</f>
        <v>Desk</v>
      </c>
      <c r="E977" s="13">
        <f>VALUE(TRIM(Dataset!E977))</f>
        <v>1</v>
      </c>
      <c r="F977" s="10">
        <f>VALUE(TRIM(Dataset!F977))</f>
        <v>105.92</v>
      </c>
      <c r="G977" s="6" t="str">
        <f>TRIM(Dataset!G977)</f>
        <v>974 Main St</v>
      </c>
      <c r="H977" s="6" t="str">
        <f>TRIM(Dataset!H977)</f>
        <v>Gift Card</v>
      </c>
      <c r="I977" s="6" t="str">
        <f>TRIM(Dataset!I977)</f>
        <v>Returned</v>
      </c>
      <c r="J977" s="6" t="str">
        <f>TRIM(Dataset!J977)</f>
        <v>TRK82165408</v>
      </c>
      <c r="K977" s="8" t="str">
        <f>TRIM(Dataset!K977)</f>
        <v>6</v>
      </c>
      <c r="L977" s="6" t="str">
        <f>Dataset!L977</f>
        <v>SAVE10</v>
      </c>
      <c r="M977" s="6" t="str">
        <f>TRIM(Dataset!M977)</f>
        <v>Email</v>
      </c>
      <c r="N977" s="10">
        <f>VALUE(TRIM(Dataset!N977))</f>
        <v>105.92</v>
      </c>
    </row>
    <row r="978" spans="1:14" x14ac:dyDescent="0.35">
      <c r="A978" s="6" t="str">
        <f>TRIM(Dataset!A978)</f>
        <v>ORD200976</v>
      </c>
      <c r="B978" s="4">
        <f>Dataset!B978</f>
        <v>45386</v>
      </c>
      <c r="C978" s="6" t="str">
        <f>TRIM(Dataset!C978)</f>
        <v>C18984</v>
      </c>
      <c r="D978" s="6" t="str">
        <f>TRIM(Dataset!D978)</f>
        <v>Tablet</v>
      </c>
      <c r="E978" s="13">
        <f>VALUE(TRIM(Dataset!E978))</f>
        <v>3</v>
      </c>
      <c r="F978" s="10">
        <f>VALUE(TRIM(Dataset!F978))</f>
        <v>589.29999999999995</v>
      </c>
      <c r="G978" s="6" t="str">
        <f>TRIM(Dataset!G978)</f>
        <v>650 Main St</v>
      </c>
      <c r="H978" s="6" t="str">
        <f>TRIM(Dataset!H978)</f>
        <v>Credit Card</v>
      </c>
      <c r="I978" s="6" t="str">
        <f>TRIM(Dataset!I978)</f>
        <v>Returned</v>
      </c>
      <c r="J978" s="6" t="str">
        <f>TRIM(Dataset!J978)</f>
        <v>TRK49298239</v>
      </c>
      <c r="K978" s="8" t="str">
        <f>TRIM(Dataset!K978)</f>
        <v>6</v>
      </c>
      <c r="L978" s="6" t="str">
        <f>Dataset!L978</f>
        <v>WINTER15</v>
      </c>
      <c r="M978" s="6" t="str">
        <f>TRIM(Dataset!M978)</f>
        <v>Referral</v>
      </c>
      <c r="N978" s="10">
        <f>VALUE(TRIM(Dataset!N978))</f>
        <v>1767.9</v>
      </c>
    </row>
    <row r="979" spans="1:14" x14ac:dyDescent="0.35">
      <c r="A979" s="6" t="str">
        <f>TRIM(Dataset!A979)</f>
        <v>ORD200977</v>
      </c>
      <c r="B979" s="4">
        <f>Dataset!B979</f>
        <v>44954</v>
      </c>
      <c r="C979" s="6" t="str">
        <f>TRIM(Dataset!C979)</f>
        <v>C85841</v>
      </c>
      <c r="D979" s="6" t="str">
        <f>TRIM(Dataset!D979)</f>
        <v>Chair</v>
      </c>
      <c r="E979" s="13">
        <f>VALUE(TRIM(Dataset!E979))</f>
        <v>4</v>
      </c>
      <c r="F979" s="10">
        <f>VALUE(TRIM(Dataset!F979))</f>
        <v>649.47</v>
      </c>
      <c r="G979" s="6" t="str">
        <f>TRIM(Dataset!G979)</f>
        <v>608 Main St</v>
      </c>
      <c r="H979" s="6" t="str">
        <f>TRIM(Dataset!H979)</f>
        <v>Cash</v>
      </c>
      <c r="I979" s="6" t="str">
        <f>TRIM(Dataset!I979)</f>
        <v>Pending</v>
      </c>
      <c r="J979" s="6" t="str">
        <f>TRIM(Dataset!J979)</f>
        <v>TRK99820544</v>
      </c>
      <c r="K979" s="8" t="str">
        <f>TRIM(Dataset!K979)</f>
        <v>8</v>
      </c>
      <c r="L979" s="6" t="str">
        <f>Dataset!L979</f>
        <v>SAVE10</v>
      </c>
      <c r="M979" s="6" t="str">
        <f>TRIM(Dataset!M979)</f>
        <v>Google</v>
      </c>
      <c r="N979" s="10">
        <f>VALUE(TRIM(Dataset!N979))</f>
        <v>2597.88</v>
      </c>
    </row>
    <row r="980" spans="1:14" x14ac:dyDescent="0.35">
      <c r="A980" s="6" t="str">
        <f>TRIM(Dataset!A980)</f>
        <v>ORD200978</v>
      </c>
      <c r="B980" s="4">
        <f>Dataset!B980</f>
        <v>45468</v>
      </c>
      <c r="C980" s="6" t="str">
        <f>TRIM(Dataset!C980)</f>
        <v>C41508</v>
      </c>
      <c r="D980" s="6" t="str">
        <f>TRIM(Dataset!D980)</f>
        <v>Printer</v>
      </c>
      <c r="E980" s="13">
        <f>VALUE(TRIM(Dataset!E980))</f>
        <v>4</v>
      </c>
      <c r="F980" s="10">
        <f>VALUE(TRIM(Dataset!F980))</f>
        <v>107.49</v>
      </c>
      <c r="G980" s="6" t="str">
        <f>TRIM(Dataset!G980)</f>
        <v>993 Main St</v>
      </c>
      <c r="H980" s="6" t="str">
        <f>TRIM(Dataset!H980)</f>
        <v>Cash</v>
      </c>
      <c r="I980" s="6" t="str">
        <f>TRIM(Dataset!I980)</f>
        <v>Delivered</v>
      </c>
      <c r="J980" s="6" t="str">
        <f>TRIM(Dataset!J980)</f>
        <v>TRK61047536</v>
      </c>
      <c r="K980" s="8" t="str">
        <f>TRIM(Dataset!K980)</f>
        <v>5</v>
      </c>
      <c r="L980" s="6" t="s">
        <v>4284</v>
      </c>
      <c r="M980" s="6" t="str">
        <f>TRIM(Dataset!M980)</f>
        <v>Google</v>
      </c>
      <c r="N980" s="10">
        <f>VALUE(TRIM(Dataset!N980))</f>
        <v>429.96</v>
      </c>
    </row>
    <row r="981" spans="1:14" x14ac:dyDescent="0.35">
      <c r="A981" s="6" t="str">
        <f>TRIM(Dataset!A981)</f>
        <v>ORD200979</v>
      </c>
      <c r="B981" s="4">
        <f>Dataset!B981</f>
        <v>45077</v>
      </c>
      <c r="C981" s="6" t="str">
        <f>TRIM(Dataset!C981)</f>
        <v>C75018</v>
      </c>
      <c r="D981" s="6" t="str">
        <f>TRIM(Dataset!D981)</f>
        <v>Monitor</v>
      </c>
      <c r="E981" s="13">
        <f>VALUE(TRIM(Dataset!E981))</f>
        <v>3</v>
      </c>
      <c r="F981" s="10">
        <f>VALUE(TRIM(Dataset!F981))</f>
        <v>669.06</v>
      </c>
      <c r="G981" s="6" t="str">
        <f>TRIM(Dataset!G981)</f>
        <v>299 Main St</v>
      </c>
      <c r="H981" s="6" t="str">
        <f>TRIM(Dataset!H981)</f>
        <v>Cash</v>
      </c>
      <c r="I981" s="6" t="str">
        <f>TRIM(Dataset!I981)</f>
        <v>Delivered</v>
      </c>
      <c r="J981" s="6" t="str">
        <f>TRIM(Dataset!J981)</f>
        <v>TRK51794806</v>
      </c>
      <c r="K981" s="8" t="str">
        <f>TRIM(Dataset!K981)</f>
        <v>7</v>
      </c>
      <c r="L981" s="6" t="str">
        <f>Dataset!L981</f>
        <v>SAVE10</v>
      </c>
      <c r="M981" s="6" t="str">
        <f>TRIM(Dataset!M981)</f>
        <v>Facebook</v>
      </c>
      <c r="N981" s="10">
        <f>VALUE(TRIM(Dataset!N981))</f>
        <v>2007.18</v>
      </c>
    </row>
    <row r="982" spans="1:14" x14ac:dyDescent="0.35">
      <c r="A982" s="6" t="str">
        <f>TRIM(Dataset!A982)</f>
        <v>ORD200980</v>
      </c>
      <c r="B982" s="4">
        <f>Dataset!B982</f>
        <v>45213</v>
      </c>
      <c r="C982" s="6" t="str">
        <f>TRIM(Dataset!C982)</f>
        <v>C84320</v>
      </c>
      <c r="D982" s="6" t="str">
        <f>TRIM(Dataset!D982)</f>
        <v>Chair</v>
      </c>
      <c r="E982" s="13">
        <f>VALUE(TRIM(Dataset!E982))</f>
        <v>3</v>
      </c>
      <c r="F982" s="10">
        <f>VALUE(TRIM(Dataset!F982))</f>
        <v>69.650000000000006</v>
      </c>
      <c r="G982" s="6" t="str">
        <f>TRIM(Dataset!G982)</f>
        <v>107 Main St</v>
      </c>
      <c r="H982" s="6" t="str">
        <f>TRIM(Dataset!H982)</f>
        <v>Cash</v>
      </c>
      <c r="I982" s="6" t="str">
        <f>TRIM(Dataset!I982)</f>
        <v>Delivered</v>
      </c>
      <c r="J982" s="6" t="str">
        <f>TRIM(Dataset!J982)</f>
        <v>TRK81093218</v>
      </c>
      <c r="K982" s="8" t="str">
        <f>TRIM(Dataset!K982)</f>
        <v>7</v>
      </c>
      <c r="L982" s="6" t="str">
        <f>Dataset!L982</f>
        <v>WINTER15</v>
      </c>
      <c r="M982" s="6" t="str">
        <f>TRIM(Dataset!M982)</f>
        <v>Instagram</v>
      </c>
      <c r="N982" s="10">
        <f>VALUE(TRIM(Dataset!N982))</f>
        <v>208.95</v>
      </c>
    </row>
    <row r="983" spans="1:14" x14ac:dyDescent="0.35">
      <c r="A983" s="6" t="str">
        <f>TRIM(Dataset!A983)</f>
        <v>ORD200981</v>
      </c>
      <c r="B983" s="4">
        <f>Dataset!B983</f>
        <v>45256</v>
      </c>
      <c r="C983" s="6" t="str">
        <f>TRIM(Dataset!C983)</f>
        <v>C12609</v>
      </c>
      <c r="D983" s="6" t="str">
        <f>TRIM(Dataset!D983)</f>
        <v>Phone</v>
      </c>
      <c r="E983" s="13">
        <f>VALUE(TRIM(Dataset!E983))</f>
        <v>4</v>
      </c>
      <c r="F983" s="10">
        <f>VALUE(TRIM(Dataset!F983))</f>
        <v>136.83000000000001</v>
      </c>
      <c r="G983" s="6" t="str">
        <f>TRIM(Dataset!G983)</f>
        <v>490 Main St</v>
      </c>
      <c r="H983" s="6" t="str">
        <f>TRIM(Dataset!H983)</f>
        <v>Debit Card</v>
      </c>
      <c r="I983" s="6" t="str">
        <f>TRIM(Dataset!I983)</f>
        <v>Pending</v>
      </c>
      <c r="J983" s="6" t="str">
        <f>TRIM(Dataset!J983)</f>
        <v>TRK56379337</v>
      </c>
      <c r="K983" s="8" t="str">
        <f>TRIM(Dataset!K983)</f>
        <v>8</v>
      </c>
      <c r="L983" s="6" t="str">
        <f>Dataset!L983</f>
        <v>SAVE10</v>
      </c>
      <c r="M983" s="6" t="str">
        <f>TRIM(Dataset!M983)</f>
        <v>Email</v>
      </c>
      <c r="N983" s="10">
        <f>VALUE(TRIM(Dataset!N983))</f>
        <v>547.32000000000005</v>
      </c>
    </row>
    <row r="984" spans="1:14" x14ac:dyDescent="0.35">
      <c r="A984" s="6" t="str">
        <f>TRIM(Dataset!A984)</f>
        <v>ORD200982</v>
      </c>
      <c r="B984" s="4">
        <f>Dataset!B984</f>
        <v>45541</v>
      </c>
      <c r="C984" s="6" t="str">
        <f>TRIM(Dataset!C984)</f>
        <v>C64935</v>
      </c>
      <c r="D984" s="6" t="str">
        <f>TRIM(Dataset!D984)</f>
        <v>Monitor</v>
      </c>
      <c r="E984" s="13">
        <f>VALUE(TRIM(Dataset!E984))</f>
        <v>1</v>
      </c>
      <c r="F984" s="10">
        <f>VALUE(TRIM(Dataset!F984))</f>
        <v>304.11</v>
      </c>
      <c r="G984" s="6" t="str">
        <f>TRIM(Dataset!G984)</f>
        <v>707 Main St</v>
      </c>
      <c r="H984" s="6" t="str">
        <f>TRIM(Dataset!H984)</f>
        <v>Gift Card</v>
      </c>
      <c r="I984" s="6" t="str">
        <f>TRIM(Dataset!I984)</f>
        <v>Shipped</v>
      </c>
      <c r="J984" s="6" t="str">
        <f>TRIM(Dataset!J984)</f>
        <v>TRK42969065</v>
      </c>
      <c r="K984" s="8" t="str">
        <f>TRIM(Dataset!K984)</f>
        <v>2</v>
      </c>
      <c r="L984" s="6" t="str">
        <f>Dataset!L984</f>
        <v>SAVE10</v>
      </c>
      <c r="M984" s="6" t="str">
        <f>TRIM(Dataset!M984)</f>
        <v>Referral</v>
      </c>
      <c r="N984" s="10">
        <f>VALUE(TRIM(Dataset!N984))</f>
        <v>304.11</v>
      </c>
    </row>
    <row r="985" spans="1:14" x14ac:dyDescent="0.35">
      <c r="A985" s="6" t="str">
        <f>TRIM(Dataset!A985)</f>
        <v>ORD200983</v>
      </c>
      <c r="B985" s="4">
        <f>Dataset!B985</f>
        <v>45620</v>
      </c>
      <c r="C985" s="6" t="str">
        <f>TRIM(Dataset!C985)</f>
        <v>C67528</v>
      </c>
      <c r="D985" s="6" t="str">
        <f>TRIM(Dataset!D985)</f>
        <v>Monitor</v>
      </c>
      <c r="E985" s="13">
        <f>VALUE(TRIM(Dataset!E985))</f>
        <v>4</v>
      </c>
      <c r="F985" s="10">
        <f>VALUE(TRIM(Dataset!F985))</f>
        <v>296.27999999999997</v>
      </c>
      <c r="G985" s="6" t="str">
        <f>TRIM(Dataset!G985)</f>
        <v>110 Main St</v>
      </c>
      <c r="H985" s="6" t="str">
        <f>TRIM(Dataset!H985)</f>
        <v>Gift Card</v>
      </c>
      <c r="I985" s="6" t="str">
        <f>TRIM(Dataset!I985)</f>
        <v>Shipped</v>
      </c>
      <c r="J985" s="6" t="str">
        <f>TRIM(Dataset!J985)</f>
        <v>TRK60865210</v>
      </c>
      <c r="K985" s="8" t="str">
        <f>TRIM(Dataset!K985)</f>
        <v>5</v>
      </c>
      <c r="L985" s="6" t="str">
        <f>Dataset!L985</f>
        <v>SAVE10</v>
      </c>
      <c r="M985" s="6" t="str">
        <f>TRIM(Dataset!M985)</f>
        <v>Email</v>
      </c>
      <c r="N985" s="10">
        <f>VALUE(TRIM(Dataset!N985))</f>
        <v>1185.1199999999999</v>
      </c>
    </row>
    <row r="986" spans="1:14" x14ac:dyDescent="0.35">
      <c r="A986" s="6" t="str">
        <f>TRIM(Dataset!A986)</f>
        <v>ORD200984</v>
      </c>
      <c r="B986" s="4">
        <f>Dataset!B986</f>
        <v>45716</v>
      </c>
      <c r="C986" s="6" t="str">
        <f>TRIM(Dataset!C986)</f>
        <v>C44176</v>
      </c>
      <c r="D986" s="6" t="str">
        <f>TRIM(Dataset!D986)</f>
        <v>Desk</v>
      </c>
      <c r="E986" s="13">
        <f>VALUE(TRIM(Dataset!E986))</f>
        <v>1</v>
      </c>
      <c r="F986" s="10">
        <f>VALUE(TRIM(Dataset!F986))</f>
        <v>77.64</v>
      </c>
      <c r="G986" s="6" t="str">
        <f>TRIM(Dataset!G986)</f>
        <v>706 Main St</v>
      </c>
      <c r="H986" s="6" t="str">
        <f>TRIM(Dataset!H986)</f>
        <v>Credit Card</v>
      </c>
      <c r="I986" s="6" t="str">
        <f>TRIM(Dataset!I986)</f>
        <v>Shipped</v>
      </c>
      <c r="J986" s="6" t="str">
        <f>TRIM(Dataset!J986)</f>
        <v>TRK68704764</v>
      </c>
      <c r="K986" s="8" t="str">
        <f>TRIM(Dataset!K986)</f>
        <v>1</v>
      </c>
      <c r="L986" s="6" t="str">
        <f>Dataset!L986</f>
        <v>FREESHIP</v>
      </c>
      <c r="M986" s="6" t="str">
        <f>TRIM(Dataset!M986)</f>
        <v>Facebook</v>
      </c>
      <c r="N986" s="10">
        <f>VALUE(TRIM(Dataset!N986))</f>
        <v>77.64</v>
      </c>
    </row>
    <row r="987" spans="1:14" x14ac:dyDescent="0.35">
      <c r="A987" s="6" t="str">
        <f>TRIM(Dataset!A987)</f>
        <v>ORD200985</v>
      </c>
      <c r="B987" s="4">
        <f>Dataset!B987</f>
        <v>45493</v>
      </c>
      <c r="C987" s="6" t="str">
        <f>TRIM(Dataset!C987)</f>
        <v>C92788</v>
      </c>
      <c r="D987" s="6" t="str">
        <f>TRIM(Dataset!D987)</f>
        <v>Desk</v>
      </c>
      <c r="E987" s="13">
        <f>VALUE(TRIM(Dataset!E987))</f>
        <v>1</v>
      </c>
      <c r="F987" s="10">
        <f>VALUE(TRIM(Dataset!F987))</f>
        <v>243.71</v>
      </c>
      <c r="G987" s="6" t="str">
        <f>TRIM(Dataset!G987)</f>
        <v>948 Main St</v>
      </c>
      <c r="H987" s="6" t="str">
        <f>TRIM(Dataset!H987)</f>
        <v>Gift Card</v>
      </c>
      <c r="I987" s="6" t="str">
        <f>TRIM(Dataset!I987)</f>
        <v>Delivered</v>
      </c>
      <c r="J987" s="6" t="str">
        <f>TRIM(Dataset!J987)</f>
        <v>TRK83835361</v>
      </c>
      <c r="K987" s="8" t="str">
        <f>TRIM(Dataset!K987)</f>
        <v>6</v>
      </c>
      <c r="L987" s="6" t="str">
        <f>Dataset!L987</f>
        <v>SAVE10</v>
      </c>
      <c r="M987" s="6" t="str">
        <f>TRIM(Dataset!M987)</f>
        <v>Google</v>
      </c>
      <c r="N987" s="10">
        <f>VALUE(TRIM(Dataset!N987))</f>
        <v>243.71</v>
      </c>
    </row>
    <row r="988" spans="1:14" x14ac:dyDescent="0.35">
      <c r="A988" s="6" t="str">
        <f>TRIM(Dataset!A988)</f>
        <v>ORD200986</v>
      </c>
      <c r="B988" s="4">
        <f>Dataset!B988</f>
        <v>45542</v>
      </c>
      <c r="C988" s="6" t="str">
        <f>TRIM(Dataset!C988)</f>
        <v>C69213</v>
      </c>
      <c r="D988" s="6" t="str">
        <f>TRIM(Dataset!D988)</f>
        <v>Laptop</v>
      </c>
      <c r="E988" s="13">
        <f>VALUE(TRIM(Dataset!E988))</f>
        <v>4</v>
      </c>
      <c r="F988" s="10">
        <f>VALUE(TRIM(Dataset!F988))</f>
        <v>644.96</v>
      </c>
      <c r="G988" s="6" t="str">
        <f>TRIM(Dataset!G988)</f>
        <v>533 Main St</v>
      </c>
      <c r="H988" s="6" t="str">
        <f>TRIM(Dataset!H988)</f>
        <v>Credit Card</v>
      </c>
      <c r="I988" s="6" t="str">
        <f>TRIM(Dataset!I988)</f>
        <v>Pending</v>
      </c>
      <c r="J988" s="6" t="str">
        <f>TRIM(Dataset!J988)</f>
        <v>TRK67837331</v>
      </c>
      <c r="K988" s="8" t="str">
        <f>TRIM(Dataset!K988)</f>
        <v>7</v>
      </c>
      <c r="L988" s="6" t="str">
        <f>Dataset!L988</f>
        <v>FREESHIP</v>
      </c>
      <c r="M988" s="6" t="str">
        <f>TRIM(Dataset!M988)</f>
        <v>Email</v>
      </c>
      <c r="N988" s="10">
        <f>VALUE(TRIM(Dataset!N988))</f>
        <v>2579.84</v>
      </c>
    </row>
    <row r="989" spans="1:14" x14ac:dyDescent="0.35">
      <c r="A989" s="6" t="str">
        <f>TRIM(Dataset!A989)</f>
        <v>ORD200987</v>
      </c>
      <c r="B989" s="4">
        <f>Dataset!B989</f>
        <v>45813</v>
      </c>
      <c r="C989" s="6" t="str">
        <f>TRIM(Dataset!C989)</f>
        <v>C67387</v>
      </c>
      <c r="D989" s="6" t="str">
        <f>TRIM(Dataset!D989)</f>
        <v>Phone</v>
      </c>
      <c r="E989" s="13">
        <f>VALUE(TRIM(Dataset!E989))</f>
        <v>5</v>
      </c>
      <c r="F989" s="10">
        <f>VALUE(TRIM(Dataset!F989))</f>
        <v>283.73</v>
      </c>
      <c r="G989" s="6" t="str">
        <f>TRIM(Dataset!G989)</f>
        <v>436 Main St</v>
      </c>
      <c r="H989" s="6" t="str">
        <f>TRIM(Dataset!H989)</f>
        <v>Gift Card</v>
      </c>
      <c r="I989" s="6" t="str">
        <f>TRIM(Dataset!I989)</f>
        <v>Pending</v>
      </c>
      <c r="J989" s="6" t="str">
        <f>TRIM(Dataset!J989)</f>
        <v>TRK54120003</v>
      </c>
      <c r="K989" s="8" t="str">
        <f>TRIM(Dataset!K989)</f>
        <v>8</v>
      </c>
      <c r="L989" s="6" t="str">
        <f>Dataset!L989</f>
        <v>FREESHIP</v>
      </c>
      <c r="M989" s="6" t="str">
        <f>TRIM(Dataset!M989)</f>
        <v>Instagram</v>
      </c>
      <c r="N989" s="10">
        <f>VALUE(TRIM(Dataset!N989))</f>
        <v>1418.65</v>
      </c>
    </row>
    <row r="990" spans="1:14" x14ac:dyDescent="0.35">
      <c r="A990" s="6" t="str">
        <f>TRIM(Dataset!A990)</f>
        <v>ORD200988</v>
      </c>
      <c r="B990" s="4">
        <f>Dataset!B990</f>
        <v>45692</v>
      </c>
      <c r="C990" s="6" t="str">
        <f>TRIM(Dataset!C990)</f>
        <v>C90318</v>
      </c>
      <c r="D990" s="6" t="str">
        <f>TRIM(Dataset!D990)</f>
        <v>Desk</v>
      </c>
      <c r="E990" s="13">
        <f>VALUE(TRIM(Dataset!E990))</f>
        <v>2</v>
      </c>
      <c r="F990" s="10">
        <f>VALUE(TRIM(Dataset!F990))</f>
        <v>629.55999999999995</v>
      </c>
      <c r="G990" s="6" t="str">
        <f>TRIM(Dataset!G990)</f>
        <v>818 Main St</v>
      </c>
      <c r="H990" s="6" t="str">
        <f>TRIM(Dataset!H990)</f>
        <v>Gift Card</v>
      </c>
      <c r="I990" s="6" t="str">
        <f>TRIM(Dataset!I990)</f>
        <v>Cancelled</v>
      </c>
      <c r="J990" s="6" t="str">
        <f>TRIM(Dataset!J990)</f>
        <v>TRK52765043</v>
      </c>
      <c r="K990" s="8" t="str">
        <f>TRIM(Dataset!K990)</f>
        <v>5</v>
      </c>
      <c r="L990" s="6" t="str">
        <f>Dataset!L990</f>
        <v>WINTER15</v>
      </c>
      <c r="M990" s="6" t="str">
        <f>TRIM(Dataset!M990)</f>
        <v>Instagram</v>
      </c>
      <c r="N990" s="10">
        <f>VALUE(TRIM(Dataset!N990))</f>
        <v>1259.1199999999999</v>
      </c>
    </row>
    <row r="991" spans="1:14" x14ac:dyDescent="0.35">
      <c r="A991" s="6" t="str">
        <f>TRIM(Dataset!A991)</f>
        <v>ORD200989</v>
      </c>
      <c r="B991" s="4">
        <f>Dataset!B991</f>
        <v>45008</v>
      </c>
      <c r="C991" s="6" t="str">
        <f>TRIM(Dataset!C991)</f>
        <v>C49995</v>
      </c>
      <c r="D991" s="6" t="str">
        <f>TRIM(Dataset!D991)</f>
        <v>Laptop</v>
      </c>
      <c r="E991" s="13">
        <f>VALUE(TRIM(Dataset!E991))</f>
        <v>4</v>
      </c>
      <c r="F991" s="10">
        <f>VALUE(TRIM(Dataset!F991))</f>
        <v>246.11</v>
      </c>
      <c r="G991" s="6" t="str">
        <f>TRIM(Dataset!G991)</f>
        <v>559 Main St</v>
      </c>
      <c r="H991" s="6" t="str">
        <f>TRIM(Dataset!H991)</f>
        <v>Credit Card</v>
      </c>
      <c r="I991" s="6" t="str">
        <f>TRIM(Dataset!I991)</f>
        <v>Pending</v>
      </c>
      <c r="J991" s="6" t="str">
        <f>TRIM(Dataset!J991)</f>
        <v>TRK33212013</v>
      </c>
      <c r="K991" s="8" t="str">
        <f>TRIM(Dataset!K991)</f>
        <v>4</v>
      </c>
      <c r="L991" s="6" t="str">
        <f>Dataset!L991</f>
        <v>SAVE10</v>
      </c>
      <c r="M991" s="6" t="str">
        <f>TRIM(Dataset!M991)</f>
        <v>Instagram</v>
      </c>
      <c r="N991" s="10">
        <f>VALUE(TRIM(Dataset!N991))</f>
        <v>984.44</v>
      </c>
    </row>
    <row r="992" spans="1:14" x14ac:dyDescent="0.35">
      <c r="A992" s="6" t="str">
        <f>TRIM(Dataset!A992)</f>
        <v>ORD200990</v>
      </c>
      <c r="B992" s="4">
        <f>Dataset!B992</f>
        <v>45249</v>
      </c>
      <c r="C992" s="6" t="str">
        <f>TRIM(Dataset!C992)</f>
        <v>C52313</v>
      </c>
      <c r="D992" s="6" t="str">
        <f>TRIM(Dataset!D992)</f>
        <v>Phone</v>
      </c>
      <c r="E992" s="13">
        <f>VALUE(TRIM(Dataset!E992))</f>
        <v>2</v>
      </c>
      <c r="F992" s="10">
        <f>VALUE(TRIM(Dataset!F992))</f>
        <v>418.26</v>
      </c>
      <c r="G992" s="6" t="str">
        <f>TRIM(Dataset!G992)</f>
        <v>913 Main St</v>
      </c>
      <c r="H992" s="6" t="str">
        <f>TRIM(Dataset!H992)</f>
        <v>Debit Card</v>
      </c>
      <c r="I992" s="6" t="str">
        <f>TRIM(Dataset!I992)</f>
        <v>Pending</v>
      </c>
      <c r="J992" s="6" t="str">
        <f>TRIM(Dataset!J992)</f>
        <v>TRK67368559</v>
      </c>
      <c r="K992" s="8" t="str">
        <f>TRIM(Dataset!K992)</f>
        <v>2</v>
      </c>
      <c r="L992" s="6" t="str">
        <f>Dataset!L992</f>
        <v>SAVE10</v>
      </c>
      <c r="M992" s="6" t="str">
        <f>TRIM(Dataset!M992)</f>
        <v>Google</v>
      </c>
      <c r="N992" s="10">
        <f>VALUE(TRIM(Dataset!N992))</f>
        <v>836.52</v>
      </c>
    </row>
    <row r="993" spans="1:14" x14ac:dyDescent="0.35">
      <c r="A993" s="6" t="str">
        <f>TRIM(Dataset!A993)</f>
        <v>ORD200991</v>
      </c>
      <c r="B993" s="4">
        <f>Dataset!B993</f>
        <v>45421</v>
      </c>
      <c r="C993" s="6" t="str">
        <f>TRIM(Dataset!C993)</f>
        <v>C10211</v>
      </c>
      <c r="D993" s="6" t="str">
        <f>TRIM(Dataset!D993)</f>
        <v>Desk</v>
      </c>
      <c r="E993" s="13">
        <f>VALUE(TRIM(Dataset!E993))</f>
        <v>5</v>
      </c>
      <c r="F993" s="10">
        <f>VALUE(TRIM(Dataset!F993))</f>
        <v>127.18</v>
      </c>
      <c r="G993" s="6" t="str">
        <f>TRIM(Dataset!G993)</f>
        <v>598 Main St</v>
      </c>
      <c r="H993" s="6" t="str">
        <f>TRIM(Dataset!H993)</f>
        <v>Debit Card</v>
      </c>
      <c r="I993" s="6" t="str">
        <f>TRIM(Dataset!I993)</f>
        <v>Cancelled</v>
      </c>
      <c r="J993" s="6" t="str">
        <f>TRIM(Dataset!J993)</f>
        <v>TRK68938335</v>
      </c>
      <c r="K993" s="8" t="str">
        <f>TRIM(Dataset!K993)</f>
        <v>10</v>
      </c>
      <c r="L993" s="6" t="str">
        <f>Dataset!L993</f>
        <v>FREESHIP</v>
      </c>
      <c r="M993" s="6" t="str">
        <f>TRIM(Dataset!M993)</f>
        <v>Google</v>
      </c>
      <c r="N993" s="10">
        <f>VALUE(TRIM(Dataset!N993))</f>
        <v>635.9</v>
      </c>
    </row>
    <row r="994" spans="1:14" x14ac:dyDescent="0.35">
      <c r="A994" s="6" t="str">
        <f>TRIM(Dataset!A994)</f>
        <v>ORD200992</v>
      </c>
      <c r="B994" s="4">
        <f>Dataset!B994</f>
        <v>45531</v>
      </c>
      <c r="C994" s="6" t="str">
        <f>TRIM(Dataset!C994)</f>
        <v>C97907</v>
      </c>
      <c r="D994" s="6" t="str">
        <f>TRIM(Dataset!D994)</f>
        <v>Printer</v>
      </c>
      <c r="E994" s="13">
        <f>VALUE(TRIM(Dataset!E994))</f>
        <v>3</v>
      </c>
      <c r="F994" s="10">
        <f>VALUE(TRIM(Dataset!F994))</f>
        <v>586.21</v>
      </c>
      <c r="G994" s="6" t="str">
        <f>TRIM(Dataset!G994)</f>
        <v>933 Main St</v>
      </c>
      <c r="H994" s="6" t="str">
        <f>TRIM(Dataset!H994)</f>
        <v>Gift Card</v>
      </c>
      <c r="I994" s="6" t="str">
        <f>TRIM(Dataset!I994)</f>
        <v>Pending</v>
      </c>
      <c r="J994" s="6" t="str">
        <f>TRIM(Dataset!J994)</f>
        <v>TRK89637569</v>
      </c>
      <c r="K994" s="8" t="str">
        <f>TRIM(Dataset!K994)</f>
        <v>4</v>
      </c>
      <c r="L994" s="6" t="str">
        <f>Dataset!L994</f>
        <v>WINTER15</v>
      </c>
      <c r="M994" s="6" t="str">
        <f>TRIM(Dataset!M994)</f>
        <v>Referral</v>
      </c>
      <c r="N994" s="10">
        <f>VALUE(TRIM(Dataset!N994))</f>
        <v>1758.63</v>
      </c>
    </row>
    <row r="995" spans="1:14" x14ac:dyDescent="0.35">
      <c r="A995" s="6" t="str">
        <f>TRIM(Dataset!A995)</f>
        <v>ORD200993</v>
      </c>
      <c r="B995" s="4">
        <f>Dataset!B995</f>
        <v>45388</v>
      </c>
      <c r="C995" s="6" t="str">
        <f>TRIM(Dataset!C995)</f>
        <v>C61384</v>
      </c>
      <c r="D995" s="6" t="str">
        <f>TRIM(Dataset!D995)</f>
        <v>Monitor</v>
      </c>
      <c r="E995" s="13">
        <f>VALUE(TRIM(Dataset!E995))</f>
        <v>3</v>
      </c>
      <c r="F995" s="10">
        <f>VALUE(TRIM(Dataset!F995))</f>
        <v>267.45</v>
      </c>
      <c r="G995" s="6" t="str">
        <f>TRIM(Dataset!G995)</f>
        <v>576 Main St</v>
      </c>
      <c r="H995" s="6" t="str">
        <f>TRIM(Dataset!H995)</f>
        <v>Gift Card</v>
      </c>
      <c r="I995" s="6" t="str">
        <f>TRIM(Dataset!I995)</f>
        <v>Delivered</v>
      </c>
      <c r="J995" s="6" t="str">
        <f>TRIM(Dataset!J995)</f>
        <v>TRK33323210</v>
      </c>
      <c r="K995" s="8" t="str">
        <f>TRIM(Dataset!K995)</f>
        <v>5</v>
      </c>
      <c r="L995" s="6" t="str">
        <f>Dataset!L995</f>
        <v>WINTER15</v>
      </c>
      <c r="M995" s="6" t="str">
        <f>TRIM(Dataset!M995)</f>
        <v>Instagram</v>
      </c>
      <c r="N995" s="10">
        <f>VALUE(TRIM(Dataset!N995))</f>
        <v>802.35</v>
      </c>
    </row>
    <row r="996" spans="1:14" x14ac:dyDescent="0.35">
      <c r="A996" s="6" t="str">
        <f>TRIM(Dataset!A996)</f>
        <v>ORD200994</v>
      </c>
      <c r="B996" s="4">
        <f>Dataset!B996</f>
        <v>45470</v>
      </c>
      <c r="C996" s="6" t="str">
        <f>TRIM(Dataset!C996)</f>
        <v>C27613</v>
      </c>
      <c r="D996" s="6" t="str">
        <f>TRIM(Dataset!D996)</f>
        <v>Tablet</v>
      </c>
      <c r="E996" s="13">
        <f>VALUE(TRIM(Dataset!E996))</f>
        <v>4</v>
      </c>
      <c r="F996" s="10">
        <f>VALUE(TRIM(Dataset!F996))</f>
        <v>615.65</v>
      </c>
      <c r="G996" s="6" t="str">
        <f>TRIM(Dataset!G996)</f>
        <v>971 Main St</v>
      </c>
      <c r="H996" s="6" t="str">
        <f>TRIM(Dataset!H996)</f>
        <v>Debit Card</v>
      </c>
      <c r="I996" s="6" t="str">
        <f>TRIM(Dataset!I996)</f>
        <v>Delivered</v>
      </c>
      <c r="J996" s="6" t="str">
        <f>TRIM(Dataset!J996)</f>
        <v>TRK63701318</v>
      </c>
      <c r="K996" s="8" t="str">
        <f>TRIM(Dataset!K996)</f>
        <v>9</v>
      </c>
      <c r="L996" s="6" t="str">
        <f>Dataset!L996</f>
        <v>WINTER15</v>
      </c>
      <c r="M996" s="6" t="str">
        <f>TRIM(Dataset!M996)</f>
        <v>Google</v>
      </c>
      <c r="N996" s="10">
        <f>VALUE(TRIM(Dataset!N996))</f>
        <v>2462.6</v>
      </c>
    </row>
    <row r="997" spans="1:14" x14ac:dyDescent="0.35">
      <c r="A997" s="6" t="str">
        <f>TRIM(Dataset!A997)</f>
        <v>ORD200995</v>
      </c>
      <c r="B997" s="4">
        <f>Dataset!B997</f>
        <v>45248</v>
      </c>
      <c r="C997" s="6" t="str">
        <f>TRIM(Dataset!C997)</f>
        <v>C99271</v>
      </c>
      <c r="D997" s="6" t="str">
        <f>TRIM(Dataset!D997)</f>
        <v>Monitor</v>
      </c>
      <c r="E997" s="13">
        <f>VALUE(TRIM(Dataset!E997))</f>
        <v>2</v>
      </c>
      <c r="F997" s="10">
        <f>VALUE(TRIM(Dataset!F997))</f>
        <v>113.29</v>
      </c>
      <c r="G997" s="6" t="str">
        <f>TRIM(Dataset!G997)</f>
        <v>959 Main St</v>
      </c>
      <c r="H997" s="6" t="str">
        <f>TRIM(Dataset!H997)</f>
        <v>Cash</v>
      </c>
      <c r="I997" s="6" t="str">
        <f>TRIM(Dataset!I997)</f>
        <v>Pending</v>
      </c>
      <c r="J997" s="6" t="str">
        <f>TRIM(Dataset!J997)</f>
        <v>TRK87832736</v>
      </c>
      <c r="K997" s="8" t="str">
        <f>TRIM(Dataset!K997)</f>
        <v>5</v>
      </c>
      <c r="L997" s="6" t="str">
        <f>Dataset!L997</f>
        <v>SAVE10</v>
      </c>
      <c r="M997" s="6" t="str">
        <f>TRIM(Dataset!M997)</f>
        <v>Facebook</v>
      </c>
      <c r="N997" s="10">
        <f>VALUE(TRIM(Dataset!N997))</f>
        <v>226.58</v>
      </c>
    </row>
    <row r="998" spans="1:14" x14ac:dyDescent="0.35">
      <c r="A998" s="6" t="str">
        <f>TRIM(Dataset!A998)</f>
        <v>ORD200996</v>
      </c>
      <c r="B998" s="4">
        <f>Dataset!B998</f>
        <v>45410</v>
      </c>
      <c r="C998" s="6" t="str">
        <f>TRIM(Dataset!C998)</f>
        <v>C28648</v>
      </c>
      <c r="D998" s="6" t="str">
        <f>TRIM(Dataset!D998)</f>
        <v>Monitor</v>
      </c>
      <c r="E998" s="13">
        <f>VALUE(TRIM(Dataset!E998))</f>
        <v>4</v>
      </c>
      <c r="F998" s="10">
        <f>VALUE(TRIM(Dataset!F998))</f>
        <v>473.86</v>
      </c>
      <c r="G998" s="6" t="str">
        <f>TRIM(Dataset!G998)</f>
        <v>101 Main St</v>
      </c>
      <c r="H998" s="6" t="str">
        <f>TRIM(Dataset!H998)</f>
        <v>Debit Card</v>
      </c>
      <c r="I998" s="6" t="str">
        <f>TRIM(Dataset!I998)</f>
        <v>Delivered</v>
      </c>
      <c r="J998" s="6" t="str">
        <f>TRIM(Dataset!J998)</f>
        <v>TRK92240846</v>
      </c>
      <c r="K998" s="8" t="str">
        <f>TRIM(Dataset!K998)</f>
        <v>7</v>
      </c>
      <c r="L998" s="6" t="str">
        <f>Dataset!L998</f>
        <v>SAVE10</v>
      </c>
      <c r="M998" s="6" t="str">
        <f>TRIM(Dataset!M998)</f>
        <v>Facebook</v>
      </c>
      <c r="N998" s="10">
        <f>VALUE(TRIM(Dataset!N998))</f>
        <v>1895.44</v>
      </c>
    </row>
    <row r="999" spans="1:14" x14ac:dyDescent="0.35">
      <c r="A999" s="6" t="str">
        <f>TRIM(Dataset!A999)</f>
        <v>ORD200997</v>
      </c>
      <c r="B999" s="4">
        <f>Dataset!B999</f>
        <v>45257</v>
      </c>
      <c r="C999" s="6" t="str">
        <f>TRIM(Dataset!C999)</f>
        <v>C26210</v>
      </c>
      <c r="D999" s="6" t="str">
        <f>TRIM(Dataset!D999)</f>
        <v>Laptop</v>
      </c>
      <c r="E999" s="13">
        <f>VALUE(TRIM(Dataset!E999))</f>
        <v>3</v>
      </c>
      <c r="F999" s="10">
        <f>VALUE(TRIM(Dataset!F999))</f>
        <v>444.75</v>
      </c>
      <c r="G999" s="6" t="str">
        <f>TRIM(Dataset!G999)</f>
        <v>805 Main St</v>
      </c>
      <c r="H999" s="6" t="str">
        <f>TRIM(Dataset!H999)</f>
        <v>Cash</v>
      </c>
      <c r="I999" s="6" t="str">
        <f>TRIM(Dataset!I999)</f>
        <v>Delivered</v>
      </c>
      <c r="J999" s="6" t="str">
        <f>TRIM(Dataset!J999)</f>
        <v>TRK40616861</v>
      </c>
      <c r="K999" s="8" t="str">
        <f>TRIM(Dataset!K999)</f>
        <v>6</v>
      </c>
      <c r="L999" s="6" t="str">
        <f>Dataset!L999</f>
        <v>SAVE10</v>
      </c>
      <c r="M999" s="6" t="str">
        <f>TRIM(Dataset!M999)</f>
        <v>Facebook</v>
      </c>
      <c r="N999" s="10">
        <f>VALUE(TRIM(Dataset!N999))</f>
        <v>1334.25</v>
      </c>
    </row>
    <row r="1000" spans="1:14" x14ac:dyDescent="0.35">
      <c r="A1000" s="6" t="str">
        <f>TRIM(Dataset!A1000)</f>
        <v>ORD200998</v>
      </c>
      <c r="B1000" s="4">
        <f>Dataset!B1000</f>
        <v>45065</v>
      </c>
      <c r="C1000" s="6" t="str">
        <f>TRIM(Dataset!C1000)</f>
        <v>C90350</v>
      </c>
      <c r="D1000" s="6" t="str">
        <f>TRIM(Dataset!D1000)</f>
        <v>Phone</v>
      </c>
      <c r="E1000" s="13">
        <f>VALUE(TRIM(Dataset!E1000))</f>
        <v>2</v>
      </c>
      <c r="F1000" s="10">
        <f>VALUE(TRIM(Dataset!F1000))</f>
        <v>183.67</v>
      </c>
      <c r="G1000" s="6" t="str">
        <f>TRIM(Dataset!G1000)</f>
        <v>783 Main St</v>
      </c>
      <c r="H1000" s="6" t="str">
        <f>TRIM(Dataset!H1000)</f>
        <v>Debit Card</v>
      </c>
      <c r="I1000" s="6" t="str">
        <f>TRIM(Dataset!I1000)</f>
        <v>Cancelled</v>
      </c>
      <c r="J1000" s="6" t="str">
        <f>TRIM(Dataset!J1000)</f>
        <v>TRK22824230</v>
      </c>
      <c r="K1000" s="8" t="str">
        <f>TRIM(Dataset!K1000)</f>
        <v>6</v>
      </c>
      <c r="L1000" s="6" t="str">
        <f>Dataset!L1000</f>
        <v>SAVE10</v>
      </c>
      <c r="M1000" s="6" t="str">
        <f>TRIM(Dataset!M1000)</f>
        <v>Google</v>
      </c>
      <c r="N1000" s="10">
        <f>VALUE(TRIM(Dataset!N1000))</f>
        <v>367.34</v>
      </c>
    </row>
    <row r="1001" spans="1:14" x14ac:dyDescent="0.35">
      <c r="A1001" s="6" t="str">
        <f>TRIM(Dataset!A1001)</f>
        <v>ORD200999</v>
      </c>
      <c r="B1001" s="4">
        <f>Dataset!B1001</f>
        <v>45284</v>
      </c>
      <c r="C1001" s="6" t="str">
        <f>TRIM(Dataset!C1001)</f>
        <v>C61957</v>
      </c>
      <c r="D1001" s="6" t="str">
        <f>TRIM(Dataset!D1001)</f>
        <v>Printer</v>
      </c>
      <c r="E1001" s="13">
        <f>VALUE(TRIM(Dataset!E1001))</f>
        <v>1</v>
      </c>
      <c r="F1001" s="10">
        <f>VALUE(TRIM(Dataset!F1001))</f>
        <v>483.38</v>
      </c>
      <c r="G1001" s="6" t="str">
        <f>TRIM(Dataset!G1001)</f>
        <v>652 Main St</v>
      </c>
      <c r="H1001" s="6" t="str">
        <f>TRIM(Dataset!H1001)</f>
        <v>Cash</v>
      </c>
      <c r="I1001" s="6" t="str">
        <f>TRIM(Dataset!I1001)</f>
        <v>Pending</v>
      </c>
      <c r="J1001" s="6" t="str">
        <f>TRIM(Dataset!J1001)</f>
        <v>TRK43983841</v>
      </c>
      <c r="K1001" s="8" t="str">
        <f>TRIM(Dataset!K1001)</f>
        <v>6</v>
      </c>
      <c r="L1001" s="6" t="str">
        <f>Dataset!L1001</f>
        <v>FREESHIP</v>
      </c>
      <c r="M1001" s="6" t="str">
        <f>TRIM(Dataset!M1001)</f>
        <v>Google</v>
      </c>
      <c r="N1001" s="10">
        <f>VALUE(TRIM(Dataset!N1001))</f>
        <v>483.38</v>
      </c>
    </row>
    <row r="1002" spans="1:14" x14ac:dyDescent="0.35">
      <c r="A1002" s="6" t="str">
        <f>TRIM(Dataset!A1002)</f>
        <v>ORD201000</v>
      </c>
      <c r="B1002" s="4">
        <f>Dataset!B1002</f>
        <v>45098</v>
      </c>
      <c r="C1002" s="6" t="str">
        <f>TRIM(Dataset!C1002)</f>
        <v>C90132</v>
      </c>
      <c r="D1002" s="6" t="str">
        <f>TRIM(Dataset!D1002)</f>
        <v>Printer</v>
      </c>
      <c r="E1002" s="13">
        <f>VALUE(TRIM(Dataset!E1002))</f>
        <v>5</v>
      </c>
      <c r="F1002" s="10">
        <f>VALUE(TRIM(Dataset!F1002))</f>
        <v>260.93</v>
      </c>
      <c r="G1002" s="6" t="str">
        <f>TRIM(Dataset!G1002)</f>
        <v>582 Main St</v>
      </c>
      <c r="H1002" s="6" t="str">
        <f>TRIM(Dataset!H1002)</f>
        <v>Online</v>
      </c>
      <c r="I1002" s="6" t="str">
        <f>TRIM(Dataset!I1002)</f>
        <v>Delivered</v>
      </c>
      <c r="J1002" s="6" t="str">
        <f>TRIM(Dataset!J1002)</f>
        <v>TRK52664903</v>
      </c>
      <c r="K1002" s="8" t="str">
        <f>TRIM(Dataset!K1002)</f>
        <v>9</v>
      </c>
      <c r="L1002" s="6" t="str">
        <f>Dataset!L1002</f>
        <v>SAVE10</v>
      </c>
      <c r="M1002" s="6" t="str">
        <f>TRIM(Dataset!M1002)</f>
        <v>Email</v>
      </c>
      <c r="N1002" s="10">
        <f>VALUE(TRIM(Dataset!N1002))</f>
        <v>1304.6500000000001</v>
      </c>
    </row>
    <row r="1003" spans="1:14" x14ac:dyDescent="0.35">
      <c r="A1003" s="6" t="str">
        <f>TRIM(Dataset!A1003)</f>
        <v>ORD201001</v>
      </c>
      <c r="B1003" s="4">
        <f>Dataset!B1003</f>
        <v>45268</v>
      </c>
      <c r="C1003" s="6" t="str">
        <f>TRIM(Dataset!C1003)</f>
        <v>C31371</v>
      </c>
      <c r="D1003" s="6" t="str">
        <f>TRIM(Dataset!D1003)</f>
        <v>Printer</v>
      </c>
      <c r="E1003" s="13">
        <f>VALUE(TRIM(Dataset!E1003))</f>
        <v>2</v>
      </c>
      <c r="F1003" s="10">
        <f>VALUE(TRIM(Dataset!F1003))</f>
        <v>253.68</v>
      </c>
      <c r="G1003" s="6" t="str">
        <f>TRIM(Dataset!G1003)</f>
        <v>122 Main St</v>
      </c>
      <c r="H1003" s="6" t="str">
        <f>TRIM(Dataset!H1003)</f>
        <v>Gift Card</v>
      </c>
      <c r="I1003" s="6" t="str">
        <f>TRIM(Dataset!I1003)</f>
        <v>Shipped</v>
      </c>
      <c r="J1003" s="6" t="str">
        <f>TRIM(Dataset!J1003)</f>
        <v>TRK19554327</v>
      </c>
      <c r="K1003" s="8" t="str">
        <f>TRIM(Dataset!K1003)</f>
        <v>6</v>
      </c>
      <c r="L1003" s="6" t="s">
        <v>4284</v>
      </c>
      <c r="M1003" s="6" t="str">
        <f>TRIM(Dataset!M1003)</f>
        <v>Referral</v>
      </c>
      <c r="N1003" s="10">
        <f>VALUE(TRIM(Dataset!N1003))</f>
        <v>507.36</v>
      </c>
    </row>
    <row r="1004" spans="1:14" x14ac:dyDescent="0.35">
      <c r="A1004" s="6" t="str">
        <f>TRIM(Dataset!A1004)</f>
        <v>ORD201002</v>
      </c>
      <c r="B1004" s="4">
        <f>Dataset!B1004</f>
        <v>45827</v>
      </c>
      <c r="C1004" s="6" t="str">
        <f>TRIM(Dataset!C1004)</f>
        <v>C83911</v>
      </c>
      <c r="D1004" s="6" t="str">
        <f>TRIM(Dataset!D1004)</f>
        <v>Tablet</v>
      </c>
      <c r="E1004" s="13">
        <f>VALUE(TRIM(Dataset!E1004))</f>
        <v>4</v>
      </c>
      <c r="F1004" s="10">
        <f>VALUE(TRIM(Dataset!F1004))</f>
        <v>699.88</v>
      </c>
      <c r="G1004" s="6" t="str">
        <f>TRIM(Dataset!G1004)</f>
        <v>944 Main St</v>
      </c>
      <c r="H1004" s="6" t="str">
        <f>TRIM(Dataset!H1004)</f>
        <v>Cash</v>
      </c>
      <c r="I1004" s="6" t="str">
        <f>TRIM(Dataset!I1004)</f>
        <v>Pending</v>
      </c>
      <c r="J1004" s="6" t="str">
        <f>TRIM(Dataset!J1004)</f>
        <v>TRK33188106</v>
      </c>
      <c r="K1004" s="8" t="str">
        <f>TRIM(Dataset!K1004)</f>
        <v>5</v>
      </c>
      <c r="L1004" s="6" t="str">
        <f>Dataset!L1004</f>
        <v>WINTER15</v>
      </c>
      <c r="M1004" s="6" t="str">
        <f>TRIM(Dataset!M1004)</f>
        <v>Referral</v>
      </c>
      <c r="N1004" s="10">
        <f>VALUE(TRIM(Dataset!N1004))</f>
        <v>2799.52</v>
      </c>
    </row>
    <row r="1005" spans="1:14" x14ac:dyDescent="0.35">
      <c r="A1005" s="6" t="str">
        <f>TRIM(Dataset!A1005)</f>
        <v>ORD201003</v>
      </c>
      <c r="B1005" s="4">
        <f>Dataset!B1005</f>
        <v>44937</v>
      </c>
      <c r="C1005" s="6" t="str">
        <f>TRIM(Dataset!C1005)</f>
        <v>C84700</v>
      </c>
      <c r="D1005" s="6" t="str">
        <f>TRIM(Dataset!D1005)</f>
        <v>Printer</v>
      </c>
      <c r="E1005" s="13">
        <f>VALUE(TRIM(Dataset!E1005))</f>
        <v>5</v>
      </c>
      <c r="F1005" s="10">
        <f>VALUE(TRIM(Dataset!F1005))</f>
        <v>319.97000000000003</v>
      </c>
      <c r="G1005" s="6" t="str">
        <f>TRIM(Dataset!G1005)</f>
        <v>582 Main St</v>
      </c>
      <c r="H1005" s="6" t="str">
        <f>TRIM(Dataset!H1005)</f>
        <v>Cash</v>
      </c>
      <c r="I1005" s="6" t="str">
        <f>TRIM(Dataset!I1005)</f>
        <v>Shipped</v>
      </c>
      <c r="J1005" s="6" t="str">
        <f>TRIM(Dataset!J1005)</f>
        <v>TRK14706969</v>
      </c>
      <c r="K1005" s="8" t="str">
        <f>TRIM(Dataset!K1005)</f>
        <v>7</v>
      </c>
      <c r="L1005" s="6" t="str">
        <f>Dataset!L1005</f>
        <v>SAVE10</v>
      </c>
      <c r="M1005" s="6" t="str">
        <f>TRIM(Dataset!M1005)</f>
        <v>Google</v>
      </c>
      <c r="N1005" s="10">
        <f>VALUE(TRIM(Dataset!N1005))</f>
        <v>1599.85</v>
      </c>
    </row>
    <row r="1006" spans="1:14" x14ac:dyDescent="0.35">
      <c r="A1006" s="6" t="str">
        <f>TRIM(Dataset!A1006)</f>
        <v>ORD201004</v>
      </c>
      <c r="B1006" s="4">
        <f>Dataset!B1006</f>
        <v>45817</v>
      </c>
      <c r="C1006" s="6" t="str">
        <f>TRIM(Dataset!C1006)</f>
        <v>C87529</v>
      </c>
      <c r="D1006" s="6" t="str">
        <f>TRIM(Dataset!D1006)</f>
        <v>Chair</v>
      </c>
      <c r="E1006" s="13">
        <f>VALUE(TRIM(Dataset!E1006))</f>
        <v>4</v>
      </c>
      <c r="F1006" s="10">
        <f>VALUE(TRIM(Dataset!F1006))</f>
        <v>246.91</v>
      </c>
      <c r="G1006" s="6" t="str">
        <f>TRIM(Dataset!G1006)</f>
        <v>296 Main St</v>
      </c>
      <c r="H1006" s="6" t="str">
        <f>TRIM(Dataset!H1006)</f>
        <v>Online</v>
      </c>
      <c r="I1006" s="6" t="str">
        <f>TRIM(Dataset!I1006)</f>
        <v>Pending</v>
      </c>
      <c r="J1006" s="6" t="str">
        <f>TRIM(Dataset!J1006)</f>
        <v>TRK15739505</v>
      </c>
      <c r="K1006" s="8" t="str">
        <f>TRIM(Dataset!K1006)</f>
        <v>8</v>
      </c>
      <c r="L1006" s="6" t="str">
        <f>Dataset!L1006</f>
        <v>SAVE10</v>
      </c>
      <c r="M1006" s="6" t="str">
        <f>TRIM(Dataset!M1006)</f>
        <v>Referral</v>
      </c>
      <c r="N1006" s="10">
        <f>VALUE(TRIM(Dataset!N1006))</f>
        <v>987.64</v>
      </c>
    </row>
    <row r="1007" spans="1:14" x14ac:dyDescent="0.35">
      <c r="A1007" s="6" t="str">
        <f>TRIM(Dataset!A1007)</f>
        <v>ORD201005</v>
      </c>
      <c r="B1007" s="4">
        <f>Dataset!B1007</f>
        <v>44987</v>
      </c>
      <c r="C1007" s="6" t="str">
        <f>TRIM(Dataset!C1007)</f>
        <v>C38065</v>
      </c>
      <c r="D1007" s="6" t="str">
        <f>TRIM(Dataset!D1007)</f>
        <v>Printer</v>
      </c>
      <c r="E1007" s="13">
        <f>VALUE(TRIM(Dataset!E1007))</f>
        <v>3</v>
      </c>
      <c r="F1007" s="10">
        <f>VALUE(TRIM(Dataset!F1007))</f>
        <v>392.85</v>
      </c>
      <c r="G1007" s="6" t="str">
        <f>TRIM(Dataset!G1007)</f>
        <v>426 Main St</v>
      </c>
      <c r="H1007" s="6" t="str">
        <f>TRIM(Dataset!H1007)</f>
        <v>Credit Card</v>
      </c>
      <c r="I1007" s="6" t="str">
        <f>TRIM(Dataset!I1007)</f>
        <v>Returned</v>
      </c>
      <c r="J1007" s="6" t="str">
        <f>TRIM(Dataset!J1007)</f>
        <v>TRK11448295</v>
      </c>
      <c r="K1007" s="8" t="str">
        <f>TRIM(Dataset!K1007)</f>
        <v>6</v>
      </c>
      <c r="L1007" s="6" t="s">
        <v>4284</v>
      </c>
      <c r="M1007" s="6" t="str">
        <f>TRIM(Dataset!M1007)</f>
        <v>Google</v>
      </c>
      <c r="N1007" s="10">
        <f>VALUE(TRIM(Dataset!N1007))</f>
        <v>1178.55</v>
      </c>
    </row>
    <row r="1008" spans="1:14" x14ac:dyDescent="0.35">
      <c r="A1008" s="6" t="str">
        <f>TRIM(Dataset!A1008)</f>
        <v>ORD201006</v>
      </c>
      <c r="B1008" s="4">
        <f>Dataset!B1008</f>
        <v>45439</v>
      </c>
      <c r="C1008" s="6" t="str">
        <f>TRIM(Dataset!C1008)</f>
        <v>C27435</v>
      </c>
      <c r="D1008" s="6" t="str">
        <f>TRIM(Dataset!D1008)</f>
        <v>Tablet</v>
      </c>
      <c r="E1008" s="13">
        <f>VALUE(TRIM(Dataset!E1008))</f>
        <v>5</v>
      </c>
      <c r="F1008" s="10">
        <f>VALUE(TRIM(Dataset!F1008))</f>
        <v>420.98</v>
      </c>
      <c r="G1008" s="6" t="str">
        <f>TRIM(Dataset!G1008)</f>
        <v>860 Main St</v>
      </c>
      <c r="H1008" s="6" t="str">
        <f>TRIM(Dataset!H1008)</f>
        <v>Cash</v>
      </c>
      <c r="I1008" s="6" t="str">
        <f>TRIM(Dataset!I1008)</f>
        <v>Delivered</v>
      </c>
      <c r="J1008" s="6" t="str">
        <f>TRIM(Dataset!J1008)</f>
        <v>TRK91458233</v>
      </c>
      <c r="K1008" s="8" t="str">
        <f>TRIM(Dataset!K1008)</f>
        <v>7</v>
      </c>
      <c r="L1008" s="6" t="str">
        <f>Dataset!L1008</f>
        <v>SAVE10</v>
      </c>
      <c r="M1008" s="6" t="str">
        <f>TRIM(Dataset!M1008)</f>
        <v>Facebook</v>
      </c>
      <c r="N1008" s="10">
        <f>VALUE(TRIM(Dataset!N1008))</f>
        <v>2104.9</v>
      </c>
    </row>
    <row r="1009" spans="1:14" x14ac:dyDescent="0.35">
      <c r="A1009" s="6" t="str">
        <f>TRIM(Dataset!A1009)</f>
        <v>ORD201007</v>
      </c>
      <c r="B1009" s="4">
        <f>Dataset!B1009</f>
        <v>45371</v>
      </c>
      <c r="C1009" s="6" t="str">
        <f>TRIM(Dataset!C1009)</f>
        <v>C46651</v>
      </c>
      <c r="D1009" s="6" t="str">
        <f>TRIM(Dataset!D1009)</f>
        <v>Monitor</v>
      </c>
      <c r="E1009" s="13">
        <f>VALUE(TRIM(Dataset!E1009))</f>
        <v>2</v>
      </c>
      <c r="F1009" s="10">
        <f>VALUE(TRIM(Dataset!F1009))</f>
        <v>73.260000000000005</v>
      </c>
      <c r="G1009" s="6" t="str">
        <f>TRIM(Dataset!G1009)</f>
        <v>839 Main St</v>
      </c>
      <c r="H1009" s="6" t="str">
        <f>TRIM(Dataset!H1009)</f>
        <v>Cash</v>
      </c>
      <c r="I1009" s="6" t="str">
        <f>TRIM(Dataset!I1009)</f>
        <v>Pending</v>
      </c>
      <c r="J1009" s="6" t="str">
        <f>TRIM(Dataset!J1009)</f>
        <v>TRK60444502</v>
      </c>
      <c r="K1009" s="8" t="str">
        <f>TRIM(Dataset!K1009)</f>
        <v>4</v>
      </c>
      <c r="L1009" s="6" t="str">
        <f>Dataset!L1009</f>
        <v>WINTER15</v>
      </c>
      <c r="M1009" s="6" t="str">
        <f>TRIM(Dataset!M1009)</f>
        <v>Facebook</v>
      </c>
      <c r="N1009" s="10">
        <f>VALUE(TRIM(Dataset!N1009))</f>
        <v>146.52000000000001</v>
      </c>
    </row>
    <row r="1010" spans="1:14" x14ac:dyDescent="0.35">
      <c r="A1010" s="6" t="str">
        <f>TRIM(Dataset!A1010)</f>
        <v>ORD201008</v>
      </c>
      <c r="B1010" s="4">
        <f>Dataset!B1010</f>
        <v>44939</v>
      </c>
      <c r="C1010" s="6" t="str">
        <f>TRIM(Dataset!C1010)</f>
        <v>C62557</v>
      </c>
      <c r="D1010" s="6" t="str">
        <f>TRIM(Dataset!D1010)</f>
        <v>Monitor</v>
      </c>
      <c r="E1010" s="13">
        <f>VALUE(TRIM(Dataset!E1010))</f>
        <v>3</v>
      </c>
      <c r="F1010" s="10">
        <f>VALUE(TRIM(Dataset!F1010))</f>
        <v>410.88</v>
      </c>
      <c r="G1010" s="6" t="str">
        <f>TRIM(Dataset!G1010)</f>
        <v>257 Main St</v>
      </c>
      <c r="H1010" s="6" t="str">
        <f>TRIM(Dataset!H1010)</f>
        <v>Cash</v>
      </c>
      <c r="I1010" s="6" t="str">
        <f>TRIM(Dataset!I1010)</f>
        <v>Delivered</v>
      </c>
      <c r="J1010" s="6" t="str">
        <f>TRIM(Dataset!J1010)</f>
        <v>TRK12742366</v>
      </c>
      <c r="K1010" s="8" t="str">
        <f>TRIM(Dataset!K1010)</f>
        <v>8</v>
      </c>
      <c r="L1010" s="6" t="str">
        <f>Dataset!L1010</f>
        <v>FREESHIP</v>
      </c>
      <c r="M1010" s="6" t="str">
        <f>TRIM(Dataset!M1010)</f>
        <v>Instagram</v>
      </c>
      <c r="N1010" s="10">
        <f>VALUE(TRIM(Dataset!N1010))</f>
        <v>1232.6400000000001</v>
      </c>
    </row>
    <row r="1011" spans="1:14" x14ac:dyDescent="0.35">
      <c r="A1011" s="6" t="str">
        <f>TRIM(Dataset!A1011)</f>
        <v>ORD201009</v>
      </c>
      <c r="B1011" s="4">
        <f>Dataset!B1011</f>
        <v>45171</v>
      </c>
      <c r="C1011" s="6" t="str">
        <f>TRIM(Dataset!C1011)</f>
        <v>C54494</v>
      </c>
      <c r="D1011" s="6" t="str">
        <f>TRIM(Dataset!D1011)</f>
        <v>Tablet</v>
      </c>
      <c r="E1011" s="13">
        <f>VALUE(TRIM(Dataset!E1011))</f>
        <v>2</v>
      </c>
      <c r="F1011" s="10">
        <f>VALUE(TRIM(Dataset!F1011))</f>
        <v>176.46</v>
      </c>
      <c r="G1011" s="6" t="str">
        <f>TRIM(Dataset!G1011)</f>
        <v>696 Main St</v>
      </c>
      <c r="H1011" s="6" t="str">
        <f>TRIM(Dataset!H1011)</f>
        <v>Credit Card</v>
      </c>
      <c r="I1011" s="6" t="str">
        <f>TRIM(Dataset!I1011)</f>
        <v>Delivered</v>
      </c>
      <c r="J1011" s="6" t="str">
        <f>TRIM(Dataset!J1011)</f>
        <v>TRK95958645</v>
      </c>
      <c r="K1011" s="8" t="str">
        <f>TRIM(Dataset!K1011)</f>
        <v>2</v>
      </c>
      <c r="L1011" s="6" t="str">
        <f>Dataset!L1011</f>
        <v>FREESHIP</v>
      </c>
      <c r="M1011" s="6" t="str">
        <f>TRIM(Dataset!M1011)</f>
        <v>Email</v>
      </c>
      <c r="N1011" s="10">
        <f>VALUE(TRIM(Dataset!N1011))</f>
        <v>352.92</v>
      </c>
    </row>
    <row r="1012" spans="1:14" x14ac:dyDescent="0.35">
      <c r="A1012" s="6" t="str">
        <f>TRIM(Dataset!A1012)</f>
        <v>ORD201010</v>
      </c>
      <c r="B1012" s="4">
        <f>Dataset!B1012</f>
        <v>45016</v>
      </c>
      <c r="C1012" s="6" t="str">
        <f>TRIM(Dataset!C1012)</f>
        <v>C33729</v>
      </c>
      <c r="D1012" s="6" t="str">
        <f>TRIM(Dataset!D1012)</f>
        <v>Monitor</v>
      </c>
      <c r="E1012" s="13">
        <f>VALUE(TRIM(Dataset!E1012))</f>
        <v>3</v>
      </c>
      <c r="F1012" s="10">
        <f>VALUE(TRIM(Dataset!F1012))</f>
        <v>659.57</v>
      </c>
      <c r="G1012" s="6" t="str">
        <f>TRIM(Dataset!G1012)</f>
        <v>533 Main St</v>
      </c>
      <c r="H1012" s="6" t="str">
        <f>TRIM(Dataset!H1012)</f>
        <v>Credit Card</v>
      </c>
      <c r="I1012" s="6" t="str">
        <f>TRIM(Dataset!I1012)</f>
        <v>Cancelled</v>
      </c>
      <c r="J1012" s="6" t="str">
        <f>TRIM(Dataset!J1012)</f>
        <v>TRK35649833</v>
      </c>
      <c r="K1012" s="8" t="str">
        <f>TRIM(Dataset!K1012)</f>
        <v>6</v>
      </c>
      <c r="L1012" s="6" t="str">
        <f>Dataset!L1012</f>
        <v>SAVE10</v>
      </c>
      <c r="M1012" s="6" t="str">
        <f>TRIM(Dataset!M1012)</f>
        <v>Email</v>
      </c>
      <c r="N1012" s="10">
        <f>VALUE(TRIM(Dataset!N1012))</f>
        <v>1978.71</v>
      </c>
    </row>
    <row r="1013" spans="1:14" x14ac:dyDescent="0.35">
      <c r="A1013" s="6" t="str">
        <f>TRIM(Dataset!A1013)</f>
        <v>ORD201011</v>
      </c>
      <c r="B1013" s="4">
        <f>Dataset!B1013</f>
        <v>45629</v>
      </c>
      <c r="C1013" s="6" t="str">
        <f>TRIM(Dataset!C1013)</f>
        <v>C47823</v>
      </c>
      <c r="D1013" s="6" t="str">
        <f>TRIM(Dataset!D1013)</f>
        <v>Phone</v>
      </c>
      <c r="E1013" s="13">
        <f>VALUE(TRIM(Dataset!E1013))</f>
        <v>2</v>
      </c>
      <c r="F1013" s="10">
        <f>VALUE(TRIM(Dataset!F1013))</f>
        <v>478.36</v>
      </c>
      <c r="G1013" s="6" t="str">
        <f>TRIM(Dataset!G1013)</f>
        <v>654 Main St</v>
      </c>
      <c r="H1013" s="6" t="str">
        <f>TRIM(Dataset!H1013)</f>
        <v>Online</v>
      </c>
      <c r="I1013" s="6" t="str">
        <f>TRIM(Dataset!I1013)</f>
        <v>Shipped</v>
      </c>
      <c r="J1013" s="6" t="str">
        <f>TRIM(Dataset!J1013)</f>
        <v>TRK22271097</v>
      </c>
      <c r="K1013" s="8" t="str">
        <f>TRIM(Dataset!K1013)</f>
        <v>3</v>
      </c>
      <c r="L1013" s="6" t="s">
        <v>4284</v>
      </c>
      <c r="M1013" s="6" t="str">
        <f>TRIM(Dataset!M1013)</f>
        <v>Google</v>
      </c>
      <c r="N1013" s="10">
        <f>VALUE(TRIM(Dataset!N1013))</f>
        <v>956.72</v>
      </c>
    </row>
    <row r="1014" spans="1:14" x14ac:dyDescent="0.35">
      <c r="A1014" s="6" t="str">
        <f>TRIM(Dataset!A1014)</f>
        <v>ORD201012</v>
      </c>
      <c r="B1014" s="4">
        <f>Dataset!B1014</f>
        <v>45629</v>
      </c>
      <c r="C1014" s="6" t="str">
        <f>TRIM(Dataset!C1014)</f>
        <v>C84570</v>
      </c>
      <c r="D1014" s="6" t="str">
        <f>TRIM(Dataset!D1014)</f>
        <v>Printer</v>
      </c>
      <c r="E1014" s="13">
        <f>VALUE(TRIM(Dataset!E1014))</f>
        <v>4</v>
      </c>
      <c r="F1014" s="10">
        <f>VALUE(TRIM(Dataset!F1014))</f>
        <v>30.05</v>
      </c>
      <c r="G1014" s="6" t="str">
        <f>TRIM(Dataset!G1014)</f>
        <v>301 Main St</v>
      </c>
      <c r="H1014" s="6" t="str">
        <f>TRIM(Dataset!H1014)</f>
        <v>Online</v>
      </c>
      <c r="I1014" s="6" t="str">
        <f>TRIM(Dataset!I1014)</f>
        <v>Returned</v>
      </c>
      <c r="J1014" s="6" t="str">
        <f>TRIM(Dataset!J1014)</f>
        <v>TRK12551882</v>
      </c>
      <c r="K1014" s="8" t="str">
        <f>TRIM(Dataset!K1014)</f>
        <v>6</v>
      </c>
      <c r="L1014" s="6" t="s">
        <v>4284</v>
      </c>
      <c r="M1014" s="6" t="str">
        <f>TRIM(Dataset!M1014)</f>
        <v>Facebook</v>
      </c>
      <c r="N1014" s="10">
        <f>VALUE(TRIM(Dataset!N1014))</f>
        <v>120.2</v>
      </c>
    </row>
    <row r="1015" spans="1:14" x14ac:dyDescent="0.35">
      <c r="A1015" s="6" t="str">
        <f>TRIM(Dataset!A1015)</f>
        <v>ORD201013</v>
      </c>
      <c r="B1015" s="4">
        <f>Dataset!B1015</f>
        <v>45773</v>
      </c>
      <c r="C1015" s="6" t="str">
        <f>TRIM(Dataset!C1015)</f>
        <v>C91123</v>
      </c>
      <c r="D1015" s="6" t="str">
        <f>TRIM(Dataset!D1015)</f>
        <v>Laptop</v>
      </c>
      <c r="E1015" s="13">
        <f>VALUE(TRIM(Dataset!E1015))</f>
        <v>4</v>
      </c>
      <c r="F1015" s="10">
        <f>VALUE(TRIM(Dataset!F1015))</f>
        <v>300.56</v>
      </c>
      <c r="G1015" s="6" t="str">
        <f>TRIM(Dataset!G1015)</f>
        <v>842 Main St</v>
      </c>
      <c r="H1015" s="6" t="str">
        <f>TRIM(Dataset!H1015)</f>
        <v>Cash</v>
      </c>
      <c r="I1015" s="6" t="str">
        <f>TRIM(Dataset!I1015)</f>
        <v>Cancelled</v>
      </c>
      <c r="J1015" s="6" t="str">
        <f>TRIM(Dataset!J1015)</f>
        <v>TRK49568409</v>
      </c>
      <c r="K1015" s="8" t="str">
        <f>TRIM(Dataset!K1015)</f>
        <v>9</v>
      </c>
      <c r="L1015" s="6" t="str">
        <f>Dataset!L1015</f>
        <v>FREESHIP</v>
      </c>
      <c r="M1015" s="6" t="str">
        <f>TRIM(Dataset!M1015)</f>
        <v>Facebook</v>
      </c>
      <c r="N1015" s="10">
        <f>VALUE(TRIM(Dataset!N1015))</f>
        <v>1202.24</v>
      </c>
    </row>
    <row r="1016" spans="1:14" x14ac:dyDescent="0.35">
      <c r="A1016" s="6" t="str">
        <f>TRIM(Dataset!A1016)</f>
        <v>ORD201014</v>
      </c>
      <c r="B1016" s="4">
        <f>Dataset!B1016</f>
        <v>45326</v>
      </c>
      <c r="C1016" s="6" t="str">
        <f>TRIM(Dataset!C1016)</f>
        <v>C92548</v>
      </c>
      <c r="D1016" s="6" t="str">
        <f>TRIM(Dataset!D1016)</f>
        <v>Tablet</v>
      </c>
      <c r="E1016" s="13">
        <f>VALUE(TRIM(Dataset!E1016))</f>
        <v>5</v>
      </c>
      <c r="F1016" s="10">
        <f>VALUE(TRIM(Dataset!F1016))</f>
        <v>226.45</v>
      </c>
      <c r="G1016" s="6" t="str">
        <f>TRIM(Dataset!G1016)</f>
        <v>160 Main St</v>
      </c>
      <c r="H1016" s="6" t="str">
        <f>TRIM(Dataset!H1016)</f>
        <v>Debit Card</v>
      </c>
      <c r="I1016" s="6" t="str">
        <f>TRIM(Dataset!I1016)</f>
        <v>Returned</v>
      </c>
      <c r="J1016" s="6" t="str">
        <f>TRIM(Dataset!J1016)</f>
        <v>TRK21682892</v>
      </c>
      <c r="K1016" s="8" t="str">
        <f>TRIM(Dataset!K1016)</f>
        <v>6</v>
      </c>
      <c r="L1016" s="6" t="str">
        <f>Dataset!L1016</f>
        <v>FREESHIP</v>
      </c>
      <c r="M1016" s="6" t="str">
        <f>TRIM(Dataset!M1016)</f>
        <v>Email</v>
      </c>
      <c r="N1016" s="10">
        <f>VALUE(TRIM(Dataset!N1016))</f>
        <v>1132.25</v>
      </c>
    </row>
    <row r="1017" spans="1:14" x14ac:dyDescent="0.35">
      <c r="A1017" s="6" t="str">
        <f>TRIM(Dataset!A1017)</f>
        <v>ORD201015</v>
      </c>
      <c r="B1017" s="4">
        <f>Dataset!B1017</f>
        <v>45317</v>
      </c>
      <c r="C1017" s="6" t="str">
        <f>TRIM(Dataset!C1017)</f>
        <v>C97454</v>
      </c>
      <c r="D1017" s="6" t="str">
        <f>TRIM(Dataset!D1017)</f>
        <v>Printer</v>
      </c>
      <c r="E1017" s="13">
        <f>VALUE(TRIM(Dataset!E1017))</f>
        <v>2</v>
      </c>
      <c r="F1017" s="10">
        <f>VALUE(TRIM(Dataset!F1017))</f>
        <v>349.4</v>
      </c>
      <c r="G1017" s="6" t="str">
        <f>TRIM(Dataset!G1017)</f>
        <v>892 Main St</v>
      </c>
      <c r="H1017" s="6" t="str">
        <f>TRIM(Dataset!H1017)</f>
        <v>Online</v>
      </c>
      <c r="I1017" s="6" t="str">
        <f>TRIM(Dataset!I1017)</f>
        <v>Shipped</v>
      </c>
      <c r="J1017" s="6" t="str">
        <f>TRIM(Dataset!J1017)</f>
        <v>TRK73249329</v>
      </c>
      <c r="K1017" s="8" t="str">
        <f>TRIM(Dataset!K1017)</f>
        <v>2</v>
      </c>
      <c r="L1017" s="6" t="str">
        <f>Dataset!L1017</f>
        <v>SAVE10</v>
      </c>
      <c r="M1017" s="6" t="str">
        <f>TRIM(Dataset!M1017)</f>
        <v>Instagram</v>
      </c>
      <c r="N1017" s="10">
        <f>VALUE(TRIM(Dataset!N1017))</f>
        <v>698.8</v>
      </c>
    </row>
    <row r="1018" spans="1:14" x14ac:dyDescent="0.35">
      <c r="A1018" s="6" t="str">
        <f>TRIM(Dataset!A1018)</f>
        <v>ORD201016</v>
      </c>
      <c r="B1018" s="4">
        <f>Dataset!B1018</f>
        <v>45289</v>
      </c>
      <c r="C1018" s="6" t="str">
        <f>TRIM(Dataset!C1018)</f>
        <v>C20257</v>
      </c>
      <c r="D1018" s="6" t="str">
        <f>TRIM(Dataset!D1018)</f>
        <v>Tablet</v>
      </c>
      <c r="E1018" s="13">
        <f>VALUE(TRIM(Dataset!E1018))</f>
        <v>5</v>
      </c>
      <c r="F1018" s="10">
        <f>VALUE(TRIM(Dataset!F1018))</f>
        <v>268.77999999999997</v>
      </c>
      <c r="G1018" s="6" t="str">
        <f>TRIM(Dataset!G1018)</f>
        <v>669 Main St</v>
      </c>
      <c r="H1018" s="6" t="str">
        <f>TRIM(Dataset!H1018)</f>
        <v>Debit Card</v>
      </c>
      <c r="I1018" s="6" t="str">
        <f>TRIM(Dataset!I1018)</f>
        <v>Delivered</v>
      </c>
      <c r="J1018" s="6" t="str">
        <f>TRIM(Dataset!J1018)</f>
        <v>TRK62135578</v>
      </c>
      <c r="K1018" s="8" t="str">
        <f>TRIM(Dataset!K1018)</f>
        <v>7</v>
      </c>
      <c r="L1018" s="6" t="str">
        <f>Dataset!L1018</f>
        <v>WINTER15</v>
      </c>
      <c r="M1018" s="6" t="str">
        <f>TRIM(Dataset!M1018)</f>
        <v>Email</v>
      </c>
      <c r="N1018" s="10">
        <f>VALUE(TRIM(Dataset!N1018))</f>
        <v>1343.9</v>
      </c>
    </row>
    <row r="1019" spans="1:14" x14ac:dyDescent="0.35">
      <c r="A1019" s="6" t="str">
        <f>TRIM(Dataset!A1019)</f>
        <v>ORD201017</v>
      </c>
      <c r="B1019" s="4">
        <f>Dataset!B1019</f>
        <v>45529</v>
      </c>
      <c r="C1019" s="6" t="str">
        <f>TRIM(Dataset!C1019)</f>
        <v>C51694</v>
      </c>
      <c r="D1019" s="6" t="str">
        <f>TRIM(Dataset!D1019)</f>
        <v>Chair</v>
      </c>
      <c r="E1019" s="13">
        <f>VALUE(TRIM(Dataset!E1019))</f>
        <v>2</v>
      </c>
      <c r="F1019" s="10">
        <f>VALUE(TRIM(Dataset!F1019))</f>
        <v>680.85</v>
      </c>
      <c r="G1019" s="6" t="str">
        <f>TRIM(Dataset!G1019)</f>
        <v>953 Main St</v>
      </c>
      <c r="H1019" s="6" t="str">
        <f>TRIM(Dataset!H1019)</f>
        <v>Gift Card</v>
      </c>
      <c r="I1019" s="6" t="str">
        <f>TRIM(Dataset!I1019)</f>
        <v>Delivered</v>
      </c>
      <c r="J1019" s="6" t="str">
        <f>TRIM(Dataset!J1019)</f>
        <v>TRK83122112</v>
      </c>
      <c r="K1019" s="8" t="str">
        <f>TRIM(Dataset!K1019)</f>
        <v>6</v>
      </c>
      <c r="L1019" s="6" t="str">
        <f>Dataset!L1019</f>
        <v>FREESHIP</v>
      </c>
      <c r="M1019" s="6" t="str">
        <f>TRIM(Dataset!M1019)</f>
        <v>Referral</v>
      </c>
      <c r="N1019" s="10">
        <f>VALUE(TRIM(Dataset!N1019))</f>
        <v>1361.7</v>
      </c>
    </row>
    <row r="1020" spans="1:14" x14ac:dyDescent="0.35">
      <c r="A1020" s="6" t="str">
        <f>TRIM(Dataset!A1020)</f>
        <v>ORD201018</v>
      </c>
      <c r="B1020" s="4">
        <f>Dataset!B1020</f>
        <v>45115</v>
      </c>
      <c r="C1020" s="6" t="str">
        <f>TRIM(Dataset!C1020)</f>
        <v>C77499</v>
      </c>
      <c r="D1020" s="6" t="str">
        <f>TRIM(Dataset!D1020)</f>
        <v>Laptop</v>
      </c>
      <c r="E1020" s="13">
        <f>VALUE(TRIM(Dataset!E1020))</f>
        <v>3</v>
      </c>
      <c r="F1020" s="10">
        <f>VALUE(TRIM(Dataset!F1020))</f>
        <v>182.48</v>
      </c>
      <c r="G1020" s="6" t="str">
        <f>TRIM(Dataset!G1020)</f>
        <v>209 Main St</v>
      </c>
      <c r="H1020" s="6" t="str">
        <f>TRIM(Dataset!H1020)</f>
        <v>Cash</v>
      </c>
      <c r="I1020" s="6" t="str">
        <f>TRIM(Dataset!I1020)</f>
        <v>Delivered</v>
      </c>
      <c r="J1020" s="6" t="str">
        <f>TRIM(Dataset!J1020)</f>
        <v>TRK20703086</v>
      </c>
      <c r="K1020" s="8" t="str">
        <f>TRIM(Dataset!K1020)</f>
        <v>3</v>
      </c>
      <c r="L1020" s="6" t="s">
        <v>4284</v>
      </c>
      <c r="M1020" s="6" t="str">
        <f>TRIM(Dataset!M1020)</f>
        <v>Instagram</v>
      </c>
      <c r="N1020" s="10">
        <f>VALUE(TRIM(Dataset!N1020))</f>
        <v>547.44000000000005</v>
      </c>
    </row>
    <row r="1021" spans="1:14" x14ac:dyDescent="0.35">
      <c r="A1021" s="6" t="str">
        <f>TRIM(Dataset!A1021)</f>
        <v>ORD201019</v>
      </c>
      <c r="B1021" s="4">
        <f>Dataset!B1021</f>
        <v>45388</v>
      </c>
      <c r="C1021" s="6" t="str">
        <f>TRIM(Dataset!C1021)</f>
        <v>C28386</v>
      </c>
      <c r="D1021" s="6" t="str">
        <f>TRIM(Dataset!D1021)</f>
        <v>Desk</v>
      </c>
      <c r="E1021" s="13">
        <f>VALUE(TRIM(Dataset!E1021))</f>
        <v>1</v>
      </c>
      <c r="F1021" s="10">
        <f>VALUE(TRIM(Dataset!F1021))</f>
        <v>277.08999999999997</v>
      </c>
      <c r="G1021" s="6" t="str">
        <f>TRIM(Dataset!G1021)</f>
        <v>293 Main St</v>
      </c>
      <c r="H1021" s="6" t="str">
        <f>TRIM(Dataset!H1021)</f>
        <v>Cash</v>
      </c>
      <c r="I1021" s="6" t="str">
        <f>TRIM(Dataset!I1021)</f>
        <v>Returned</v>
      </c>
      <c r="J1021" s="6" t="str">
        <f>TRIM(Dataset!J1021)</f>
        <v>TRK32954229</v>
      </c>
      <c r="K1021" s="8" t="str">
        <f>TRIM(Dataset!K1021)</f>
        <v>2</v>
      </c>
      <c r="L1021" s="6" t="str">
        <f>Dataset!L1021</f>
        <v>SAVE10</v>
      </c>
      <c r="M1021" s="6" t="str">
        <f>TRIM(Dataset!M1021)</f>
        <v>Referral</v>
      </c>
      <c r="N1021" s="10">
        <f>VALUE(TRIM(Dataset!N1021))</f>
        <v>277.08999999999997</v>
      </c>
    </row>
    <row r="1022" spans="1:14" x14ac:dyDescent="0.35">
      <c r="A1022" s="6" t="str">
        <f>TRIM(Dataset!A1022)</f>
        <v>ORD201020</v>
      </c>
      <c r="B1022" s="4">
        <f>Dataset!B1022</f>
        <v>45404</v>
      </c>
      <c r="C1022" s="6" t="str">
        <f>TRIM(Dataset!C1022)</f>
        <v>C50211</v>
      </c>
      <c r="D1022" s="6" t="str">
        <f>TRIM(Dataset!D1022)</f>
        <v>Tablet</v>
      </c>
      <c r="E1022" s="13">
        <f>VALUE(TRIM(Dataset!E1022))</f>
        <v>2</v>
      </c>
      <c r="F1022" s="10">
        <f>VALUE(TRIM(Dataset!F1022))</f>
        <v>26.5</v>
      </c>
      <c r="G1022" s="6" t="str">
        <f>TRIM(Dataset!G1022)</f>
        <v>312 Main St</v>
      </c>
      <c r="H1022" s="6" t="str">
        <f>TRIM(Dataset!H1022)</f>
        <v>Online</v>
      </c>
      <c r="I1022" s="6" t="str">
        <f>TRIM(Dataset!I1022)</f>
        <v>Delivered</v>
      </c>
      <c r="J1022" s="6" t="str">
        <f>TRIM(Dataset!J1022)</f>
        <v>TRK47787981</v>
      </c>
      <c r="K1022" s="8" t="str">
        <f>TRIM(Dataset!K1022)</f>
        <v>3</v>
      </c>
      <c r="L1022" s="6" t="str">
        <f>Dataset!L1022</f>
        <v>SAVE10</v>
      </c>
      <c r="M1022" s="6" t="str">
        <f>TRIM(Dataset!M1022)</f>
        <v>Instagram</v>
      </c>
      <c r="N1022" s="10">
        <f>VALUE(TRIM(Dataset!N1022))</f>
        <v>53</v>
      </c>
    </row>
    <row r="1023" spans="1:14" x14ac:dyDescent="0.35">
      <c r="A1023" s="6" t="str">
        <f>TRIM(Dataset!A1023)</f>
        <v>ORD201021</v>
      </c>
      <c r="B1023" s="4">
        <f>Dataset!B1023</f>
        <v>45222</v>
      </c>
      <c r="C1023" s="6" t="str">
        <f>TRIM(Dataset!C1023)</f>
        <v>C74519</v>
      </c>
      <c r="D1023" s="6" t="str">
        <f>TRIM(Dataset!D1023)</f>
        <v>Phone</v>
      </c>
      <c r="E1023" s="13">
        <f>VALUE(TRIM(Dataset!E1023))</f>
        <v>3</v>
      </c>
      <c r="F1023" s="10">
        <f>VALUE(TRIM(Dataset!F1023))</f>
        <v>315.27</v>
      </c>
      <c r="G1023" s="6" t="str">
        <f>TRIM(Dataset!G1023)</f>
        <v>309 Main St</v>
      </c>
      <c r="H1023" s="6" t="str">
        <f>TRIM(Dataset!H1023)</f>
        <v>Credit Card</v>
      </c>
      <c r="I1023" s="6" t="str">
        <f>TRIM(Dataset!I1023)</f>
        <v>Cancelled</v>
      </c>
      <c r="J1023" s="6" t="str">
        <f>TRIM(Dataset!J1023)</f>
        <v>TRK97351945</v>
      </c>
      <c r="K1023" s="8" t="str">
        <f>TRIM(Dataset!K1023)</f>
        <v>4</v>
      </c>
      <c r="L1023" s="6" t="str">
        <f>Dataset!L1023</f>
        <v>SAVE10</v>
      </c>
      <c r="M1023" s="6" t="str">
        <f>TRIM(Dataset!M1023)</f>
        <v>Email</v>
      </c>
      <c r="N1023" s="10">
        <f>VALUE(TRIM(Dataset!N1023))</f>
        <v>945.81</v>
      </c>
    </row>
    <row r="1024" spans="1:14" x14ac:dyDescent="0.35">
      <c r="A1024" s="6" t="str">
        <f>TRIM(Dataset!A1024)</f>
        <v>ORD201022</v>
      </c>
      <c r="B1024" s="4">
        <f>Dataset!B1024</f>
        <v>45712</v>
      </c>
      <c r="C1024" s="6" t="str">
        <f>TRIM(Dataset!C1024)</f>
        <v>C19071</v>
      </c>
      <c r="D1024" s="6" t="str">
        <f>TRIM(Dataset!D1024)</f>
        <v>Tablet</v>
      </c>
      <c r="E1024" s="13">
        <f>VALUE(TRIM(Dataset!E1024))</f>
        <v>3</v>
      </c>
      <c r="F1024" s="10">
        <f>VALUE(TRIM(Dataset!F1024))</f>
        <v>450.98</v>
      </c>
      <c r="G1024" s="6" t="str">
        <f>TRIM(Dataset!G1024)</f>
        <v>396 Main St</v>
      </c>
      <c r="H1024" s="6" t="str">
        <f>TRIM(Dataset!H1024)</f>
        <v>Credit Card</v>
      </c>
      <c r="I1024" s="6" t="str">
        <f>TRIM(Dataset!I1024)</f>
        <v>Shipped</v>
      </c>
      <c r="J1024" s="6" t="str">
        <f>TRIM(Dataset!J1024)</f>
        <v>TRK66537096</v>
      </c>
      <c r="K1024" s="8" t="str">
        <f>TRIM(Dataset!K1024)</f>
        <v>8</v>
      </c>
      <c r="L1024" s="6" t="str">
        <f>Dataset!L1024</f>
        <v>SAVE10</v>
      </c>
      <c r="M1024" s="6" t="str">
        <f>TRIM(Dataset!M1024)</f>
        <v>Referral</v>
      </c>
      <c r="N1024" s="10">
        <f>VALUE(TRIM(Dataset!N1024))</f>
        <v>1352.94</v>
      </c>
    </row>
    <row r="1025" spans="1:14" x14ac:dyDescent="0.35">
      <c r="A1025" s="6" t="str">
        <f>TRIM(Dataset!A1025)</f>
        <v>ORD201023</v>
      </c>
      <c r="B1025" s="4">
        <f>Dataset!B1025</f>
        <v>45558</v>
      </c>
      <c r="C1025" s="6" t="str">
        <f>TRIM(Dataset!C1025)</f>
        <v>C65251</v>
      </c>
      <c r="D1025" s="6" t="str">
        <f>TRIM(Dataset!D1025)</f>
        <v>Laptop</v>
      </c>
      <c r="E1025" s="13">
        <f>VALUE(TRIM(Dataset!E1025))</f>
        <v>5</v>
      </c>
      <c r="F1025" s="10">
        <f>VALUE(TRIM(Dataset!F1025))</f>
        <v>233.67</v>
      </c>
      <c r="G1025" s="6" t="str">
        <f>TRIM(Dataset!G1025)</f>
        <v>291 Main St</v>
      </c>
      <c r="H1025" s="6" t="str">
        <f>TRIM(Dataset!H1025)</f>
        <v>Cash</v>
      </c>
      <c r="I1025" s="6" t="str">
        <f>TRIM(Dataset!I1025)</f>
        <v>Shipped</v>
      </c>
      <c r="J1025" s="6" t="str">
        <f>TRIM(Dataset!J1025)</f>
        <v>TRK32059025</v>
      </c>
      <c r="K1025" s="8" t="str">
        <f>TRIM(Dataset!K1025)</f>
        <v>10</v>
      </c>
      <c r="L1025" s="6" t="s">
        <v>4284</v>
      </c>
      <c r="M1025" s="6" t="str">
        <f>TRIM(Dataset!M1025)</f>
        <v>Referral</v>
      </c>
      <c r="N1025" s="10">
        <f>VALUE(TRIM(Dataset!N1025))</f>
        <v>1168.3499999999999</v>
      </c>
    </row>
    <row r="1026" spans="1:14" x14ac:dyDescent="0.35">
      <c r="A1026" s="6" t="str">
        <f>TRIM(Dataset!A1026)</f>
        <v>ORD201024</v>
      </c>
      <c r="B1026" s="4">
        <f>Dataset!B1026</f>
        <v>45320</v>
      </c>
      <c r="C1026" s="6" t="str">
        <f>TRIM(Dataset!C1026)</f>
        <v>C90612</v>
      </c>
      <c r="D1026" s="6" t="str">
        <f>TRIM(Dataset!D1026)</f>
        <v>Chair</v>
      </c>
      <c r="E1026" s="13">
        <f>VALUE(TRIM(Dataset!E1026))</f>
        <v>3</v>
      </c>
      <c r="F1026" s="10">
        <f>VALUE(TRIM(Dataset!F1026))</f>
        <v>367.75</v>
      </c>
      <c r="G1026" s="6" t="str">
        <f>TRIM(Dataset!G1026)</f>
        <v>731 Main St</v>
      </c>
      <c r="H1026" s="6" t="str">
        <f>TRIM(Dataset!H1026)</f>
        <v>Cash</v>
      </c>
      <c r="I1026" s="6" t="str">
        <f>TRIM(Dataset!I1026)</f>
        <v>Pending</v>
      </c>
      <c r="J1026" s="6" t="str">
        <f>TRIM(Dataset!J1026)</f>
        <v>TRK93022878</v>
      </c>
      <c r="K1026" s="8" t="str">
        <f>TRIM(Dataset!K1026)</f>
        <v>7</v>
      </c>
      <c r="L1026" s="6" t="str">
        <f>Dataset!L1026</f>
        <v>FREESHIP</v>
      </c>
      <c r="M1026" s="6" t="str">
        <f>TRIM(Dataset!M1026)</f>
        <v>Facebook</v>
      </c>
      <c r="N1026" s="10">
        <f>VALUE(TRIM(Dataset!N1026))</f>
        <v>1103.25</v>
      </c>
    </row>
    <row r="1027" spans="1:14" x14ac:dyDescent="0.35">
      <c r="A1027" s="6" t="str">
        <f>TRIM(Dataset!A1027)</f>
        <v>ORD201025</v>
      </c>
      <c r="B1027" s="4">
        <f>Dataset!B1027</f>
        <v>45794</v>
      </c>
      <c r="C1027" s="6" t="str">
        <f>TRIM(Dataset!C1027)</f>
        <v>C28406</v>
      </c>
      <c r="D1027" s="6" t="str">
        <f>TRIM(Dataset!D1027)</f>
        <v>Chair</v>
      </c>
      <c r="E1027" s="13">
        <f>VALUE(TRIM(Dataset!E1027))</f>
        <v>1</v>
      </c>
      <c r="F1027" s="10">
        <f>VALUE(TRIM(Dataset!F1027))</f>
        <v>23.53</v>
      </c>
      <c r="G1027" s="6" t="str">
        <f>TRIM(Dataset!G1027)</f>
        <v>174 Main St</v>
      </c>
      <c r="H1027" s="6" t="str">
        <f>TRIM(Dataset!H1027)</f>
        <v>Gift Card</v>
      </c>
      <c r="I1027" s="6" t="str">
        <f>TRIM(Dataset!I1027)</f>
        <v>Delivered</v>
      </c>
      <c r="J1027" s="6" t="str">
        <f>TRIM(Dataset!J1027)</f>
        <v>TRK98841457</v>
      </c>
      <c r="K1027" s="8" t="str">
        <f>TRIM(Dataset!K1027)</f>
        <v>2</v>
      </c>
      <c r="L1027" s="6" t="str">
        <f>Dataset!L1027</f>
        <v>FREESHIP</v>
      </c>
      <c r="M1027" s="6" t="str">
        <f>TRIM(Dataset!M1027)</f>
        <v>Instagram</v>
      </c>
      <c r="N1027" s="10">
        <f>VALUE(TRIM(Dataset!N1027))</f>
        <v>23.53</v>
      </c>
    </row>
    <row r="1028" spans="1:14" x14ac:dyDescent="0.35">
      <c r="A1028" s="6" t="str">
        <f>TRIM(Dataset!A1028)</f>
        <v>ORD201026</v>
      </c>
      <c r="B1028" s="4">
        <f>Dataset!B1028</f>
        <v>45047</v>
      </c>
      <c r="C1028" s="6" t="str">
        <f>TRIM(Dataset!C1028)</f>
        <v>C55454</v>
      </c>
      <c r="D1028" s="6" t="str">
        <f>TRIM(Dataset!D1028)</f>
        <v>Monitor</v>
      </c>
      <c r="E1028" s="13">
        <f>VALUE(TRIM(Dataset!E1028))</f>
        <v>1</v>
      </c>
      <c r="F1028" s="10">
        <f>VALUE(TRIM(Dataset!F1028))</f>
        <v>677.48</v>
      </c>
      <c r="G1028" s="6" t="str">
        <f>TRIM(Dataset!G1028)</f>
        <v>807 Main St</v>
      </c>
      <c r="H1028" s="6" t="str">
        <f>TRIM(Dataset!H1028)</f>
        <v>Online</v>
      </c>
      <c r="I1028" s="6" t="str">
        <f>TRIM(Dataset!I1028)</f>
        <v>Delivered</v>
      </c>
      <c r="J1028" s="6" t="str">
        <f>TRIM(Dataset!J1028)</f>
        <v>TRK13281370</v>
      </c>
      <c r="K1028" s="8" t="str">
        <f>TRIM(Dataset!K1028)</f>
        <v>1</v>
      </c>
      <c r="L1028" s="6" t="str">
        <f>Dataset!L1028</f>
        <v>WINTER15</v>
      </c>
      <c r="M1028" s="6" t="str">
        <f>TRIM(Dataset!M1028)</f>
        <v>Facebook</v>
      </c>
      <c r="N1028" s="10">
        <f>VALUE(TRIM(Dataset!N1028))</f>
        <v>677.48</v>
      </c>
    </row>
    <row r="1029" spans="1:14" x14ac:dyDescent="0.35">
      <c r="A1029" s="6" t="str">
        <f>TRIM(Dataset!A1029)</f>
        <v>ORD201027</v>
      </c>
      <c r="B1029" s="4">
        <f>Dataset!B1029</f>
        <v>45433</v>
      </c>
      <c r="C1029" s="6" t="str">
        <f>TRIM(Dataset!C1029)</f>
        <v>C93467</v>
      </c>
      <c r="D1029" s="6" t="str">
        <f>TRIM(Dataset!D1029)</f>
        <v>Laptop</v>
      </c>
      <c r="E1029" s="13">
        <f>VALUE(TRIM(Dataset!E1029))</f>
        <v>4</v>
      </c>
      <c r="F1029" s="10">
        <f>VALUE(TRIM(Dataset!F1029))</f>
        <v>554.83000000000004</v>
      </c>
      <c r="G1029" s="6" t="str">
        <f>TRIM(Dataset!G1029)</f>
        <v>983 Main St</v>
      </c>
      <c r="H1029" s="6" t="str">
        <f>TRIM(Dataset!H1029)</f>
        <v>Cash</v>
      </c>
      <c r="I1029" s="6" t="str">
        <f>TRIM(Dataset!I1029)</f>
        <v>Returned</v>
      </c>
      <c r="J1029" s="6" t="str">
        <f>TRIM(Dataset!J1029)</f>
        <v>TRK77377373</v>
      </c>
      <c r="K1029" s="8" t="str">
        <f>TRIM(Dataset!K1029)</f>
        <v>6</v>
      </c>
      <c r="L1029" s="6" t="s">
        <v>4284</v>
      </c>
      <c r="M1029" s="6" t="str">
        <f>TRIM(Dataset!M1029)</f>
        <v>Google</v>
      </c>
      <c r="N1029" s="10">
        <f>VALUE(TRIM(Dataset!N1029))</f>
        <v>2219.3200000000002</v>
      </c>
    </row>
    <row r="1030" spans="1:14" x14ac:dyDescent="0.35">
      <c r="A1030" s="6" t="str">
        <f>TRIM(Dataset!A1030)</f>
        <v>ORD201028</v>
      </c>
      <c r="B1030" s="4">
        <f>Dataset!B1030</f>
        <v>44974</v>
      </c>
      <c r="C1030" s="6" t="str">
        <f>TRIM(Dataset!C1030)</f>
        <v>C60042</v>
      </c>
      <c r="D1030" s="6" t="str">
        <f>TRIM(Dataset!D1030)</f>
        <v>Desk</v>
      </c>
      <c r="E1030" s="13">
        <f>VALUE(TRIM(Dataset!E1030))</f>
        <v>4</v>
      </c>
      <c r="F1030" s="10">
        <f>VALUE(TRIM(Dataset!F1030))</f>
        <v>440.31</v>
      </c>
      <c r="G1030" s="6" t="str">
        <f>TRIM(Dataset!G1030)</f>
        <v>610 Main St</v>
      </c>
      <c r="H1030" s="6" t="str">
        <f>TRIM(Dataset!H1030)</f>
        <v>Cash</v>
      </c>
      <c r="I1030" s="6" t="str">
        <f>TRIM(Dataset!I1030)</f>
        <v>Cancelled</v>
      </c>
      <c r="J1030" s="6" t="str">
        <f>TRIM(Dataset!J1030)</f>
        <v>TRK84651559</v>
      </c>
      <c r="K1030" s="8" t="str">
        <f>TRIM(Dataset!K1030)</f>
        <v>6</v>
      </c>
      <c r="L1030" s="6" t="s">
        <v>4284</v>
      </c>
      <c r="M1030" s="6" t="str">
        <f>TRIM(Dataset!M1030)</f>
        <v>Instagram</v>
      </c>
      <c r="N1030" s="10">
        <f>VALUE(TRIM(Dataset!N1030))</f>
        <v>1761.24</v>
      </c>
    </row>
    <row r="1031" spans="1:14" x14ac:dyDescent="0.35">
      <c r="A1031" s="6" t="str">
        <f>TRIM(Dataset!A1031)</f>
        <v>ORD201029</v>
      </c>
      <c r="B1031" s="4">
        <f>Dataset!B1031</f>
        <v>45717</v>
      </c>
      <c r="C1031" s="6" t="str">
        <f>TRIM(Dataset!C1031)</f>
        <v>C44733</v>
      </c>
      <c r="D1031" s="6" t="str">
        <f>TRIM(Dataset!D1031)</f>
        <v>Desk</v>
      </c>
      <c r="E1031" s="13">
        <f>VALUE(TRIM(Dataset!E1031))</f>
        <v>1</v>
      </c>
      <c r="F1031" s="10">
        <f>VALUE(TRIM(Dataset!F1031))</f>
        <v>87.06</v>
      </c>
      <c r="G1031" s="6" t="str">
        <f>TRIM(Dataset!G1031)</f>
        <v>851 Main St</v>
      </c>
      <c r="H1031" s="6" t="str">
        <f>TRIM(Dataset!H1031)</f>
        <v>Credit Card</v>
      </c>
      <c r="I1031" s="6" t="str">
        <f>TRIM(Dataset!I1031)</f>
        <v>Shipped</v>
      </c>
      <c r="J1031" s="6" t="str">
        <f>TRIM(Dataset!J1031)</f>
        <v>TRK41500198</v>
      </c>
      <c r="K1031" s="8" t="str">
        <f>TRIM(Dataset!K1031)</f>
        <v>4</v>
      </c>
      <c r="L1031" s="6" t="str">
        <f>Dataset!L1031</f>
        <v>FREESHIP</v>
      </c>
      <c r="M1031" s="6" t="str">
        <f>TRIM(Dataset!M1031)</f>
        <v>Email</v>
      </c>
      <c r="N1031" s="10">
        <f>VALUE(TRIM(Dataset!N1031))</f>
        <v>87.06</v>
      </c>
    </row>
    <row r="1032" spans="1:14" x14ac:dyDescent="0.35">
      <c r="A1032" s="6" t="str">
        <f>TRIM(Dataset!A1032)</f>
        <v>ORD201030</v>
      </c>
      <c r="B1032" s="4">
        <f>Dataset!B1032</f>
        <v>45201</v>
      </c>
      <c r="C1032" s="6" t="str">
        <f>TRIM(Dataset!C1032)</f>
        <v>C61773</v>
      </c>
      <c r="D1032" s="6" t="str">
        <f>TRIM(Dataset!D1032)</f>
        <v>Phone</v>
      </c>
      <c r="E1032" s="13">
        <f>VALUE(TRIM(Dataset!E1032))</f>
        <v>4</v>
      </c>
      <c r="F1032" s="10">
        <f>VALUE(TRIM(Dataset!F1032))</f>
        <v>245.28</v>
      </c>
      <c r="G1032" s="6" t="str">
        <f>TRIM(Dataset!G1032)</f>
        <v>176 Main St</v>
      </c>
      <c r="H1032" s="6" t="str">
        <f>TRIM(Dataset!H1032)</f>
        <v>Credit Card</v>
      </c>
      <c r="I1032" s="6" t="str">
        <f>TRIM(Dataset!I1032)</f>
        <v>Delivered</v>
      </c>
      <c r="J1032" s="6" t="str">
        <f>TRIM(Dataset!J1032)</f>
        <v>TRK12936357</v>
      </c>
      <c r="K1032" s="8" t="str">
        <f>TRIM(Dataset!K1032)</f>
        <v>6</v>
      </c>
      <c r="L1032" s="6" t="str">
        <f>Dataset!L1032</f>
        <v>WINTER15</v>
      </c>
      <c r="M1032" s="6" t="str">
        <f>TRIM(Dataset!M1032)</f>
        <v>Email</v>
      </c>
      <c r="N1032" s="10">
        <f>VALUE(TRIM(Dataset!N1032))</f>
        <v>981.12</v>
      </c>
    </row>
    <row r="1033" spans="1:14" x14ac:dyDescent="0.35">
      <c r="A1033" s="6" t="str">
        <f>TRIM(Dataset!A1033)</f>
        <v>ORD201031</v>
      </c>
      <c r="B1033" s="4">
        <f>Dataset!B1033</f>
        <v>44985</v>
      </c>
      <c r="C1033" s="6" t="str">
        <f>TRIM(Dataset!C1033)</f>
        <v>C59183</v>
      </c>
      <c r="D1033" s="6" t="str">
        <f>TRIM(Dataset!D1033)</f>
        <v>Phone</v>
      </c>
      <c r="E1033" s="13">
        <f>VALUE(TRIM(Dataset!E1033))</f>
        <v>5</v>
      </c>
      <c r="F1033" s="10">
        <f>VALUE(TRIM(Dataset!F1033))</f>
        <v>664.51</v>
      </c>
      <c r="G1033" s="6" t="str">
        <f>TRIM(Dataset!G1033)</f>
        <v>136 Main St</v>
      </c>
      <c r="H1033" s="6" t="str">
        <f>TRIM(Dataset!H1033)</f>
        <v>Debit Card</v>
      </c>
      <c r="I1033" s="6" t="str">
        <f>TRIM(Dataset!I1033)</f>
        <v>Pending</v>
      </c>
      <c r="J1033" s="6" t="str">
        <f>TRIM(Dataset!J1033)</f>
        <v>TRK18129706</v>
      </c>
      <c r="K1033" s="8" t="str">
        <f>TRIM(Dataset!K1033)</f>
        <v>8</v>
      </c>
      <c r="L1033" s="6" t="str">
        <f>Dataset!L1033</f>
        <v>SAVE10</v>
      </c>
      <c r="M1033" s="6" t="str">
        <f>TRIM(Dataset!M1033)</f>
        <v>Email</v>
      </c>
      <c r="N1033" s="10">
        <f>VALUE(TRIM(Dataset!N1033))</f>
        <v>3322.55</v>
      </c>
    </row>
    <row r="1034" spans="1:14" x14ac:dyDescent="0.35">
      <c r="A1034" s="6" t="str">
        <f>TRIM(Dataset!A1034)</f>
        <v>ORD201032</v>
      </c>
      <c r="B1034" s="4">
        <f>Dataset!B1034</f>
        <v>45036</v>
      </c>
      <c r="C1034" s="6" t="str">
        <f>TRIM(Dataset!C1034)</f>
        <v>C26188</v>
      </c>
      <c r="D1034" s="6" t="str">
        <f>TRIM(Dataset!D1034)</f>
        <v>Chair</v>
      </c>
      <c r="E1034" s="13">
        <f>VALUE(TRIM(Dataset!E1034))</f>
        <v>1</v>
      </c>
      <c r="F1034" s="10">
        <f>VALUE(TRIM(Dataset!F1034))</f>
        <v>618.67999999999995</v>
      </c>
      <c r="G1034" s="6" t="str">
        <f>TRIM(Dataset!G1034)</f>
        <v>990 Main St</v>
      </c>
      <c r="H1034" s="6" t="str">
        <f>TRIM(Dataset!H1034)</f>
        <v>Online</v>
      </c>
      <c r="I1034" s="6" t="str">
        <f>TRIM(Dataset!I1034)</f>
        <v>Delivered</v>
      </c>
      <c r="J1034" s="6" t="str">
        <f>TRIM(Dataset!J1034)</f>
        <v>TRK61634201</v>
      </c>
      <c r="K1034" s="8" t="str">
        <f>TRIM(Dataset!K1034)</f>
        <v>6</v>
      </c>
      <c r="L1034" s="6" t="str">
        <f>Dataset!L1034</f>
        <v>WINTER15</v>
      </c>
      <c r="M1034" s="6" t="str">
        <f>TRIM(Dataset!M1034)</f>
        <v>Referral</v>
      </c>
      <c r="N1034" s="10">
        <f>VALUE(TRIM(Dataset!N1034))</f>
        <v>618.67999999999995</v>
      </c>
    </row>
    <row r="1035" spans="1:14" x14ac:dyDescent="0.35">
      <c r="A1035" s="6" t="str">
        <f>TRIM(Dataset!A1035)</f>
        <v>ORD201033</v>
      </c>
      <c r="B1035" s="4">
        <f>Dataset!B1035</f>
        <v>45650</v>
      </c>
      <c r="C1035" s="6" t="str">
        <f>TRIM(Dataset!C1035)</f>
        <v>C20338</v>
      </c>
      <c r="D1035" s="6" t="str">
        <f>TRIM(Dataset!D1035)</f>
        <v>Monitor</v>
      </c>
      <c r="E1035" s="13">
        <f>VALUE(TRIM(Dataset!E1035))</f>
        <v>1</v>
      </c>
      <c r="F1035" s="10">
        <f>VALUE(TRIM(Dataset!F1035))</f>
        <v>370.85</v>
      </c>
      <c r="G1035" s="6" t="str">
        <f>TRIM(Dataset!G1035)</f>
        <v>331 Main St</v>
      </c>
      <c r="H1035" s="6" t="str">
        <f>TRIM(Dataset!H1035)</f>
        <v>Gift Card</v>
      </c>
      <c r="I1035" s="6" t="str">
        <f>TRIM(Dataset!I1035)</f>
        <v>Delivered</v>
      </c>
      <c r="J1035" s="6" t="str">
        <f>TRIM(Dataset!J1035)</f>
        <v>TRK30654048</v>
      </c>
      <c r="K1035" s="8" t="str">
        <f>TRIM(Dataset!K1035)</f>
        <v>2</v>
      </c>
      <c r="L1035" s="6" t="str">
        <f>Dataset!L1035</f>
        <v>FREESHIP</v>
      </c>
      <c r="M1035" s="6" t="str">
        <f>TRIM(Dataset!M1035)</f>
        <v>Referral</v>
      </c>
      <c r="N1035" s="10">
        <f>VALUE(TRIM(Dataset!N1035))</f>
        <v>370.85</v>
      </c>
    </row>
    <row r="1036" spans="1:14" x14ac:dyDescent="0.35">
      <c r="A1036" s="6" t="str">
        <f>TRIM(Dataset!A1036)</f>
        <v>ORD201034</v>
      </c>
      <c r="B1036" s="4">
        <f>Dataset!B1036</f>
        <v>45459</v>
      </c>
      <c r="C1036" s="6" t="str">
        <f>TRIM(Dataset!C1036)</f>
        <v>C84524</v>
      </c>
      <c r="D1036" s="6" t="str">
        <f>TRIM(Dataset!D1036)</f>
        <v>Printer</v>
      </c>
      <c r="E1036" s="13">
        <f>VALUE(TRIM(Dataset!E1036))</f>
        <v>4</v>
      </c>
      <c r="F1036" s="10">
        <f>VALUE(TRIM(Dataset!F1036))</f>
        <v>517.98</v>
      </c>
      <c r="G1036" s="6" t="str">
        <f>TRIM(Dataset!G1036)</f>
        <v>766 Main St</v>
      </c>
      <c r="H1036" s="6" t="str">
        <f>TRIM(Dataset!H1036)</f>
        <v>Cash</v>
      </c>
      <c r="I1036" s="6" t="str">
        <f>TRIM(Dataset!I1036)</f>
        <v>Cancelled</v>
      </c>
      <c r="J1036" s="6" t="str">
        <f>TRIM(Dataset!J1036)</f>
        <v>TRK76751888</v>
      </c>
      <c r="K1036" s="8" t="str">
        <f>TRIM(Dataset!K1036)</f>
        <v>8</v>
      </c>
      <c r="L1036" s="6" t="str">
        <f>Dataset!L1036</f>
        <v>FREESHIP</v>
      </c>
      <c r="M1036" s="6" t="str">
        <f>TRIM(Dataset!M1036)</f>
        <v>Facebook</v>
      </c>
      <c r="N1036" s="10">
        <f>VALUE(TRIM(Dataset!N1036))</f>
        <v>2071.92</v>
      </c>
    </row>
    <row r="1037" spans="1:14" x14ac:dyDescent="0.35">
      <c r="A1037" s="6" t="str">
        <f>TRIM(Dataset!A1037)</f>
        <v>ORD201035</v>
      </c>
      <c r="B1037" s="4">
        <f>Dataset!B1037</f>
        <v>45242</v>
      </c>
      <c r="C1037" s="6" t="str">
        <f>TRIM(Dataset!C1037)</f>
        <v>C70315</v>
      </c>
      <c r="D1037" s="6" t="str">
        <f>TRIM(Dataset!D1037)</f>
        <v>Laptop</v>
      </c>
      <c r="E1037" s="13">
        <f>VALUE(TRIM(Dataset!E1037))</f>
        <v>4</v>
      </c>
      <c r="F1037" s="10">
        <f>VALUE(TRIM(Dataset!F1037))</f>
        <v>506.11</v>
      </c>
      <c r="G1037" s="6" t="str">
        <f>TRIM(Dataset!G1037)</f>
        <v>911 Main St</v>
      </c>
      <c r="H1037" s="6" t="str">
        <f>TRIM(Dataset!H1037)</f>
        <v>Cash</v>
      </c>
      <c r="I1037" s="6" t="str">
        <f>TRIM(Dataset!I1037)</f>
        <v>Cancelled</v>
      </c>
      <c r="J1037" s="6" t="str">
        <f>TRIM(Dataset!J1037)</f>
        <v>TRK97732085</v>
      </c>
      <c r="K1037" s="8" t="str">
        <f>TRIM(Dataset!K1037)</f>
        <v>5</v>
      </c>
      <c r="L1037" s="6" t="s">
        <v>4284</v>
      </c>
      <c r="M1037" s="6" t="str">
        <f>TRIM(Dataset!M1037)</f>
        <v>Referral</v>
      </c>
      <c r="N1037" s="10">
        <f>VALUE(TRIM(Dataset!N1037))</f>
        <v>2024.44</v>
      </c>
    </row>
    <row r="1038" spans="1:14" x14ac:dyDescent="0.35">
      <c r="A1038" s="6" t="str">
        <f>TRIM(Dataset!A1038)</f>
        <v>ORD201036</v>
      </c>
      <c r="B1038" s="4">
        <f>Dataset!B1038</f>
        <v>45443</v>
      </c>
      <c r="C1038" s="6" t="str">
        <f>TRIM(Dataset!C1038)</f>
        <v>C98278</v>
      </c>
      <c r="D1038" s="6" t="str">
        <f>TRIM(Dataset!D1038)</f>
        <v>Phone</v>
      </c>
      <c r="E1038" s="13">
        <f>VALUE(TRIM(Dataset!E1038))</f>
        <v>3</v>
      </c>
      <c r="F1038" s="10">
        <f>VALUE(TRIM(Dataset!F1038))</f>
        <v>413.83</v>
      </c>
      <c r="G1038" s="6" t="str">
        <f>TRIM(Dataset!G1038)</f>
        <v>552 Main St</v>
      </c>
      <c r="H1038" s="6" t="str">
        <f>TRIM(Dataset!H1038)</f>
        <v>Gift Card</v>
      </c>
      <c r="I1038" s="6" t="str">
        <f>TRIM(Dataset!I1038)</f>
        <v>Shipped</v>
      </c>
      <c r="J1038" s="6" t="str">
        <f>TRIM(Dataset!J1038)</f>
        <v>TRK49684737</v>
      </c>
      <c r="K1038" s="8" t="str">
        <f>TRIM(Dataset!K1038)</f>
        <v>8</v>
      </c>
      <c r="L1038" s="6" t="str">
        <f>Dataset!L1038</f>
        <v>SAVE10</v>
      </c>
      <c r="M1038" s="6" t="str">
        <f>TRIM(Dataset!M1038)</f>
        <v>Facebook</v>
      </c>
      <c r="N1038" s="10">
        <f>VALUE(TRIM(Dataset!N1038))</f>
        <v>1241.49</v>
      </c>
    </row>
    <row r="1039" spans="1:14" x14ac:dyDescent="0.35">
      <c r="A1039" s="6" t="str">
        <f>TRIM(Dataset!A1039)</f>
        <v>ORD201037</v>
      </c>
      <c r="B1039" s="4">
        <f>Dataset!B1039</f>
        <v>45273</v>
      </c>
      <c r="C1039" s="6" t="str">
        <f>TRIM(Dataset!C1039)</f>
        <v>C32347</v>
      </c>
      <c r="D1039" s="6" t="str">
        <f>TRIM(Dataset!D1039)</f>
        <v>Printer</v>
      </c>
      <c r="E1039" s="13">
        <f>VALUE(TRIM(Dataset!E1039))</f>
        <v>1</v>
      </c>
      <c r="F1039" s="10">
        <f>VALUE(TRIM(Dataset!F1039))</f>
        <v>249.81</v>
      </c>
      <c r="G1039" s="6" t="str">
        <f>TRIM(Dataset!G1039)</f>
        <v>408 Main St</v>
      </c>
      <c r="H1039" s="6" t="str">
        <f>TRIM(Dataset!H1039)</f>
        <v>Cash</v>
      </c>
      <c r="I1039" s="6" t="str">
        <f>TRIM(Dataset!I1039)</f>
        <v>Pending</v>
      </c>
      <c r="J1039" s="6" t="str">
        <f>TRIM(Dataset!J1039)</f>
        <v>TRK54073964</v>
      </c>
      <c r="K1039" s="8" t="str">
        <f>TRIM(Dataset!K1039)</f>
        <v>1</v>
      </c>
      <c r="L1039" s="6" t="str">
        <f>Dataset!L1039</f>
        <v>SAVE10</v>
      </c>
      <c r="M1039" s="6" t="str">
        <f>TRIM(Dataset!M1039)</f>
        <v>Google</v>
      </c>
      <c r="N1039" s="10">
        <f>VALUE(TRIM(Dataset!N1039))</f>
        <v>249.81</v>
      </c>
    </row>
    <row r="1040" spans="1:14" x14ac:dyDescent="0.35">
      <c r="A1040" s="6" t="str">
        <f>TRIM(Dataset!A1040)</f>
        <v>ORD201038</v>
      </c>
      <c r="B1040" s="4">
        <f>Dataset!B1040</f>
        <v>45731</v>
      </c>
      <c r="C1040" s="6" t="str">
        <f>TRIM(Dataset!C1040)</f>
        <v>C77961</v>
      </c>
      <c r="D1040" s="6" t="str">
        <f>TRIM(Dataset!D1040)</f>
        <v>Tablet</v>
      </c>
      <c r="E1040" s="13">
        <f>VALUE(TRIM(Dataset!E1040))</f>
        <v>3</v>
      </c>
      <c r="F1040" s="10">
        <f>VALUE(TRIM(Dataset!F1040))</f>
        <v>362.53</v>
      </c>
      <c r="G1040" s="6" t="str">
        <f>TRIM(Dataset!G1040)</f>
        <v>422 Main St</v>
      </c>
      <c r="H1040" s="6" t="str">
        <f>TRIM(Dataset!H1040)</f>
        <v>Debit Card</v>
      </c>
      <c r="I1040" s="6" t="str">
        <f>TRIM(Dataset!I1040)</f>
        <v>Returned</v>
      </c>
      <c r="J1040" s="6" t="str">
        <f>TRIM(Dataset!J1040)</f>
        <v>TRK28969024</v>
      </c>
      <c r="K1040" s="8" t="str">
        <f>TRIM(Dataset!K1040)</f>
        <v>5</v>
      </c>
      <c r="L1040" s="6" t="s">
        <v>4284</v>
      </c>
      <c r="M1040" s="6" t="str">
        <f>TRIM(Dataset!M1040)</f>
        <v>Facebook</v>
      </c>
      <c r="N1040" s="10">
        <f>VALUE(TRIM(Dataset!N1040))</f>
        <v>1087.5899999999999</v>
      </c>
    </row>
    <row r="1041" spans="1:14" x14ac:dyDescent="0.35">
      <c r="A1041" s="6" t="str">
        <f>TRIM(Dataset!A1041)</f>
        <v>ORD201039</v>
      </c>
      <c r="B1041" s="4">
        <f>Dataset!B1041</f>
        <v>45836</v>
      </c>
      <c r="C1041" s="6" t="str">
        <f>TRIM(Dataset!C1041)</f>
        <v>C49137</v>
      </c>
      <c r="D1041" s="6" t="str">
        <f>TRIM(Dataset!D1041)</f>
        <v>Desk</v>
      </c>
      <c r="E1041" s="13">
        <f>VALUE(TRIM(Dataset!E1041))</f>
        <v>2</v>
      </c>
      <c r="F1041" s="10">
        <f>VALUE(TRIM(Dataset!F1041))</f>
        <v>299.23</v>
      </c>
      <c r="G1041" s="6" t="str">
        <f>TRIM(Dataset!G1041)</f>
        <v>177 Main St</v>
      </c>
      <c r="H1041" s="6" t="str">
        <f>TRIM(Dataset!H1041)</f>
        <v>Credit Card</v>
      </c>
      <c r="I1041" s="6" t="str">
        <f>TRIM(Dataset!I1041)</f>
        <v>Cancelled</v>
      </c>
      <c r="J1041" s="6" t="str">
        <f>TRIM(Dataset!J1041)</f>
        <v>TRK79362428</v>
      </c>
      <c r="K1041" s="8" t="str">
        <f>TRIM(Dataset!K1041)</f>
        <v>2</v>
      </c>
      <c r="L1041" s="6" t="str">
        <f>Dataset!L1041</f>
        <v>WINTER15</v>
      </c>
      <c r="M1041" s="6" t="str">
        <f>TRIM(Dataset!M1041)</f>
        <v>Instagram</v>
      </c>
      <c r="N1041" s="10">
        <f>VALUE(TRIM(Dataset!N1041))</f>
        <v>598.46</v>
      </c>
    </row>
    <row r="1042" spans="1:14" x14ac:dyDescent="0.35">
      <c r="A1042" s="6" t="str">
        <f>TRIM(Dataset!A1042)</f>
        <v>ORD201040</v>
      </c>
      <c r="B1042" s="4">
        <f>Dataset!B1042</f>
        <v>45245</v>
      </c>
      <c r="C1042" s="6" t="str">
        <f>TRIM(Dataset!C1042)</f>
        <v>C13169</v>
      </c>
      <c r="D1042" s="6" t="str">
        <f>TRIM(Dataset!D1042)</f>
        <v>Tablet</v>
      </c>
      <c r="E1042" s="13">
        <f>VALUE(TRIM(Dataset!E1042))</f>
        <v>1</v>
      </c>
      <c r="F1042" s="10">
        <f>VALUE(TRIM(Dataset!F1042))</f>
        <v>536.07000000000005</v>
      </c>
      <c r="G1042" s="6" t="str">
        <f>TRIM(Dataset!G1042)</f>
        <v>932 Main St</v>
      </c>
      <c r="H1042" s="6" t="str">
        <f>TRIM(Dataset!H1042)</f>
        <v>Debit Card</v>
      </c>
      <c r="I1042" s="6" t="str">
        <f>TRIM(Dataset!I1042)</f>
        <v>Delivered</v>
      </c>
      <c r="J1042" s="6" t="str">
        <f>TRIM(Dataset!J1042)</f>
        <v>TRK66288666</v>
      </c>
      <c r="K1042" s="8" t="str">
        <f>TRIM(Dataset!K1042)</f>
        <v>5</v>
      </c>
      <c r="L1042" s="6" t="str">
        <f>Dataset!L1042</f>
        <v>FREESHIP</v>
      </c>
      <c r="M1042" s="6" t="str">
        <f>TRIM(Dataset!M1042)</f>
        <v>Google</v>
      </c>
      <c r="N1042" s="10">
        <f>VALUE(TRIM(Dataset!N1042))</f>
        <v>536.07000000000005</v>
      </c>
    </row>
    <row r="1043" spans="1:14" x14ac:dyDescent="0.35">
      <c r="A1043" s="6" t="str">
        <f>TRIM(Dataset!A1043)</f>
        <v>ORD201041</v>
      </c>
      <c r="B1043" s="4">
        <f>Dataset!B1043</f>
        <v>44968</v>
      </c>
      <c r="C1043" s="6" t="str">
        <f>TRIM(Dataset!C1043)</f>
        <v>C21167</v>
      </c>
      <c r="D1043" s="6" t="str">
        <f>TRIM(Dataset!D1043)</f>
        <v>Monitor</v>
      </c>
      <c r="E1043" s="13">
        <f>VALUE(TRIM(Dataset!E1043))</f>
        <v>4</v>
      </c>
      <c r="F1043" s="10">
        <f>VALUE(TRIM(Dataset!F1043))</f>
        <v>558.9</v>
      </c>
      <c r="G1043" s="6" t="str">
        <f>TRIM(Dataset!G1043)</f>
        <v>948 Main St</v>
      </c>
      <c r="H1043" s="6" t="str">
        <f>TRIM(Dataset!H1043)</f>
        <v>Gift Card</v>
      </c>
      <c r="I1043" s="6" t="str">
        <f>TRIM(Dataset!I1043)</f>
        <v>Shipped</v>
      </c>
      <c r="J1043" s="6" t="str">
        <f>TRIM(Dataset!J1043)</f>
        <v>TRK97737564</v>
      </c>
      <c r="K1043" s="8" t="str">
        <f>TRIM(Dataset!K1043)</f>
        <v>9</v>
      </c>
      <c r="L1043" s="6" t="str">
        <f>Dataset!L1043</f>
        <v>WINTER15</v>
      </c>
      <c r="M1043" s="6" t="str">
        <f>TRIM(Dataset!M1043)</f>
        <v>Google</v>
      </c>
      <c r="N1043" s="10">
        <f>VALUE(TRIM(Dataset!N1043))</f>
        <v>2235.6</v>
      </c>
    </row>
    <row r="1044" spans="1:14" x14ac:dyDescent="0.35">
      <c r="A1044" s="6" t="str">
        <f>TRIM(Dataset!A1044)</f>
        <v>ORD201042</v>
      </c>
      <c r="B1044" s="4">
        <f>Dataset!B1044</f>
        <v>45635</v>
      </c>
      <c r="C1044" s="6" t="str">
        <f>TRIM(Dataset!C1044)</f>
        <v>C59724</v>
      </c>
      <c r="D1044" s="6" t="str">
        <f>TRIM(Dataset!D1044)</f>
        <v>Tablet</v>
      </c>
      <c r="E1044" s="13">
        <f>VALUE(TRIM(Dataset!E1044))</f>
        <v>2</v>
      </c>
      <c r="F1044" s="10">
        <f>VALUE(TRIM(Dataset!F1044))</f>
        <v>409.75</v>
      </c>
      <c r="G1044" s="6" t="str">
        <f>TRIM(Dataset!G1044)</f>
        <v>414 Main St</v>
      </c>
      <c r="H1044" s="6" t="str">
        <f>TRIM(Dataset!H1044)</f>
        <v>Debit Card</v>
      </c>
      <c r="I1044" s="6" t="str">
        <f>TRIM(Dataset!I1044)</f>
        <v>Shipped</v>
      </c>
      <c r="J1044" s="6" t="str">
        <f>TRIM(Dataset!J1044)</f>
        <v>TRK67878272</v>
      </c>
      <c r="K1044" s="8" t="str">
        <f>TRIM(Dataset!K1044)</f>
        <v>2</v>
      </c>
      <c r="L1044" s="6" t="str">
        <f>Dataset!L1044</f>
        <v>WINTER15</v>
      </c>
      <c r="M1044" s="6" t="str">
        <f>TRIM(Dataset!M1044)</f>
        <v>Facebook</v>
      </c>
      <c r="N1044" s="10">
        <f>VALUE(TRIM(Dataset!N1044))</f>
        <v>819.5</v>
      </c>
    </row>
    <row r="1045" spans="1:14" x14ac:dyDescent="0.35">
      <c r="A1045" s="6" t="str">
        <f>TRIM(Dataset!A1045)</f>
        <v>ORD201043</v>
      </c>
      <c r="B1045" s="4">
        <f>Dataset!B1045</f>
        <v>45668</v>
      </c>
      <c r="C1045" s="6" t="str">
        <f>TRIM(Dataset!C1045)</f>
        <v>C43965</v>
      </c>
      <c r="D1045" s="6" t="str">
        <f>TRIM(Dataset!D1045)</f>
        <v>Tablet</v>
      </c>
      <c r="E1045" s="13">
        <f>VALUE(TRIM(Dataset!E1045))</f>
        <v>2</v>
      </c>
      <c r="F1045" s="10">
        <f>VALUE(TRIM(Dataset!F1045))</f>
        <v>179.96</v>
      </c>
      <c r="G1045" s="6" t="str">
        <f>TRIM(Dataset!G1045)</f>
        <v>675 Main St</v>
      </c>
      <c r="H1045" s="6" t="str">
        <f>TRIM(Dataset!H1045)</f>
        <v>Gift Card</v>
      </c>
      <c r="I1045" s="6" t="str">
        <f>TRIM(Dataset!I1045)</f>
        <v>Shipped</v>
      </c>
      <c r="J1045" s="6" t="str">
        <f>TRIM(Dataset!J1045)</f>
        <v>TRK94346739</v>
      </c>
      <c r="K1045" s="8" t="str">
        <f>TRIM(Dataset!K1045)</f>
        <v>5</v>
      </c>
      <c r="L1045" s="6" t="s">
        <v>4284</v>
      </c>
      <c r="M1045" s="6" t="str">
        <f>TRIM(Dataset!M1045)</f>
        <v>Instagram</v>
      </c>
      <c r="N1045" s="10">
        <f>VALUE(TRIM(Dataset!N1045))</f>
        <v>359.92</v>
      </c>
    </row>
    <row r="1046" spans="1:14" x14ac:dyDescent="0.35">
      <c r="A1046" s="6" t="str">
        <f>TRIM(Dataset!A1046)</f>
        <v>ORD201044</v>
      </c>
      <c r="B1046" s="4">
        <f>Dataset!B1046</f>
        <v>45830</v>
      </c>
      <c r="C1046" s="6" t="str">
        <f>TRIM(Dataset!C1046)</f>
        <v>C63018</v>
      </c>
      <c r="D1046" s="6" t="str">
        <f>TRIM(Dataset!D1046)</f>
        <v>Printer</v>
      </c>
      <c r="E1046" s="13">
        <f>VALUE(TRIM(Dataset!E1046))</f>
        <v>1</v>
      </c>
      <c r="F1046" s="10">
        <f>VALUE(TRIM(Dataset!F1046))</f>
        <v>38.49</v>
      </c>
      <c r="G1046" s="6" t="str">
        <f>TRIM(Dataset!G1046)</f>
        <v>215 Main St</v>
      </c>
      <c r="H1046" s="6" t="str">
        <f>TRIM(Dataset!H1046)</f>
        <v>Credit Card</v>
      </c>
      <c r="I1046" s="6" t="str">
        <f>TRIM(Dataset!I1046)</f>
        <v>Delivered</v>
      </c>
      <c r="J1046" s="6" t="str">
        <f>TRIM(Dataset!J1046)</f>
        <v>TRK52335337</v>
      </c>
      <c r="K1046" s="8" t="str">
        <f>TRIM(Dataset!K1046)</f>
        <v>4</v>
      </c>
      <c r="L1046" s="6" t="str">
        <f>Dataset!L1046</f>
        <v>FREESHIP</v>
      </c>
      <c r="M1046" s="6" t="str">
        <f>TRIM(Dataset!M1046)</f>
        <v>Referral</v>
      </c>
      <c r="N1046" s="10">
        <f>VALUE(TRIM(Dataset!N1046))</f>
        <v>38.49</v>
      </c>
    </row>
    <row r="1047" spans="1:14" x14ac:dyDescent="0.35">
      <c r="A1047" s="6" t="str">
        <f>TRIM(Dataset!A1047)</f>
        <v>ORD201045</v>
      </c>
      <c r="B1047" s="4">
        <f>Dataset!B1047</f>
        <v>45555</v>
      </c>
      <c r="C1047" s="6" t="str">
        <f>TRIM(Dataset!C1047)</f>
        <v>C11893</v>
      </c>
      <c r="D1047" s="6" t="str">
        <f>TRIM(Dataset!D1047)</f>
        <v>Laptop</v>
      </c>
      <c r="E1047" s="13">
        <f>VALUE(TRIM(Dataset!E1047))</f>
        <v>5</v>
      </c>
      <c r="F1047" s="10">
        <f>VALUE(TRIM(Dataset!F1047))</f>
        <v>316.39999999999998</v>
      </c>
      <c r="G1047" s="6" t="str">
        <f>TRIM(Dataset!G1047)</f>
        <v>671 Main St</v>
      </c>
      <c r="H1047" s="6" t="str">
        <f>TRIM(Dataset!H1047)</f>
        <v>Gift Card</v>
      </c>
      <c r="I1047" s="6" t="str">
        <f>TRIM(Dataset!I1047)</f>
        <v>Returned</v>
      </c>
      <c r="J1047" s="6" t="str">
        <f>TRIM(Dataset!J1047)</f>
        <v>TRK72012758</v>
      </c>
      <c r="K1047" s="8" t="str">
        <f>TRIM(Dataset!K1047)</f>
        <v>7</v>
      </c>
      <c r="L1047" s="6" t="s">
        <v>4284</v>
      </c>
      <c r="M1047" s="6" t="str">
        <f>TRIM(Dataset!M1047)</f>
        <v>Email</v>
      </c>
      <c r="N1047" s="10">
        <f>VALUE(TRIM(Dataset!N1047))</f>
        <v>1582</v>
      </c>
    </row>
    <row r="1048" spans="1:14" x14ac:dyDescent="0.35">
      <c r="A1048" s="6" t="str">
        <f>TRIM(Dataset!A1048)</f>
        <v>ORD201046</v>
      </c>
      <c r="B1048" s="4">
        <f>Dataset!B1048</f>
        <v>45572</v>
      </c>
      <c r="C1048" s="6" t="str">
        <f>TRIM(Dataset!C1048)</f>
        <v>C85421</v>
      </c>
      <c r="D1048" s="6" t="str">
        <f>TRIM(Dataset!D1048)</f>
        <v>Tablet</v>
      </c>
      <c r="E1048" s="13">
        <f>VALUE(TRIM(Dataset!E1048))</f>
        <v>3</v>
      </c>
      <c r="F1048" s="10">
        <f>VALUE(TRIM(Dataset!F1048))</f>
        <v>547.15</v>
      </c>
      <c r="G1048" s="6" t="str">
        <f>TRIM(Dataset!G1048)</f>
        <v>466 Main St</v>
      </c>
      <c r="H1048" s="6" t="str">
        <f>TRIM(Dataset!H1048)</f>
        <v>Online</v>
      </c>
      <c r="I1048" s="6" t="str">
        <f>TRIM(Dataset!I1048)</f>
        <v>Shipped</v>
      </c>
      <c r="J1048" s="6" t="str">
        <f>TRIM(Dataset!J1048)</f>
        <v>TRK16524006</v>
      </c>
      <c r="K1048" s="8" t="str">
        <f>TRIM(Dataset!K1048)</f>
        <v>4</v>
      </c>
      <c r="L1048" s="6" t="str">
        <f>Dataset!L1048</f>
        <v>WINTER15</v>
      </c>
      <c r="M1048" s="6" t="str">
        <f>TRIM(Dataset!M1048)</f>
        <v>Instagram</v>
      </c>
      <c r="N1048" s="10">
        <f>VALUE(TRIM(Dataset!N1048))</f>
        <v>1641.45</v>
      </c>
    </row>
    <row r="1049" spans="1:14" x14ac:dyDescent="0.35">
      <c r="A1049" s="6" t="str">
        <f>TRIM(Dataset!A1049)</f>
        <v>ORD201047</v>
      </c>
      <c r="B1049" s="4">
        <f>Dataset!B1049</f>
        <v>45100</v>
      </c>
      <c r="C1049" s="6" t="str">
        <f>TRIM(Dataset!C1049)</f>
        <v>C81726</v>
      </c>
      <c r="D1049" s="6" t="str">
        <f>TRIM(Dataset!D1049)</f>
        <v>Chair</v>
      </c>
      <c r="E1049" s="13">
        <f>VALUE(TRIM(Dataset!E1049))</f>
        <v>4</v>
      </c>
      <c r="F1049" s="10">
        <f>VALUE(TRIM(Dataset!F1049))</f>
        <v>540.34</v>
      </c>
      <c r="G1049" s="6" t="str">
        <f>TRIM(Dataset!G1049)</f>
        <v>394 Main St</v>
      </c>
      <c r="H1049" s="6" t="str">
        <f>TRIM(Dataset!H1049)</f>
        <v>Gift Card</v>
      </c>
      <c r="I1049" s="6" t="str">
        <f>TRIM(Dataset!I1049)</f>
        <v>Shipped</v>
      </c>
      <c r="J1049" s="6" t="str">
        <f>TRIM(Dataset!J1049)</f>
        <v>TRK69872994</v>
      </c>
      <c r="K1049" s="8" t="str">
        <f>TRIM(Dataset!K1049)</f>
        <v>6</v>
      </c>
      <c r="L1049" s="6" t="str">
        <f>Dataset!L1049</f>
        <v>WINTER15</v>
      </c>
      <c r="M1049" s="6" t="str">
        <f>TRIM(Dataset!M1049)</f>
        <v>Referral</v>
      </c>
      <c r="N1049" s="10">
        <f>VALUE(TRIM(Dataset!N1049))</f>
        <v>2161.36</v>
      </c>
    </row>
    <row r="1050" spans="1:14" x14ac:dyDescent="0.35">
      <c r="A1050" s="6" t="str">
        <f>TRIM(Dataset!A1050)</f>
        <v>ORD201048</v>
      </c>
      <c r="B1050" s="4">
        <f>Dataset!B1050</f>
        <v>45544</v>
      </c>
      <c r="C1050" s="6" t="str">
        <f>TRIM(Dataset!C1050)</f>
        <v>C57601</v>
      </c>
      <c r="D1050" s="6" t="str">
        <f>TRIM(Dataset!D1050)</f>
        <v>Monitor</v>
      </c>
      <c r="E1050" s="13">
        <f>VALUE(TRIM(Dataset!E1050))</f>
        <v>4</v>
      </c>
      <c r="F1050" s="10">
        <f>VALUE(TRIM(Dataset!F1050))</f>
        <v>73.650000000000006</v>
      </c>
      <c r="G1050" s="6" t="str">
        <f>TRIM(Dataset!G1050)</f>
        <v>889 Main St</v>
      </c>
      <c r="H1050" s="6" t="str">
        <f>TRIM(Dataset!H1050)</f>
        <v>Debit Card</v>
      </c>
      <c r="I1050" s="6" t="str">
        <f>TRIM(Dataset!I1050)</f>
        <v>Shipped</v>
      </c>
      <c r="J1050" s="6" t="str">
        <f>TRIM(Dataset!J1050)</f>
        <v>TRK21153699</v>
      </c>
      <c r="K1050" s="8" t="str">
        <f>TRIM(Dataset!K1050)</f>
        <v>9</v>
      </c>
      <c r="L1050" s="6" t="s">
        <v>4284</v>
      </c>
      <c r="M1050" s="6" t="str">
        <f>TRIM(Dataset!M1050)</f>
        <v>Google</v>
      </c>
      <c r="N1050" s="10">
        <f>VALUE(TRIM(Dataset!N1050))</f>
        <v>294.60000000000002</v>
      </c>
    </row>
    <row r="1051" spans="1:14" x14ac:dyDescent="0.35">
      <c r="A1051" s="6" t="str">
        <f>TRIM(Dataset!A1051)</f>
        <v>ORD201049</v>
      </c>
      <c r="B1051" s="4">
        <f>Dataset!B1051</f>
        <v>45491</v>
      </c>
      <c r="C1051" s="6" t="str">
        <f>TRIM(Dataset!C1051)</f>
        <v>C60575</v>
      </c>
      <c r="D1051" s="6" t="str">
        <f>TRIM(Dataset!D1051)</f>
        <v>Desk</v>
      </c>
      <c r="E1051" s="13">
        <f>VALUE(TRIM(Dataset!E1051))</f>
        <v>5</v>
      </c>
      <c r="F1051" s="10">
        <f>VALUE(TRIM(Dataset!F1051))</f>
        <v>391.86</v>
      </c>
      <c r="G1051" s="6" t="str">
        <f>TRIM(Dataset!G1051)</f>
        <v>587 Main St</v>
      </c>
      <c r="H1051" s="6" t="str">
        <f>TRIM(Dataset!H1051)</f>
        <v>Credit Card</v>
      </c>
      <c r="I1051" s="6" t="str">
        <f>TRIM(Dataset!I1051)</f>
        <v>Shipped</v>
      </c>
      <c r="J1051" s="6" t="str">
        <f>TRIM(Dataset!J1051)</f>
        <v>TRK44468232</v>
      </c>
      <c r="K1051" s="8" t="str">
        <f>TRIM(Dataset!K1051)</f>
        <v>6</v>
      </c>
      <c r="L1051" s="6" t="s">
        <v>4284</v>
      </c>
      <c r="M1051" s="6" t="str">
        <f>TRIM(Dataset!M1051)</f>
        <v>Instagram</v>
      </c>
      <c r="N1051" s="10">
        <f>VALUE(TRIM(Dataset!N1051))</f>
        <v>1959.3</v>
      </c>
    </row>
    <row r="1052" spans="1:14" x14ac:dyDescent="0.35">
      <c r="A1052" s="6" t="str">
        <f>TRIM(Dataset!A1052)</f>
        <v>ORD201050</v>
      </c>
      <c r="B1052" s="4">
        <f>Dataset!B1052</f>
        <v>45158</v>
      </c>
      <c r="C1052" s="6" t="str">
        <f>TRIM(Dataset!C1052)</f>
        <v>C70659</v>
      </c>
      <c r="D1052" s="6" t="str">
        <f>TRIM(Dataset!D1052)</f>
        <v>Laptop</v>
      </c>
      <c r="E1052" s="13">
        <f>VALUE(TRIM(Dataset!E1052))</f>
        <v>5</v>
      </c>
      <c r="F1052" s="10">
        <f>VALUE(TRIM(Dataset!F1052))</f>
        <v>69.7</v>
      </c>
      <c r="G1052" s="6" t="str">
        <f>TRIM(Dataset!G1052)</f>
        <v>722 Main St</v>
      </c>
      <c r="H1052" s="6" t="str">
        <f>TRIM(Dataset!H1052)</f>
        <v>Online</v>
      </c>
      <c r="I1052" s="6" t="str">
        <f>TRIM(Dataset!I1052)</f>
        <v>Returned</v>
      </c>
      <c r="J1052" s="6" t="str">
        <f>TRIM(Dataset!J1052)</f>
        <v>TRK49663597</v>
      </c>
      <c r="K1052" s="8" t="str">
        <f>TRIM(Dataset!K1052)</f>
        <v>9</v>
      </c>
      <c r="L1052" s="6" t="s">
        <v>4284</v>
      </c>
      <c r="M1052" s="6" t="str">
        <f>TRIM(Dataset!M1052)</f>
        <v>Instagram</v>
      </c>
      <c r="N1052" s="10">
        <f>VALUE(TRIM(Dataset!N1052))</f>
        <v>348.5</v>
      </c>
    </row>
    <row r="1053" spans="1:14" x14ac:dyDescent="0.35">
      <c r="A1053" s="6" t="str">
        <f>TRIM(Dataset!A1053)</f>
        <v>ORD201051</v>
      </c>
      <c r="B1053" s="4">
        <f>Dataset!B1053</f>
        <v>45721</v>
      </c>
      <c r="C1053" s="6" t="str">
        <f>TRIM(Dataset!C1053)</f>
        <v>C35043</v>
      </c>
      <c r="D1053" s="6" t="str">
        <f>TRIM(Dataset!D1053)</f>
        <v>Monitor</v>
      </c>
      <c r="E1053" s="13">
        <f>VALUE(TRIM(Dataset!E1053))</f>
        <v>5</v>
      </c>
      <c r="F1053" s="10">
        <f>VALUE(TRIM(Dataset!F1053))</f>
        <v>26.43</v>
      </c>
      <c r="G1053" s="6" t="str">
        <f>TRIM(Dataset!G1053)</f>
        <v>820 Main St</v>
      </c>
      <c r="H1053" s="6" t="str">
        <f>TRIM(Dataset!H1053)</f>
        <v>Gift Card</v>
      </c>
      <c r="I1053" s="6" t="str">
        <f>TRIM(Dataset!I1053)</f>
        <v>Shipped</v>
      </c>
      <c r="J1053" s="6" t="str">
        <f>TRIM(Dataset!J1053)</f>
        <v>TRK65097450</v>
      </c>
      <c r="K1053" s="8" t="str">
        <f>TRIM(Dataset!K1053)</f>
        <v>5</v>
      </c>
      <c r="L1053" s="6" t="str">
        <f>Dataset!L1053</f>
        <v>FREESHIP</v>
      </c>
      <c r="M1053" s="6" t="str">
        <f>TRIM(Dataset!M1053)</f>
        <v>Facebook</v>
      </c>
      <c r="N1053" s="10">
        <f>VALUE(TRIM(Dataset!N1053))</f>
        <v>132.15</v>
      </c>
    </row>
    <row r="1054" spans="1:14" x14ac:dyDescent="0.35">
      <c r="A1054" s="6" t="str">
        <f>TRIM(Dataset!A1054)</f>
        <v>ORD201052</v>
      </c>
      <c r="B1054" s="4">
        <f>Dataset!B1054</f>
        <v>45180</v>
      </c>
      <c r="C1054" s="6" t="str">
        <f>TRIM(Dataset!C1054)</f>
        <v>C12301</v>
      </c>
      <c r="D1054" s="6" t="str">
        <f>TRIM(Dataset!D1054)</f>
        <v>Tablet</v>
      </c>
      <c r="E1054" s="13">
        <f>VALUE(TRIM(Dataset!E1054))</f>
        <v>1</v>
      </c>
      <c r="F1054" s="10">
        <f>VALUE(TRIM(Dataset!F1054))</f>
        <v>531.74</v>
      </c>
      <c r="G1054" s="6" t="str">
        <f>TRIM(Dataset!G1054)</f>
        <v>493 Main St</v>
      </c>
      <c r="H1054" s="6" t="str">
        <f>TRIM(Dataset!H1054)</f>
        <v>Online</v>
      </c>
      <c r="I1054" s="6" t="str">
        <f>TRIM(Dataset!I1054)</f>
        <v>Shipped</v>
      </c>
      <c r="J1054" s="6" t="str">
        <f>TRIM(Dataset!J1054)</f>
        <v>TRK25145796</v>
      </c>
      <c r="K1054" s="8" t="str">
        <f>TRIM(Dataset!K1054)</f>
        <v>1</v>
      </c>
      <c r="L1054" s="6" t="str">
        <f>Dataset!L1054</f>
        <v>WINTER15</v>
      </c>
      <c r="M1054" s="6" t="str">
        <f>TRIM(Dataset!M1054)</f>
        <v>Google</v>
      </c>
      <c r="N1054" s="10">
        <f>VALUE(TRIM(Dataset!N1054))</f>
        <v>531.74</v>
      </c>
    </row>
    <row r="1055" spans="1:14" x14ac:dyDescent="0.35">
      <c r="A1055" s="6" t="str">
        <f>TRIM(Dataset!A1055)</f>
        <v>ORD201053</v>
      </c>
      <c r="B1055" s="4">
        <f>Dataset!B1055</f>
        <v>45550</v>
      </c>
      <c r="C1055" s="6" t="str">
        <f>TRIM(Dataset!C1055)</f>
        <v>C32798</v>
      </c>
      <c r="D1055" s="6" t="str">
        <f>TRIM(Dataset!D1055)</f>
        <v>Phone</v>
      </c>
      <c r="E1055" s="13">
        <f>VALUE(TRIM(Dataset!E1055))</f>
        <v>2</v>
      </c>
      <c r="F1055" s="10">
        <f>VALUE(TRIM(Dataset!F1055))</f>
        <v>496.62</v>
      </c>
      <c r="G1055" s="6" t="str">
        <f>TRIM(Dataset!G1055)</f>
        <v>679 Main St</v>
      </c>
      <c r="H1055" s="6" t="str">
        <f>TRIM(Dataset!H1055)</f>
        <v>Online</v>
      </c>
      <c r="I1055" s="6" t="str">
        <f>TRIM(Dataset!I1055)</f>
        <v>Pending</v>
      </c>
      <c r="J1055" s="6" t="str">
        <f>TRIM(Dataset!J1055)</f>
        <v>TRK37375451</v>
      </c>
      <c r="K1055" s="8" t="str">
        <f>TRIM(Dataset!K1055)</f>
        <v>2</v>
      </c>
      <c r="L1055" s="6" t="str">
        <f>Dataset!L1055</f>
        <v>SAVE10</v>
      </c>
      <c r="M1055" s="6" t="str">
        <f>TRIM(Dataset!M1055)</f>
        <v>Instagram</v>
      </c>
      <c r="N1055" s="10">
        <f>VALUE(TRIM(Dataset!N1055))</f>
        <v>993.24</v>
      </c>
    </row>
    <row r="1056" spans="1:14" x14ac:dyDescent="0.35">
      <c r="A1056" s="6" t="str">
        <f>TRIM(Dataset!A1056)</f>
        <v>ORD201054</v>
      </c>
      <c r="B1056" s="4">
        <f>Dataset!B1056</f>
        <v>45259</v>
      </c>
      <c r="C1056" s="6" t="str">
        <f>TRIM(Dataset!C1056)</f>
        <v>C42949</v>
      </c>
      <c r="D1056" s="6" t="str">
        <f>TRIM(Dataset!D1056)</f>
        <v>Printer</v>
      </c>
      <c r="E1056" s="13">
        <f>VALUE(TRIM(Dataset!E1056))</f>
        <v>1</v>
      </c>
      <c r="F1056" s="10">
        <f>VALUE(TRIM(Dataset!F1056))</f>
        <v>660.66</v>
      </c>
      <c r="G1056" s="6" t="str">
        <f>TRIM(Dataset!G1056)</f>
        <v>447 Main St</v>
      </c>
      <c r="H1056" s="6" t="str">
        <f>TRIM(Dataset!H1056)</f>
        <v>Debit Card</v>
      </c>
      <c r="I1056" s="6" t="str">
        <f>TRIM(Dataset!I1056)</f>
        <v>Delivered</v>
      </c>
      <c r="J1056" s="6" t="str">
        <f>TRIM(Dataset!J1056)</f>
        <v>TRK46415143</v>
      </c>
      <c r="K1056" s="8" t="str">
        <f>TRIM(Dataset!K1056)</f>
        <v>3</v>
      </c>
      <c r="L1056" s="6" t="str">
        <f>Dataset!L1056</f>
        <v>WINTER15</v>
      </c>
      <c r="M1056" s="6" t="str">
        <f>TRIM(Dataset!M1056)</f>
        <v>Instagram</v>
      </c>
      <c r="N1056" s="10">
        <f>VALUE(TRIM(Dataset!N1056))</f>
        <v>660.66</v>
      </c>
    </row>
    <row r="1057" spans="1:14" x14ac:dyDescent="0.35">
      <c r="A1057" s="6" t="str">
        <f>TRIM(Dataset!A1057)</f>
        <v>ORD201055</v>
      </c>
      <c r="B1057" s="4">
        <f>Dataset!B1057</f>
        <v>45222</v>
      </c>
      <c r="C1057" s="6" t="str">
        <f>TRIM(Dataset!C1057)</f>
        <v>C10787</v>
      </c>
      <c r="D1057" s="6" t="str">
        <f>TRIM(Dataset!D1057)</f>
        <v>Monitor</v>
      </c>
      <c r="E1057" s="13">
        <f>VALUE(TRIM(Dataset!E1057))</f>
        <v>4</v>
      </c>
      <c r="F1057" s="10">
        <f>VALUE(TRIM(Dataset!F1057))</f>
        <v>274.82</v>
      </c>
      <c r="G1057" s="6" t="str">
        <f>TRIM(Dataset!G1057)</f>
        <v>932 Main St</v>
      </c>
      <c r="H1057" s="6" t="str">
        <f>TRIM(Dataset!H1057)</f>
        <v>Debit Card</v>
      </c>
      <c r="I1057" s="6" t="str">
        <f>TRIM(Dataset!I1057)</f>
        <v>Delivered</v>
      </c>
      <c r="J1057" s="6" t="str">
        <f>TRIM(Dataset!J1057)</f>
        <v>TRK91512567</v>
      </c>
      <c r="K1057" s="8" t="str">
        <f>TRIM(Dataset!K1057)</f>
        <v>9</v>
      </c>
      <c r="L1057" s="6" t="str">
        <f>Dataset!L1057</f>
        <v>WINTER15</v>
      </c>
      <c r="M1057" s="6" t="str">
        <f>TRIM(Dataset!M1057)</f>
        <v>Email</v>
      </c>
      <c r="N1057" s="10">
        <f>VALUE(TRIM(Dataset!N1057))</f>
        <v>1099.28</v>
      </c>
    </row>
    <row r="1058" spans="1:14" x14ac:dyDescent="0.35">
      <c r="A1058" s="6" t="str">
        <f>TRIM(Dataset!A1058)</f>
        <v>ORD201056</v>
      </c>
      <c r="B1058" s="4">
        <f>Dataset!B1058</f>
        <v>45457</v>
      </c>
      <c r="C1058" s="6" t="str">
        <f>TRIM(Dataset!C1058)</f>
        <v>C26152</v>
      </c>
      <c r="D1058" s="6" t="str">
        <f>TRIM(Dataset!D1058)</f>
        <v>Phone</v>
      </c>
      <c r="E1058" s="13">
        <f>VALUE(TRIM(Dataset!E1058))</f>
        <v>2</v>
      </c>
      <c r="F1058" s="10">
        <f>VALUE(TRIM(Dataset!F1058))</f>
        <v>486.35</v>
      </c>
      <c r="G1058" s="6" t="str">
        <f>TRIM(Dataset!G1058)</f>
        <v>790 Main St</v>
      </c>
      <c r="H1058" s="6" t="str">
        <f>TRIM(Dataset!H1058)</f>
        <v>Online</v>
      </c>
      <c r="I1058" s="6" t="str">
        <f>TRIM(Dataset!I1058)</f>
        <v>Pending</v>
      </c>
      <c r="J1058" s="6" t="str">
        <f>TRIM(Dataset!J1058)</f>
        <v>TRK49382455</v>
      </c>
      <c r="K1058" s="8" t="str">
        <f>TRIM(Dataset!K1058)</f>
        <v>6</v>
      </c>
      <c r="L1058" s="6" t="str">
        <f>Dataset!L1058</f>
        <v>SAVE10</v>
      </c>
      <c r="M1058" s="6" t="str">
        <f>TRIM(Dataset!M1058)</f>
        <v>Referral</v>
      </c>
      <c r="N1058" s="10">
        <f>VALUE(TRIM(Dataset!N1058))</f>
        <v>972.7</v>
      </c>
    </row>
    <row r="1059" spans="1:14" x14ac:dyDescent="0.35">
      <c r="A1059" s="6" t="str">
        <f>TRIM(Dataset!A1059)</f>
        <v>ORD201057</v>
      </c>
      <c r="B1059" s="4">
        <f>Dataset!B1059</f>
        <v>45559</v>
      </c>
      <c r="C1059" s="6" t="str">
        <f>TRIM(Dataset!C1059)</f>
        <v>C46210</v>
      </c>
      <c r="D1059" s="6" t="str">
        <f>TRIM(Dataset!D1059)</f>
        <v>Laptop</v>
      </c>
      <c r="E1059" s="13">
        <f>VALUE(TRIM(Dataset!E1059))</f>
        <v>3</v>
      </c>
      <c r="F1059" s="10">
        <f>VALUE(TRIM(Dataset!F1059))</f>
        <v>428.88</v>
      </c>
      <c r="G1059" s="6" t="str">
        <f>TRIM(Dataset!G1059)</f>
        <v>535 Main St</v>
      </c>
      <c r="H1059" s="6" t="str">
        <f>TRIM(Dataset!H1059)</f>
        <v>Debit Card</v>
      </c>
      <c r="I1059" s="6" t="str">
        <f>TRIM(Dataset!I1059)</f>
        <v>Shipped</v>
      </c>
      <c r="J1059" s="6" t="str">
        <f>TRIM(Dataset!J1059)</f>
        <v>TRK81611937</v>
      </c>
      <c r="K1059" s="8" t="str">
        <f>TRIM(Dataset!K1059)</f>
        <v>3</v>
      </c>
      <c r="L1059" s="6" t="str">
        <f>Dataset!L1059</f>
        <v>WINTER15</v>
      </c>
      <c r="M1059" s="6" t="str">
        <f>TRIM(Dataset!M1059)</f>
        <v>Facebook</v>
      </c>
      <c r="N1059" s="10">
        <f>VALUE(TRIM(Dataset!N1059))</f>
        <v>1286.6400000000001</v>
      </c>
    </row>
    <row r="1060" spans="1:14" x14ac:dyDescent="0.35">
      <c r="A1060" s="6" t="str">
        <f>TRIM(Dataset!A1060)</f>
        <v>ORD201058</v>
      </c>
      <c r="B1060" s="4">
        <f>Dataset!B1060</f>
        <v>45177</v>
      </c>
      <c r="C1060" s="6" t="str">
        <f>TRIM(Dataset!C1060)</f>
        <v>C32943</v>
      </c>
      <c r="D1060" s="6" t="str">
        <f>TRIM(Dataset!D1060)</f>
        <v>Desk</v>
      </c>
      <c r="E1060" s="13">
        <f>VALUE(TRIM(Dataset!E1060))</f>
        <v>2</v>
      </c>
      <c r="F1060" s="10">
        <f>VALUE(TRIM(Dataset!F1060))</f>
        <v>412.14</v>
      </c>
      <c r="G1060" s="6" t="str">
        <f>TRIM(Dataset!G1060)</f>
        <v>127 Main St</v>
      </c>
      <c r="H1060" s="6" t="str">
        <f>TRIM(Dataset!H1060)</f>
        <v>Credit Card</v>
      </c>
      <c r="I1060" s="6" t="str">
        <f>TRIM(Dataset!I1060)</f>
        <v>Returned</v>
      </c>
      <c r="J1060" s="6" t="str">
        <f>TRIM(Dataset!J1060)</f>
        <v>TRK26949106</v>
      </c>
      <c r="K1060" s="8" t="str">
        <f>TRIM(Dataset!K1060)</f>
        <v>2</v>
      </c>
      <c r="L1060" s="6" t="str">
        <f>Dataset!L1060</f>
        <v>FREESHIP</v>
      </c>
      <c r="M1060" s="6" t="str">
        <f>TRIM(Dataset!M1060)</f>
        <v>Instagram</v>
      </c>
      <c r="N1060" s="10">
        <f>VALUE(TRIM(Dataset!N1060))</f>
        <v>824.28</v>
      </c>
    </row>
    <row r="1061" spans="1:14" x14ac:dyDescent="0.35">
      <c r="A1061" s="6" t="str">
        <f>TRIM(Dataset!A1061)</f>
        <v>ORD201059</v>
      </c>
      <c r="B1061" s="4">
        <f>Dataset!B1061</f>
        <v>45557</v>
      </c>
      <c r="C1061" s="6" t="str">
        <f>TRIM(Dataset!C1061)</f>
        <v>C73629</v>
      </c>
      <c r="D1061" s="6" t="str">
        <f>TRIM(Dataset!D1061)</f>
        <v>Desk</v>
      </c>
      <c r="E1061" s="13">
        <f>VALUE(TRIM(Dataset!E1061))</f>
        <v>1</v>
      </c>
      <c r="F1061" s="10">
        <f>VALUE(TRIM(Dataset!F1061))</f>
        <v>265.64</v>
      </c>
      <c r="G1061" s="6" t="str">
        <f>TRIM(Dataset!G1061)</f>
        <v>601 Main St</v>
      </c>
      <c r="H1061" s="6" t="str">
        <f>TRIM(Dataset!H1061)</f>
        <v>Credit Card</v>
      </c>
      <c r="I1061" s="6" t="str">
        <f>TRIM(Dataset!I1061)</f>
        <v>Returned</v>
      </c>
      <c r="J1061" s="6" t="str">
        <f>TRIM(Dataset!J1061)</f>
        <v>TRK11492924</v>
      </c>
      <c r="K1061" s="8" t="str">
        <f>TRIM(Dataset!K1061)</f>
        <v>3</v>
      </c>
      <c r="L1061" s="6" t="str">
        <f>Dataset!L1061</f>
        <v>WINTER15</v>
      </c>
      <c r="M1061" s="6" t="str">
        <f>TRIM(Dataset!M1061)</f>
        <v>Instagram</v>
      </c>
      <c r="N1061" s="10">
        <f>VALUE(TRIM(Dataset!N1061))</f>
        <v>265.64</v>
      </c>
    </row>
    <row r="1062" spans="1:14" x14ac:dyDescent="0.35">
      <c r="A1062" s="6" t="str">
        <f>TRIM(Dataset!A1062)</f>
        <v>ORD201060</v>
      </c>
      <c r="B1062" s="4">
        <f>Dataset!B1062</f>
        <v>45419</v>
      </c>
      <c r="C1062" s="6" t="str">
        <f>TRIM(Dataset!C1062)</f>
        <v>C38024</v>
      </c>
      <c r="D1062" s="6" t="str">
        <f>TRIM(Dataset!D1062)</f>
        <v>Tablet</v>
      </c>
      <c r="E1062" s="13">
        <f>VALUE(TRIM(Dataset!E1062))</f>
        <v>2</v>
      </c>
      <c r="F1062" s="10">
        <f>VALUE(TRIM(Dataset!F1062))</f>
        <v>273.43</v>
      </c>
      <c r="G1062" s="6" t="str">
        <f>TRIM(Dataset!G1062)</f>
        <v>824 Main St</v>
      </c>
      <c r="H1062" s="6" t="str">
        <f>TRIM(Dataset!H1062)</f>
        <v>Cash</v>
      </c>
      <c r="I1062" s="6" t="str">
        <f>TRIM(Dataset!I1062)</f>
        <v>Shipped</v>
      </c>
      <c r="J1062" s="6" t="str">
        <f>TRIM(Dataset!J1062)</f>
        <v>TRK93370912</v>
      </c>
      <c r="K1062" s="8" t="str">
        <f>TRIM(Dataset!K1062)</f>
        <v>7</v>
      </c>
      <c r="L1062" s="6" t="str">
        <f>Dataset!L1062</f>
        <v>WINTER15</v>
      </c>
      <c r="M1062" s="6" t="str">
        <f>TRIM(Dataset!M1062)</f>
        <v>Referral</v>
      </c>
      <c r="N1062" s="10">
        <f>VALUE(TRIM(Dataset!N1062))</f>
        <v>546.86</v>
      </c>
    </row>
    <row r="1063" spans="1:14" x14ac:dyDescent="0.35">
      <c r="A1063" s="6" t="str">
        <f>TRIM(Dataset!A1063)</f>
        <v>ORD201061</v>
      </c>
      <c r="B1063" s="4">
        <f>Dataset!B1063</f>
        <v>45686</v>
      </c>
      <c r="C1063" s="6" t="str">
        <f>TRIM(Dataset!C1063)</f>
        <v>C25445</v>
      </c>
      <c r="D1063" s="6" t="str">
        <f>TRIM(Dataset!D1063)</f>
        <v>Laptop</v>
      </c>
      <c r="E1063" s="13">
        <f>VALUE(TRIM(Dataset!E1063))</f>
        <v>5</v>
      </c>
      <c r="F1063" s="10">
        <f>VALUE(TRIM(Dataset!F1063))</f>
        <v>131.69999999999999</v>
      </c>
      <c r="G1063" s="6" t="str">
        <f>TRIM(Dataset!G1063)</f>
        <v>830 Main St</v>
      </c>
      <c r="H1063" s="6" t="str">
        <f>TRIM(Dataset!H1063)</f>
        <v>Cash</v>
      </c>
      <c r="I1063" s="6" t="str">
        <f>TRIM(Dataset!I1063)</f>
        <v>Shipped</v>
      </c>
      <c r="J1063" s="6" t="str">
        <f>TRIM(Dataset!J1063)</f>
        <v>TRK12402431</v>
      </c>
      <c r="K1063" s="8" t="str">
        <f>TRIM(Dataset!K1063)</f>
        <v>8</v>
      </c>
      <c r="L1063" s="6" t="str">
        <f>Dataset!L1063</f>
        <v>FREESHIP</v>
      </c>
      <c r="M1063" s="6" t="str">
        <f>TRIM(Dataset!M1063)</f>
        <v>Google</v>
      </c>
      <c r="N1063" s="10">
        <f>VALUE(TRIM(Dataset!N1063))</f>
        <v>658.5</v>
      </c>
    </row>
    <row r="1064" spans="1:14" x14ac:dyDescent="0.35">
      <c r="A1064" s="6" t="str">
        <f>TRIM(Dataset!A1064)</f>
        <v>ORD201062</v>
      </c>
      <c r="B1064" s="4">
        <f>Dataset!B1064</f>
        <v>45161</v>
      </c>
      <c r="C1064" s="6" t="str">
        <f>TRIM(Dataset!C1064)</f>
        <v>C13501</v>
      </c>
      <c r="D1064" s="6" t="str">
        <f>TRIM(Dataset!D1064)</f>
        <v>Chair</v>
      </c>
      <c r="E1064" s="13">
        <f>VALUE(TRIM(Dataset!E1064))</f>
        <v>5</v>
      </c>
      <c r="F1064" s="10">
        <f>VALUE(TRIM(Dataset!F1064))</f>
        <v>85.52</v>
      </c>
      <c r="G1064" s="6" t="str">
        <f>TRIM(Dataset!G1064)</f>
        <v>301 Main St</v>
      </c>
      <c r="H1064" s="6" t="str">
        <f>TRIM(Dataset!H1064)</f>
        <v>Gift Card</v>
      </c>
      <c r="I1064" s="6" t="str">
        <f>TRIM(Dataset!I1064)</f>
        <v>Cancelled</v>
      </c>
      <c r="J1064" s="6" t="str">
        <f>TRIM(Dataset!J1064)</f>
        <v>TRK65149372</v>
      </c>
      <c r="K1064" s="8" t="str">
        <f>TRIM(Dataset!K1064)</f>
        <v>5</v>
      </c>
      <c r="L1064" s="6" t="s">
        <v>4284</v>
      </c>
      <c r="M1064" s="6" t="str">
        <f>TRIM(Dataset!M1064)</f>
        <v>Facebook</v>
      </c>
      <c r="N1064" s="10">
        <f>VALUE(TRIM(Dataset!N1064))</f>
        <v>427.6</v>
      </c>
    </row>
    <row r="1065" spans="1:14" x14ac:dyDescent="0.35">
      <c r="A1065" s="6" t="str">
        <f>TRIM(Dataset!A1065)</f>
        <v>ORD201063</v>
      </c>
      <c r="B1065" s="4">
        <f>Dataset!B1065</f>
        <v>45462</v>
      </c>
      <c r="C1065" s="6" t="str">
        <f>TRIM(Dataset!C1065)</f>
        <v>C42108</v>
      </c>
      <c r="D1065" s="6" t="str">
        <f>TRIM(Dataset!D1065)</f>
        <v>Desk</v>
      </c>
      <c r="E1065" s="13">
        <f>VALUE(TRIM(Dataset!E1065))</f>
        <v>2</v>
      </c>
      <c r="F1065" s="10">
        <f>VALUE(TRIM(Dataset!F1065))</f>
        <v>320.68</v>
      </c>
      <c r="G1065" s="6" t="str">
        <f>TRIM(Dataset!G1065)</f>
        <v>336 Main St</v>
      </c>
      <c r="H1065" s="6" t="str">
        <f>TRIM(Dataset!H1065)</f>
        <v>Credit Card</v>
      </c>
      <c r="I1065" s="6" t="str">
        <f>TRIM(Dataset!I1065)</f>
        <v>Shipped</v>
      </c>
      <c r="J1065" s="6" t="str">
        <f>TRIM(Dataset!J1065)</f>
        <v>TRK58407918</v>
      </c>
      <c r="K1065" s="8" t="str">
        <f>TRIM(Dataset!K1065)</f>
        <v>5</v>
      </c>
      <c r="L1065" s="6" t="str">
        <f>Dataset!L1065</f>
        <v>FREESHIP</v>
      </c>
      <c r="M1065" s="6" t="str">
        <f>TRIM(Dataset!M1065)</f>
        <v>Referral</v>
      </c>
      <c r="N1065" s="10">
        <f>VALUE(TRIM(Dataset!N1065))</f>
        <v>641.36</v>
      </c>
    </row>
    <row r="1066" spans="1:14" x14ac:dyDescent="0.35">
      <c r="A1066" s="6" t="str">
        <f>TRIM(Dataset!A1066)</f>
        <v>ORD201064</v>
      </c>
      <c r="B1066" s="4">
        <f>Dataset!B1066</f>
        <v>45700</v>
      </c>
      <c r="C1066" s="6" t="str">
        <f>TRIM(Dataset!C1066)</f>
        <v>C32121</v>
      </c>
      <c r="D1066" s="6" t="str">
        <f>TRIM(Dataset!D1066)</f>
        <v>Laptop</v>
      </c>
      <c r="E1066" s="13">
        <f>VALUE(TRIM(Dataset!E1066))</f>
        <v>4</v>
      </c>
      <c r="F1066" s="10">
        <f>VALUE(TRIM(Dataset!F1066))</f>
        <v>198.81</v>
      </c>
      <c r="G1066" s="6" t="str">
        <f>TRIM(Dataset!G1066)</f>
        <v>654 Main St</v>
      </c>
      <c r="H1066" s="6" t="str">
        <f>TRIM(Dataset!H1066)</f>
        <v>Cash</v>
      </c>
      <c r="I1066" s="6" t="str">
        <f>TRIM(Dataset!I1066)</f>
        <v>Returned</v>
      </c>
      <c r="J1066" s="6" t="str">
        <f>TRIM(Dataset!J1066)</f>
        <v>TRK96074264</v>
      </c>
      <c r="K1066" s="8" t="str">
        <f>TRIM(Dataset!K1066)</f>
        <v>9</v>
      </c>
      <c r="L1066" s="6" t="str">
        <f>Dataset!L1066</f>
        <v>FREESHIP</v>
      </c>
      <c r="M1066" s="6" t="str">
        <f>TRIM(Dataset!M1066)</f>
        <v>Referral</v>
      </c>
      <c r="N1066" s="10">
        <f>VALUE(TRIM(Dataset!N1066))</f>
        <v>795.24</v>
      </c>
    </row>
    <row r="1067" spans="1:14" x14ac:dyDescent="0.35">
      <c r="A1067" s="6" t="str">
        <f>TRIM(Dataset!A1067)</f>
        <v>ORD201065</v>
      </c>
      <c r="B1067" s="4">
        <f>Dataset!B1067</f>
        <v>45229</v>
      </c>
      <c r="C1067" s="6" t="str">
        <f>TRIM(Dataset!C1067)</f>
        <v>C47778</v>
      </c>
      <c r="D1067" s="6" t="str">
        <f>TRIM(Dataset!D1067)</f>
        <v>Printer</v>
      </c>
      <c r="E1067" s="13">
        <f>VALUE(TRIM(Dataset!E1067))</f>
        <v>5</v>
      </c>
      <c r="F1067" s="10">
        <f>VALUE(TRIM(Dataset!F1067))</f>
        <v>666.8</v>
      </c>
      <c r="G1067" s="6" t="str">
        <f>TRIM(Dataset!G1067)</f>
        <v>488 Main St</v>
      </c>
      <c r="H1067" s="6" t="str">
        <f>TRIM(Dataset!H1067)</f>
        <v>Debit Card</v>
      </c>
      <c r="I1067" s="6" t="str">
        <f>TRIM(Dataset!I1067)</f>
        <v>Delivered</v>
      </c>
      <c r="J1067" s="6" t="str">
        <f>TRIM(Dataset!J1067)</f>
        <v>TRK79504329</v>
      </c>
      <c r="K1067" s="8" t="str">
        <f>TRIM(Dataset!K1067)</f>
        <v>7</v>
      </c>
      <c r="L1067" s="6" t="str">
        <f>Dataset!L1067</f>
        <v>SAVE10</v>
      </c>
      <c r="M1067" s="6" t="str">
        <f>TRIM(Dataset!M1067)</f>
        <v>Referral</v>
      </c>
      <c r="N1067" s="10">
        <f>VALUE(TRIM(Dataset!N1067))</f>
        <v>3334</v>
      </c>
    </row>
    <row r="1068" spans="1:14" x14ac:dyDescent="0.35">
      <c r="A1068" s="6" t="str">
        <f>TRIM(Dataset!A1068)</f>
        <v>ORD201066</v>
      </c>
      <c r="B1068" s="4">
        <f>Dataset!B1068</f>
        <v>45280</v>
      </c>
      <c r="C1068" s="6" t="str">
        <f>TRIM(Dataset!C1068)</f>
        <v>C10791</v>
      </c>
      <c r="D1068" s="6" t="str">
        <f>TRIM(Dataset!D1068)</f>
        <v>Desk</v>
      </c>
      <c r="E1068" s="13">
        <f>VALUE(TRIM(Dataset!E1068))</f>
        <v>1</v>
      </c>
      <c r="F1068" s="10">
        <f>VALUE(TRIM(Dataset!F1068))</f>
        <v>355.09</v>
      </c>
      <c r="G1068" s="6" t="str">
        <f>TRIM(Dataset!G1068)</f>
        <v>674 Main St</v>
      </c>
      <c r="H1068" s="6" t="str">
        <f>TRIM(Dataset!H1068)</f>
        <v>Debit Card</v>
      </c>
      <c r="I1068" s="6" t="str">
        <f>TRIM(Dataset!I1068)</f>
        <v>Cancelled</v>
      </c>
      <c r="J1068" s="6" t="str">
        <f>TRIM(Dataset!J1068)</f>
        <v>TRK20321248</v>
      </c>
      <c r="K1068" s="8" t="str">
        <f>TRIM(Dataset!K1068)</f>
        <v>5</v>
      </c>
      <c r="L1068" s="6" t="str">
        <f>Dataset!L1068</f>
        <v>SAVE10</v>
      </c>
      <c r="M1068" s="6" t="str">
        <f>TRIM(Dataset!M1068)</f>
        <v>Instagram</v>
      </c>
      <c r="N1068" s="10">
        <f>VALUE(TRIM(Dataset!N1068))</f>
        <v>355.09</v>
      </c>
    </row>
    <row r="1069" spans="1:14" x14ac:dyDescent="0.35">
      <c r="A1069" s="6" t="str">
        <f>TRIM(Dataset!A1069)</f>
        <v>ORD201067</v>
      </c>
      <c r="B1069" s="4">
        <f>Dataset!B1069</f>
        <v>45083</v>
      </c>
      <c r="C1069" s="6" t="str">
        <f>TRIM(Dataset!C1069)</f>
        <v>C78959</v>
      </c>
      <c r="D1069" s="6" t="str">
        <f>TRIM(Dataset!D1069)</f>
        <v>Phone</v>
      </c>
      <c r="E1069" s="13">
        <f>VALUE(TRIM(Dataset!E1069))</f>
        <v>2</v>
      </c>
      <c r="F1069" s="10">
        <f>VALUE(TRIM(Dataset!F1069))</f>
        <v>316.2</v>
      </c>
      <c r="G1069" s="6" t="str">
        <f>TRIM(Dataset!G1069)</f>
        <v>384 Main St</v>
      </c>
      <c r="H1069" s="6" t="str">
        <f>TRIM(Dataset!H1069)</f>
        <v>Online</v>
      </c>
      <c r="I1069" s="6" t="str">
        <f>TRIM(Dataset!I1069)</f>
        <v>Returned</v>
      </c>
      <c r="J1069" s="6" t="str">
        <f>TRIM(Dataset!J1069)</f>
        <v>TRK37426359</v>
      </c>
      <c r="K1069" s="8" t="str">
        <f>TRIM(Dataset!K1069)</f>
        <v>2</v>
      </c>
      <c r="L1069" s="6" t="s">
        <v>4284</v>
      </c>
      <c r="M1069" s="6" t="str">
        <f>TRIM(Dataset!M1069)</f>
        <v>Instagram</v>
      </c>
      <c r="N1069" s="10">
        <f>VALUE(TRIM(Dataset!N1069))</f>
        <v>632.4</v>
      </c>
    </row>
    <row r="1070" spans="1:14" x14ac:dyDescent="0.35">
      <c r="A1070" s="6" t="str">
        <f>TRIM(Dataset!A1070)</f>
        <v>ORD201068</v>
      </c>
      <c r="B1070" s="4">
        <f>Dataset!B1070</f>
        <v>45507</v>
      </c>
      <c r="C1070" s="6" t="str">
        <f>TRIM(Dataset!C1070)</f>
        <v>C29914</v>
      </c>
      <c r="D1070" s="6" t="str">
        <f>TRIM(Dataset!D1070)</f>
        <v>Laptop</v>
      </c>
      <c r="E1070" s="13">
        <f>VALUE(TRIM(Dataset!E1070))</f>
        <v>1</v>
      </c>
      <c r="F1070" s="10">
        <f>VALUE(TRIM(Dataset!F1070))</f>
        <v>133.38999999999999</v>
      </c>
      <c r="G1070" s="6" t="str">
        <f>TRIM(Dataset!G1070)</f>
        <v>469 Main St</v>
      </c>
      <c r="H1070" s="6" t="str">
        <f>TRIM(Dataset!H1070)</f>
        <v>Debit Card</v>
      </c>
      <c r="I1070" s="6" t="str">
        <f>TRIM(Dataset!I1070)</f>
        <v>Shipped</v>
      </c>
      <c r="J1070" s="6" t="str">
        <f>TRIM(Dataset!J1070)</f>
        <v>TRK22073506</v>
      </c>
      <c r="K1070" s="8" t="str">
        <f>TRIM(Dataset!K1070)</f>
        <v>2</v>
      </c>
      <c r="L1070" s="6" t="str">
        <f>Dataset!L1070</f>
        <v>SAVE10</v>
      </c>
      <c r="M1070" s="6" t="str">
        <f>TRIM(Dataset!M1070)</f>
        <v>Referral</v>
      </c>
      <c r="N1070" s="10">
        <f>VALUE(TRIM(Dataset!N1070))</f>
        <v>133.38999999999999</v>
      </c>
    </row>
    <row r="1071" spans="1:14" x14ac:dyDescent="0.35">
      <c r="A1071" s="6" t="str">
        <f>TRIM(Dataset!A1071)</f>
        <v>ORD201069</v>
      </c>
      <c r="B1071" s="4">
        <f>Dataset!B1071</f>
        <v>44982</v>
      </c>
      <c r="C1071" s="6" t="str">
        <f>TRIM(Dataset!C1071)</f>
        <v>C70506</v>
      </c>
      <c r="D1071" s="6" t="str">
        <f>TRIM(Dataset!D1071)</f>
        <v>Monitor</v>
      </c>
      <c r="E1071" s="13">
        <f>VALUE(TRIM(Dataset!E1071))</f>
        <v>1</v>
      </c>
      <c r="F1071" s="10">
        <f>VALUE(TRIM(Dataset!F1071))</f>
        <v>454.23</v>
      </c>
      <c r="G1071" s="6" t="str">
        <f>TRIM(Dataset!G1071)</f>
        <v>255 Main St</v>
      </c>
      <c r="H1071" s="6" t="str">
        <f>TRIM(Dataset!H1071)</f>
        <v>Gift Card</v>
      </c>
      <c r="I1071" s="6" t="str">
        <f>TRIM(Dataset!I1071)</f>
        <v>Returned</v>
      </c>
      <c r="J1071" s="6" t="str">
        <f>TRIM(Dataset!J1071)</f>
        <v>TRK12518384</v>
      </c>
      <c r="K1071" s="8" t="str">
        <f>TRIM(Dataset!K1071)</f>
        <v>3</v>
      </c>
      <c r="L1071" s="6" t="s">
        <v>4284</v>
      </c>
      <c r="M1071" s="6" t="str">
        <f>TRIM(Dataset!M1071)</f>
        <v>Facebook</v>
      </c>
      <c r="N1071" s="10">
        <f>VALUE(TRIM(Dataset!N1071))</f>
        <v>454.23</v>
      </c>
    </row>
    <row r="1072" spans="1:14" x14ac:dyDescent="0.35">
      <c r="A1072" s="6" t="str">
        <f>TRIM(Dataset!A1072)</f>
        <v>ORD201070</v>
      </c>
      <c r="B1072" s="4">
        <f>Dataset!B1072</f>
        <v>45541</v>
      </c>
      <c r="C1072" s="6" t="str">
        <f>TRIM(Dataset!C1072)</f>
        <v>C46873</v>
      </c>
      <c r="D1072" s="6" t="str">
        <f>TRIM(Dataset!D1072)</f>
        <v>Desk</v>
      </c>
      <c r="E1072" s="13">
        <f>VALUE(TRIM(Dataset!E1072))</f>
        <v>4</v>
      </c>
      <c r="F1072" s="10">
        <f>VALUE(TRIM(Dataset!F1072))</f>
        <v>491.29</v>
      </c>
      <c r="G1072" s="6" t="str">
        <f>TRIM(Dataset!G1072)</f>
        <v>496 Main St</v>
      </c>
      <c r="H1072" s="6" t="str">
        <f>TRIM(Dataset!H1072)</f>
        <v>Debit Card</v>
      </c>
      <c r="I1072" s="6" t="str">
        <f>TRIM(Dataset!I1072)</f>
        <v>Pending</v>
      </c>
      <c r="J1072" s="6" t="str">
        <f>TRIM(Dataset!J1072)</f>
        <v>TRK10926575</v>
      </c>
      <c r="K1072" s="8" t="str">
        <f>TRIM(Dataset!K1072)</f>
        <v>6</v>
      </c>
      <c r="L1072" s="6" t="s">
        <v>4284</v>
      </c>
      <c r="M1072" s="6" t="str">
        <f>TRIM(Dataset!M1072)</f>
        <v>Email</v>
      </c>
      <c r="N1072" s="10">
        <f>VALUE(TRIM(Dataset!N1072))</f>
        <v>1965.16</v>
      </c>
    </row>
    <row r="1073" spans="1:14" x14ac:dyDescent="0.35">
      <c r="A1073" s="6" t="str">
        <f>TRIM(Dataset!A1073)</f>
        <v>ORD201071</v>
      </c>
      <c r="B1073" s="4">
        <f>Dataset!B1073</f>
        <v>45832</v>
      </c>
      <c r="C1073" s="6" t="str">
        <f>TRIM(Dataset!C1073)</f>
        <v>C94037</v>
      </c>
      <c r="D1073" s="6" t="str">
        <f>TRIM(Dataset!D1073)</f>
        <v>Phone</v>
      </c>
      <c r="E1073" s="13">
        <f>VALUE(TRIM(Dataset!E1073))</f>
        <v>2</v>
      </c>
      <c r="F1073" s="10">
        <f>VALUE(TRIM(Dataset!F1073))</f>
        <v>255.14</v>
      </c>
      <c r="G1073" s="6" t="str">
        <f>TRIM(Dataset!G1073)</f>
        <v>216 Main St</v>
      </c>
      <c r="H1073" s="6" t="str">
        <f>TRIM(Dataset!H1073)</f>
        <v>Cash</v>
      </c>
      <c r="I1073" s="6" t="str">
        <f>TRIM(Dataset!I1073)</f>
        <v>Shipped</v>
      </c>
      <c r="J1073" s="6" t="str">
        <f>TRIM(Dataset!J1073)</f>
        <v>TRK47536985</v>
      </c>
      <c r="K1073" s="8" t="str">
        <f>TRIM(Dataset!K1073)</f>
        <v>2</v>
      </c>
      <c r="L1073" s="6" t="s">
        <v>4284</v>
      </c>
      <c r="M1073" s="6" t="str">
        <f>TRIM(Dataset!M1073)</f>
        <v>Google</v>
      </c>
      <c r="N1073" s="10">
        <f>VALUE(TRIM(Dataset!N1073))</f>
        <v>510.28</v>
      </c>
    </row>
    <row r="1074" spans="1:14" x14ac:dyDescent="0.35">
      <c r="A1074" s="6" t="str">
        <f>TRIM(Dataset!A1074)</f>
        <v>ORD201072</v>
      </c>
      <c r="B1074" s="4">
        <f>Dataset!B1074</f>
        <v>44983</v>
      </c>
      <c r="C1074" s="6" t="str">
        <f>TRIM(Dataset!C1074)</f>
        <v>C88644</v>
      </c>
      <c r="D1074" s="6" t="str">
        <f>TRIM(Dataset!D1074)</f>
        <v>Monitor</v>
      </c>
      <c r="E1074" s="13">
        <f>VALUE(TRIM(Dataset!E1074))</f>
        <v>1</v>
      </c>
      <c r="F1074" s="10">
        <f>VALUE(TRIM(Dataset!F1074))</f>
        <v>392.61</v>
      </c>
      <c r="G1074" s="6" t="str">
        <f>TRIM(Dataset!G1074)</f>
        <v>977 Main St</v>
      </c>
      <c r="H1074" s="6" t="str">
        <f>TRIM(Dataset!H1074)</f>
        <v>Gift Card</v>
      </c>
      <c r="I1074" s="6" t="str">
        <f>TRIM(Dataset!I1074)</f>
        <v>Cancelled</v>
      </c>
      <c r="J1074" s="6" t="str">
        <f>TRIM(Dataset!J1074)</f>
        <v>TRK14900878</v>
      </c>
      <c r="K1074" s="8" t="str">
        <f>TRIM(Dataset!K1074)</f>
        <v>4</v>
      </c>
      <c r="L1074" s="6" t="str">
        <f>Dataset!L1074</f>
        <v>SAVE10</v>
      </c>
      <c r="M1074" s="6" t="str">
        <f>TRIM(Dataset!M1074)</f>
        <v>Referral</v>
      </c>
      <c r="N1074" s="10">
        <f>VALUE(TRIM(Dataset!N1074))</f>
        <v>392.61</v>
      </c>
    </row>
    <row r="1075" spans="1:14" x14ac:dyDescent="0.35">
      <c r="A1075" s="6" t="str">
        <f>TRIM(Dataset!A1075)</f>
        <v>ORD201073</v>
      </c>
      <c r="B1075" s="4">
        <f>Dataset!B1075</f>
        <v>45576</v>
      </c>
      <c r="C1075" s="6" t="str">
        <f>TRIM(Dataset!C1075)</f>
        <v>C69471</v>
      </c>
      <c r="D1075" s="6" t="str">
        <f>TRIM(Dataset!D1075)</f>
        <v>Tablet</v>
      </c>
      <c r="E1075" s="13">
        <f>VALUE(TRIM(Dataset!E1075))</f>
        <v>4</v>
      </c>
      <c r="F1075" s="10">
        <f>VALUE(TRIM(Dataset!F1075))</f>
        <v>362.06</v>
      </c>
      <c r="G1075" s="6" t="str">
        <f>TRIM(Dataset!G1075)</f>
        <v>294 Main St</v>
      </c>
      <c r="H1075" s="6" t="str">
        <f>TRIM(Dataset!H1075)</f>
        <v>Debit Card</v>
      </c>
      <c r="I1075" s="6" t="str">
        <f>TRIM(Dataset!I1075)</f>
        <v>Returned</v>
      </c>
      <c r="J1075" s="6" t="str">
        <f>TRIM(Dataset!J1075)</f>
        <v>TRK11107152</v>
      </c>
      <c r="K1075" s="8" t="str">
        <f>TRIM(Dataset!K1075)</f>
        <v>4</v>
      </c>
      <c r="L1075" s="6" t="s">
        <v>4284</v>
      </c>
      <c r="M1075" s="6" t="str">
        <f>TRIM(Dataset!M1075)</f>
        <v>Facebook</v>
      </c>
      <c r="N1075" s="10">
        <f>VALUE(TRIM(Dataset!N1075))</f>
        <v>1448.24</v>
      </c>
    </row>
    <row r="1076" spans="1:14" x14ac:dyDescent="0.35">
      <c r="A1076" s="6" t="str">
        <f>TRIM(Dataset!A1076)</f>
        <v>ORD201074</v>
      </c>
      <c r="B1076" s="4">
        <f>Dataset!B1076</f>
        <v>45422</v>
      </c>
      <c r="C1076" s="6" t="str">
        <f>TRIM(Dataset!C1076)</f>
        <v>C21437</v>
      </c>
      <c r="D1076" s="6" t="str">
        <f>TRIM(Dataset!D1076)</f>
        <v>Phone</v>
      </c>
      <c r="E1076" s="13">
        <f>VALUE(TRIM(Dataset!E1076))</f>
        <v>1</v>
      </c>
      <c r="F1076" s="10">
        <f>VALUE(TRIM(Dataset!F1076))</f>
        <v>222.73</v>
      </c>
      <c r="G1076" s="6" t="str">
        <f>TRIM(Dataset!G1076)</f>
        <v>120 Main St</v>
      </c>
      <c r="H1076" s="6" t="str">
        <f>TRIM(Dataset!H1076)</f>
        <v>Online</v>
      </c>
      <c r="I1076" s="6" t="str">
        <f>TRIM(Dataset!I1076)</f>
        <v>Returned</v>
      </c>
      <c r="J1076" s="6" t="str">
        <f>TRIM(Dataset!J1076)</f>
        <v>TRK81624772</v>
      </c>
      <c r="K1076" s="8" t="str">
        <f>TRIM(Dataset!K1076)</f>
        <v>4</v>
      </c>
      <c r="L1076" s="6" t="s">
        <v>4284</v>
      </c>
      <c r="M1076" s="6" t="str">
        <f>TRIM(Dataset!M1076)</f>
        <v>Google</v>
      </c>
      <c r="N1076" s="10">
        <f>VALUE(TRIM(Dataset!N1076))</f>
        <v>222.73</v>
      </c>
    </row>
    <row r="1077" spans="1:14" x14ac:dyDescent="0.35">
      <c r="A1077" s="6" t="str">
        <f>TRIM(Dataset!A1077)</f>
        <v>ORD201075</v>
      </c>
      <c r="B1077" s="4">
        <f>Dataset!B1077</f>
        <v>45535</v>
      </c>
      <c r="C1077" s="6" t="str">
        <f>TRIM(Dataset!C1077)</f>
        <v>C40949</v>
      </c>
      <c r="D1077" s="6" t="str">
        <f>TRIM(Dataset!D1077)</f>
        <v>Monitor</v>
      </c>
      <c r="E1077" s="13">
        <f>VALUE(TRIM(Dataset!E1077))</f>
        <v>2</v>
      </c>
      <c r="F1077" s="10">
        <f>VALUE(TRIM(Dataset!F1077))</f>
        <v>552.63</v>
      </c>
      <c r="G1077" s="6" t="str">
        <f>TRIM(Dataset!G1077)</f>
        <v>609 Main St</v>
      </c>
      <c r="H1077" s="6" t="str">
        <f>TRIM(Dataset!H1077)</f>
        <v>Debit Card</v>
      </c>
      <c r="I1077" s="6" t="str">
        <f>TRIM(Dataset!I1077)</f>
        <v>Delivered</v>
      </c>
      <c r="J1077" s="6" t="str">
        <f>TRIM(Dataset!J1077)</f>
        <v>TRK43066749</v>
      </c>
      <c r="K1077" s="8" t="str">
        <f>TRIM(Dataset!K1077)</f>
        <v>7</v>
      </c>
      <c r="L1077" s="6" t="str">
        <f>Dataset!L1077</f>
        <v>WINTER15</v>
      </c>
      <c r="M1077" s="6" t="str">
        <f>TRIM(Dataset!M1077)</f>
        <v>Instagram</v>
      </c>
      <c r="N1077" s="10">
        <f>VALUE(TRIM(Dataset!N1077))</f>
        <v>1105.26</v>
      </c>
    </row>
    <row r="1078" spans="1:14" x14ac:dyDescent="0.35">
      <c r="A1078" s="6" t="str">
        <f>TRIM(Dataset!A1078)</f>
        <v>ORD201076</v>
      </c>
      <c r="B1078" s="4">
        <f>Dataset!B1078</f>
        <v>45054</v>
      </c>
      <c r="C1078" s="6" t="str">
        <f>TRIM(Dataset!C1078)</f>
        <v>C99116</v>
      </c>
      <c r="D1078" s="6" t="str">
        <f>TRIM(Dataset!D1078)</f>
        <v>Laptop</v>
      </c>
      <c r="E1078" s="13">
        <f>VALUE(TRIM(Dataset!E1078))</f>
        <v>4</v>
      </c>
      <c r="F1078" s="10">
        <f>VALUE(TRIM(Dataset!F1078))</f>
        <v>686.61</v>
      </c>
      <c r="G1078" s="6" t="str">
        <f>TRIM(Dataset!G1078)</f>
        <v>176 Main St</v>
      </c>
      <c r="H1078" s="6" t="str">
        <f>TRIM(Dataset!H1078)</f>
        <v>Cash</v>
      </c>
      <c r="I1078" s="6" t="str">
        <f>TRIM(Dataset!I1078)</f>
        <v>Shipped</v>
      </c>
      <c r="J1078" s="6" t="str">
        <f>TRIM(Dataset!J1078)</f>
        <v>TRK52711973</v>
      </c>
      <c r="K1078" s="8" t="str">
        <f>TRIM(Dataset!K1078)</f>
        <v>6</v>
      </c>
      <c r="L1078" s="6" t="s">
        <v>4284</v>
      </c>
      <c r="M1078" s="6" t="str">
        <f>TRIM(Dataset!M1078)</f>
        <v>Referral</v>
      </c>
      <c r="N1078" s="10">
        <f>VALUE(TRIM(Dataset!N1078))</f>
        <v>2746.44</v>
      </c>
    </row>
    <row r="1079" spans="1:14" x14ac:dyDescent="0.35">
      <c r="A1079" s="6" t="str">
        <f>TRIM(Dataset!A1079)</f>
        <v>ORD201077</v>
      </c>
      <c r="B1079" s="4">
        <f>Dataset!B1079</f>
        <v>45723</v>
      </c>
      <c r="C1079" s="6" t="str">
        <f>TRIM(Dataset!C1079)</f>
        <v>C57861</v>
      </c>
      <c r="D1079" s="6" t="str">
        <f>TRIM(Dataset!D1079)</f>
        <v>Printer</v>
      </c>
      <c r="E1079" s="13">
        <f>VALUE(TRIM(Dataset!E1079))</f>
        <v>3</v>
      </c>
      <c r="F1079" s="10">
        <f>VALUE(TRIM(Dataset!F1079))</f>
        <v>305.16000000000003</v>
      </c>
      <c r="G1079" s="6" t="str">
        <f>TRIM(Dataset!G1079)</f>
        <v>115 Main St</v>
      </c>
      <c r="H1079" s="6" t="str">
        <f>TRIM(Dataset!H1079)</f>
        <v>Credit Card</v>
      </c>
      <c r="I1079" s="6" t="str">
        <f>TRIM(Dataset!I1079)</f>
        <v>Cancelled</v>
      </c>
      <c r="J1079" s="6" t="str">
        <f>TRIM(Dataset!J1079)</f>
        <v>TRK47775217</v>
      </c>
      <c r="K1079" s="8" t="str">
        <f>TRIM(Dataset!K1079)</f>
        <v>8</v>
      </c>
      <c r="L1079" s="6" t="str">
        <f>Dataset!L1079</f>
        <v>SAVE10</v>
      </c>
      <c r="M1079" s="6" t="str">
        <f>TRIM(Dataset!M1079)</f>
        <v>Referral</v>
      </c>
      <c r="N1079" s="10">
        <f>VALUE(TRIM(Dataset!N1079))</f>
        <v>915.48</v>
      </c>
    </row>
    <row r="1080" spans="1:14" x14ac:dyDescent="0.35">
      <c r="A1080" s="6" t="str">
        <f>TRIM(Dataset!A1080)</f>
        <v>ORD201078</v>
      </c>
      <c r="B1080" s="4">
        <f>Dataset!B1080</f>
        <v>45003</v>
      </c>
      <c r="C1080" s="6" t="str">
        <f>TRIM(Dataset!C1080)</f>
        <v>C62627</v>
      </c>
      <c r="D1080" s="6" t="str">
        <f>TRIM(Dataset!D1080)</f>
        <v>Desk</v>
      </c>
      <c r="E1080" s="13">
        <f>VALUE(TRIM(Dataset!E1080))</f>
        <v>1</v>
      </c>
      <c r="F1080" s="10">
        <f>VALUE(TRIM(Dataset!F1080))</f>
        <v>41.09</v>
      </c>
      <c r="G1080" s="6" t="str">
        <f>TRIM(Dataset!G1080)</f>
        <v>881 Main St</v>
      </c>
      <c r="H1080" s="6" t="str">
        <f>TRIM(Dataset!H1080)</f>
        <v>Online</v>
      </c>
      <c r="I1080" s="6" t="str">
        <f>TRIM(Dataset!I1080)</f>
        <v>Returned</v>
      </c>
      <c r="J1080" s="6" t="str">
        <f>TRIM(Dataset!J1080)</f>
        <v>TRK90060232</v>
      </c>
      <c r="K1080" s="8" t="str">
        <f>TRIM(Dataset!K1080)</f>
        <v>4</v>
      </c>
      <c r="L1080" s="6" t="str">
        <f>Dataset!L1080</f>
        <v>WINTER15</v>
      </c>
      <c r="M1080" s="6" t="str">
        <f>TRIM(Dataset!M1080)</f>
        <v>Email</v>
      </c>
      <c r="N1080" s="10">
        <f>VALUE(TRIM(Dataset!N1080))</f>
        <v>41.09</v>
      </c>
    </row>
    <row r="1081" spans="1:14" x14ac:dyDescent="0.35">
      <c r="A1081" s="6" t="str">
        <f>TRIM(Dataset!A1081)</f>
        <v>ORD201079</v>
      </c>
      <c r="B1081" s="4">
        <f>Dataset!B1081</f>
        <v>45463</v>
      </c>
      <c r="C1081" s="6" t="str">
        <f>TRIM(Dataset!C1081)</f>
        <v>C89979</v>
      </c>
      <c r="D1081" s="6" t="str">
        <f>TRIM(Dataset!D1081)</f>
        <v>Phone</v>
      </c>
      <c r="E1081" s="13">
        <f>VALUE(TRIM(Dataset!E1081))</f>
        <v>5</v>
      </c>
      <c r="F1081" s="10">
        <f>VALUE(TRIM(Dataset!F1081))</f>
        <v>634</v>
      </c>
      <c r="G1081" s="6" t="str">
        <f>TRIM(Dataset!G1081)</f>
        <v>144 Main St</v>
      </c>
      <c r="H1081" s="6" t="str">
        <f>TRIM(Dataset!H1081)</f>
        <v>Gift Card</v>
      </c>
      <c r="I1081" s="6" t="str">
        <f>TRIM(Dataset!I1081)</f>
        <v>Delivered</v>
      </c>
      <c r="J1081" s="6" t="str">
        <f>TRIM(Dataset!J1081)</f>
        <v>TRK99055909</v>
      </c>
      <c r="K1081" s="8" t="str">
        <f>TRIM(Dataset!K1081)</f>
        <v>8</v>
      </c>
      <c r="L1081" s="6" t="s">
        <v>4284</v>
      </c>
      <c r="M1081" s="6" t="str">
        <f>TRIM(Dataset!M1081)</f>
        <v>Email</v>
      </c>
      <c r="N1081" s="10">
        <f>VALUE(TRIM(Dataset!N1081))</f>
        <v>3170</v>
      </c>
    </row>
    <row r="1082" spans="1:14" x14ac:dyDescent="0.35">
      <c r="A1082" s="6" t="str">
        <f>TRIM(Dataset!A1082)</f>
        <v>ORD201080</v>
      </c>
      <c r="B1082" s="4">
        <f>Dataset!B1082</f>
        <v>44946</v>
      </c>
      <c r="C1082" s="6" t="str">
        <f>TRIM(Dataset!C1082)</f>
        <v>C70613</v>
      </c>
      <c r="D1082" s="6" t="str">
        <f>TRIM(Dataset!D1082)</f>
        <v>Laptop</v>
      </c>
      <c r="E1082" s="13">
        <f>VALUE(TRIM(Dataset!E1082))</f>
        <v>5</v>
      </c>
      <c r="F1082" s="10">
        <f>VALUE(TRIM(Dataset!F1082))</f>
        <v>464.74</v>
      </c>
      <c r="G1082" s="6" t="str">
        <f>TRIM(Dataset!G1082)</f>
        <v>438 Main St</v>
      </c>
      <c r="H1082" s="6" t="str">
        <f>TRIM(Dataset!H1082)</f>
        <v>Gift Card</v>
      </c>
      <c r="I1082" s="6" t="str">
        <f>TRIM(Dataset!I1082)</f>
        <v>Delivered</v>
      </c>
      <c r="J1082" s="6" t="str">
        <f>TRIM(Dataset!J1082)</f>
        <v>TRK33140293</v>
      </c>
      <c r="K1082" s="8" t="str">
        <f>TRIM(Dataset!K1082)</f>
        <v>7</v>
      </c>
      <c r="L1082" s="6" t="s">
        <v>4284</v>
      </c>
      <c r="M1082" s="6" t="str">
        <f>TRIM(Dataset!M1082)</f>
        <v>Referral</v>
      </c>
      <c r="N1082" s="10">
        <f>VALUE(TRIM(Dataset!N1082))</f>
        <v>2323.6999999999998</v>
      </c>
    </row>
    <row r="1083" spans="1:14" x14ac:dyDescent="0.35">
      <c r="A1083" s="6" t="str">
        <f>TRIM(Dataset!A1083)</f>
        <v>ORD201081</v>
      </c>
      <c r="B1083" s="4">
        <f>Dataset!B1083</f>
        <v>45037</v>
      </c>
      <c r="C1083" s="6" t="str">
        <f>TRIM(Dataset!C1083)</f>
        <v>C55636</v>
      </c>
      <c r="D1083" s="6" t="str">
        <f>TRIM(Dataset!D1083)</f>
        <v>Monitor</v>
      </c>
      <c r="E1083" s="13">
        <f>VALUE(TRIM(Dataset!E1083))</f>
        <v>4</v>
      </c>
      <c r="F1083" s="10">
        <f>VALUE(TRIM(Dataset!F1083))</f>
        <v>425.6</v>
      </c>
      <c r="G1083" s="6" t="str">
        <f>TRIM(Dataset!G1083)</f>
        <v>494 Main St</v>
      </c>
      <c r="H1083" s="6" t="str">
        <f>TRIM(Dataset!H1083)</f>
        <v>Credit Card</v>
      </c>
      <c r="I1083" s="6" t="str">
        <f>TRIM(Dataset!I1083)</f>
        <v>Pending</v>
      </c>
      <c r="J1083" s="6" t="str">
        <f>TRIM(Dataset!J1083)</f>
        <v>TRK85897054</v>
      </c>
      <c r="K1083" s="8" t="str">
        <f>TRIM(Dataset!K1083)</f>
        <v>5</v>
      </c>
      <c r="L1083" s="6" t="str">
        <f>Dataset!L1083</f>
        <v>FREESHIP</v>
      </c>
      <c r="M1083" s="6" t="str">
        <f>TRIM(Dataset!M1083)</f>
        <v>Google</v>
      </c>
      <c r="N1083" s="10">
        <f>VALUE(TRIM(Dataset!N1083))</f>
        <v>1702.4</v>
      </c>
    </row>
    <row r="1084" spans="1:14" x14ac:dyDescent="0.35">
      <c r="A1084" s="6" t="str">
        <f>TRIM(Dataset!A1084)</f>
        <v>ORD201082</v>
      </c>
      <c r="B1084" s="4">
        <f>Dataset!B1084</f>
        <v>45205</v>
      </c>
      <c r="C1084" s="6" t="str">
        <f>TRIM(Dataset!C1084)</f>
        <v>C96595</v>
      </c>
      <c r="D1084" s="6" t="str">
        <f>TRIM(Dataset!D1084)</f>
        <v>Chair</v>
      </c>
      <c r="E1084" s="13">
        <f>VALUE(TRIM(Dataset!E1084))</f>
        <v>3</v>
      </c>
      <c r="F1084" s="10">
        <f>VALUE(TRIM(Dataset!F1084))</f>
        <v>573.22</v>
      </c>
      <c r="G1084" s="6" t="str">
        <f>TRIM(Dataset!G1084)</f>
        <v>177 Main St</v>
      </c>
      <c r="H1084" s="6" t="str">
        <f>TRIM(Dataset!H1084)</f>
        <v>Debit Card</v>
      </c>
      <c r="I1084" s="6" t="str">
        <f>TRIM(Dataset!I1084)</f>
        <v>Pending</v>
      </c>
      <c r="J1084" s="6" t="str">
        <f>TRIM(Dataset!J1084)</f>
        <v>TRK59779174</v>
      </c>
      <c r="K1084" s="8" t="str">
        <f>TRIM(Dataset!K1084)</f>
        <v>5</v>
      </c>
      <c r="L1084" s="6" t="str">
        <f>Dataset!L1084</f>
        <v>SAVE10</v>
      </c>
      <c r="M1084" s="6" t="str">
        <f>TRIM(Dataset!M1084)</f>
        <v>Email</v>
      </c>
      <c r="N1084" s="10">
        <f>VALUE(TRIM(Dataset!N1084))</f>
        <v>1719.66</v>
      </c>
    </row>
    <row r="1085" spans="1:14" x14ac:dyDescent="0.35">
      <c r="A1085" s="6" t="str">
        <f>TRIM(Dataset!A1085)</f>
        <v>ORD201083</v>
      </c>
      <c r="B1085" s="4">
        <f>Dataset!B1085</f>
        <v>45482</v>
      </c>
      <c r="C1085" s="6" t="str">
        <f>TRIM(Dataset!C1085)</f>
        <v>C68508</v>
      </c>
      <c r="D1085" s="6" t="str">
        <f>TRIM(Dataset!D1085)</f>
        <v>Chair</v>
      </c>
      <c r="E1085" s="13">
        <f>VALUE(TRIM(Dataset!E1085))</f>
        <v>1</v>
      </c>
      <c r="F1085" s="10">
        <f>VALUE(TRIM(Dataset!F1085))</f>
        <v>123.28</v>
      </c>
      <c r="G1085" s="6" t="str">
        <f>TRIM(Dataset!G1085)</f>
        <v>895 Main St</v>
      </c>
      <c r="H1085" s="6" t="str">
        <f>TRIM(Dataset!H1085)</f>
        <v>Credit Card</v>
      </c>
      <c r="I1085" s="6" t="str">
        <f>TRIM(Dataset!I1085)</f>
        <v>Delivered</v>
      </c>
      <c r="J1085" s="6" t="str">
        <f>TRIM(Dataset!J1085)</f>
        <v>TRK98960285</v>
      </c>
      <c r="K1085" s="8" t="str">
        <f>TRIM(Dataset!K1085)</f>
        <v>3</v>
      </c>
      <c r="L1085" s="6" t="str">
        <f>Dataset!L1085</f>
        <v>SAVE10</v>
      </c>
      <c r="M1085" s="6" t="str">
        <f>TRIM(Dataset!M1085)</f>
        <v>Email</v>
      </c>
      <c r="N1085" s="10">
        <f>VALUE(TRIM(Dataset!N1085))</f>
        <v>123.28</v>
      </c>
    </row>
    <row r="1086" spans="1:14" x14ac:dyDescent="0.35">
      <c r="A1086" s="6" t="str">
        <f>TRIM(Dataset!A1086)</f>
        <v>ORD201084</v>
      </c>
      <c r="B1086" s="4">
        <f>Dataset!B1086</f>
        <v>44934</v>
      </c>
      <c r="C1086" s="6" t="str">
        <f>TRIM(Dataset!C1086)</f>
        <v>C45175</v>
      </c>
      <c r="D1086" s="6" t="str">
        <f>TRIM(Dataset!D1086)</f>
        <v>Phone</v>
      </c>
      <c r="E1086" s="13">
        <f>VALUE(TRIM(Dataset!E1086))</f>
        <v>1</v>
      </c>
      <c r="F1086" s="10">
        <f>VALUE(TRIM(Dataset!F1086))</f>
        <v>70.819999999999993</v>
      </c>
      <c r="G1086" s="6" t="str">
        <f>TRIM(Dataset!G1086)</f>
        <v>128 Main St</v>
      </c>
      <c r="H1086" s="6" t="str">
        <f>TRIM(Dataset!H1086)</f>
        <v>Gift Card</v>
      </c>
      <c r="I1086" s="6" t="str">
        <f>TRIM(Dataset!I1086)</f>
        <v>Pending</v>
      </c>
      <c r="J1086" s="6" t="str">
        <f>TRIM(Dataset!J1086)</f>
        <v>TRK41792296</v>
      </c>
      <c r="K1086" s="8" t="str">
        <f>TRIM(Dataset!K1086)</f>
        <v>1</v>
      </c>
      <c r="L1086" s="6" t="str">
        <f>Dataset!L1086</f>
        <v>WINTER15</v>
      </c>
      <c r="M1086" s="6" t="str">
        <f>TRIM(Dataset!M1086)</f>
        <v>Instagram</v>
      </c>
      <c r="N1086" s="10">
        <f>VALUE(TRIM(Dataset!N1086))</f>
        <v>70.819999999999993</v>
      </c>
    </row>
    <row r="1087" spans="1:14" x14ac:dyDescent="0.35">
      <c r="A1087" s="6" t="str">
        <f>TRIM(Dataset!A1087)</f>
        <v>ORD201085</v>
      </c>
      <c r="B1087" s="4">
        <f>Dataset!B1087</f>
        <v>45067</v>
      </c>
      <c r="C1087" s="6" t="str">
        <f>TRIM(Dataset!C1087)</f>
        <v>C28049</v>
      </c>
      <c r="D1087" s="6" t="str">
        <f>TRIM(Dataset!D1087)</f>
        <v>Printer</v>
      </c>
      <c r="E1087" s="13">
        <f>VALUE(TRIM(Dataset!E1087))</f>
        <v>2</v>
      </c>
      <c r="F1087" s="10">
        <f>VALUE(TRIM(Dataset!F1087))</f>
        <v>646.69000000000005</v>
      </c>
      <c r="G1087" s="6" t="str">
        <f>TRIM(Dataset!G1087)</f>
        <v>404 Main St</v>
      </c>
      <c r="H1087" s="6" t="str">
        <f>TRIM(Dataset!H1087)</f>
        <v>Debit Card</v>
      </c>
      <c r="I1087" s="6" t="str">
        <f>TRIM(Dataset!I1087)</f>
        <v>Shipped</v>
      </c>
      <c r="J1087" s="6" t="str">
        <f>TRIM(Dataset!J1087)</f>
        <v>TRK91426444</v>
      </c>
      <c r="K1087" s="8" t="str">
        <f>TRIM(Dataset!K1087)</f>
        <v>7</v>
      </c>
      <c r="L1087" s="6" t="str">
        <f>Dataset!L1087</f>
        <v>WINTER15</v>
      </c>
      <c r="M1087" s="6" t="str">
        <f>TRIM(Dataset!M1087)</f>
        <v>Instagram</v>
      </c>
      <c r="N1087" s="10">
        <f>VALUE(TRIM(Dataset!N1087))</f>
        <v>1293.3800000000001</v>
      </c>
    </row>
    <row r="1088" spans="1:14" x14ac:dyDescent="0.35">
      <c r="A1088" s="6" t="str">
        <f>TRIM(Dataset!A1088)</f>
        <v>ORD201086</v>
      </c>
      <c r="B1088" s="4">
        <f>Dataset!B1088</f>
        <v>45283</v>
      </c>
      <c r="C1088" s="6" t="str">
        <f>TRIM(Dataset!C1088)</f>
        <v>C46967</v>
      </c>
      <c r="D1088" s="6" t="str">
        <f>TRIM(Dataset!D1088)</f>
        <v>Tablet</v>
      </c>
      <c r="E1088" s="13">
        <f>VALUE(TRIM(Dataset!E1088))</f>
        <v>2</v>
      </c>
      <c r="F1088" s="10">
        <f>VALUE(TRIM(Dataset!F1088))</f>
        <v>513.41999999999996</v>
      </c>
      <c r="G1088" s="6" t="str">
        <f>TRIM(Dataset!G1088)</f>
        <v>401 Main St</v>
      </c>
      <c r="H1088" s="6" t="str">
        <f>TRIM(Dataset!H1088)</f>
        <v>Online</v>
      </c>
      <c r="I1088" s="6" t="str">
        <f>TRIM(Dataset!I1088)</f>
        <v>Pending</v>
      </c>
      <c r="J1088" s="6" t="str">
        <f>TRIM(Dataset!J1088)</f>
        <v>TRK91439791</v>
      </c>
      <c r="K1088" s="8" t="str">
        <f>TRIM(Dataset!K1088)</f>
        <v>5</v>
      </c>
      <c r="L1088" s="6" t="str">
        <f>Dataset!L1088</f>
        <v>WINTER15</v>
      </c>
      <c r="M1088" s="6" t="str">
        <f>TRIM(Dataset!M1088)</f>
        <v>Instagram</v>
      </c>
      <c r="N1088" s="10">
        <f>VALUE(TRIM(Dataset!N1088))</f>
        <v>1026.8399999999999</v>
      </c>
    </row>
    <row r="1089" spans="1:14" x14ac:dyDescent="0.35">
      <c r="A1089" s="6" t="str">
        <f>TRIM(Dataset!A1089)</f>
        <v>ORD201087</v>
      </c>
      <c r="B1089" s="4">
        <f>Dataset!B1089</f>
        <v>45739</v>
      </c>
      <c r="C1089" s="6" t="str">
        <f>TRIM(Dataset!C1089)</f>
        <v>C84134</v>
      </c>
      <c r="D1089" s="6" t="str">
        <f>TRIM(Dataset!D1089)</f>
        <v>Laptop</v>
      </c>
      <c r="E1089" s="13">
        <f>VALUE(TRIM(Dataset!E1089))</f>
        <v>4</v>
      </c>
      <c r="F1089" s="10">
        <f>VALUE(TRIM(Dataset!F1089))</f>
        <v>693.07</v>
      </c>
      <c r="G1089" s="6" t="str">
        <f>TRIM(Dataset!G1089)</f>
        <v>530 Main St</v>
      </c>
      <c r="H1089" s="6" t="str">
        <f>TRIM(Dataset!H1089)</f>
        <v>Online</v>
      </c>
      <c r="I1089" s="6" t="str">
        <f>TRIM(Dataset!I1089)</f>
        <v>Shipped</v>
      </c>
      <c r="J1089" s="6" t="str">
        <f>TRIM(Dataset!J1089)</f>
        <v>TRK48659380</v>
      </c>
      <c r="K1089" s="8" t="str">
        <f>TRIM(Dataset!K1089)</f>
        <v>8</v>
      </c>
      <c r="L1089" s="6" t="str">
        <f>Dataset!L1089</f>
        <v>SAVE10</v>
      </c>
      <c r="M1089" s="6" t="str">
        <f>TRIM(Dataset!M1089)</f>
        <v>Instagram</v>
      </c>
      <c r="N1089" s="10">
        <f>VALUE(TRIM(Dataset!N1089))</f>
        <v>2772.28</v>
      </c>
    </row>
    <row r="1090" spans="1:14" x14ac:dyDescent="0.35">
      <c r="A1090" s="6" t="str">
        <f>TRIM(Dataset!A1090)</f>
        <v>ORD201088</v>
      </c>
      <c r="B1090" s="4">
        <f>Dataset!B1090</f>
        <v>45260</v>
      </c>
      <c r="C1090" s="6" t="str">
        <f>TRIM(Dataset!C1090)</f>
        <v>C49831</v>
      </c>
      <c r="D1090" s="6" t="str">
        <f>TRIM(Dataset!D1090)</f>
        <v>Desk</v>
      </c>
      <c r="E1090" s="13">
        <f>VALUE(TRIM(Dataset!E1090))</f>
        <v>3</v>
      </c>
      <c r="F1090" s="10">
        <f>VALUE(TRIM(Dataset!F1090))</f>
        <v>491.43</v>
      </c>
      <c r="G1090" s="6" t="str">
        <f>TRIM(Dataset!G1090)</f>
        <v>213 Main St</v>
      </c>
      <c r="H1090" s="6" t="str">
        <f>TRIM(Dataset!H1090)</f>
        <v>Gift Card</v>
      </c>
      <c r="I1090" s="6" t="str">
        <f>TRIM(Dataset!I1090)</f>
        <v>Shipped</v>
      </c>
      <c r="J1090" s="6" t="str">
        <f>TRIM(Dataset!J1090)</f>
        <v>TRK21232601</v>
      </c>
      <c r="K1090" s="8" t="str">
        <f>TRIM(Dataset!K1090)</f>
        <v>6</v>
      </c>
      <c r="L1090" s="6" t="str">
        <f>Dataset!L1090</f>
        <v>WINTER15</v>
      </c>
      <c r="M1090" s="6" t="str">
        <f>TRIM(Dataset!M1090)</f>
        <v>Instagram</v>
      </c>
      <c r="N1090" s="10">
        <f>VALUE(TRIM(Dataset!N1090))</f>
        <v>1474.29</v>
      </c>
    </row>
    <row r="1091" spans="1:14" x14ac:dyDescent="0.35">
      <c r="A1091" s="6" t="str">
        <f>TRIM(Dataset!A1091)</f>
        <v>ORD201089</v>
      </c>
      <c r="B1091" s="4">
        <f>Dataset!B1091</f>
        <v>45731</v>
      </c>
      <c r="C1091" s="6" t="str">
        <f>TRIM(Dataset!C1091)</f>
        <v>C13324</v>
      </c>
      <c r="D1091" s="6" t="str">
        <f>TRIM(Dataset!D1091)</f>
        <v>Tablet</v>
      </c>
      <c r="E1091" s="13">
        <f>VALUE(TRIM(Dataset!E1091))</f>
        <v>2</v>
      </c>
      <c r="F1091" s="10">
        <f>VALUE(TRIM(Dataset!F1091))</f>
        <v>599.74</v>
      </c>
      <c r="G1091" s="6" t="str">
        <f>TRIM(Dataset!G1091)</f>
        <v>440 Main St</v>
      </c>
      <c r="H1091" s="6" t="str">
        <f>TRIM(Dataset!H1091)</f>
        <v>Gift Card</v>
      </c>
      <c r="I1091" s="6" t="str">
        <f>TRIM(Dataset!I1091)</f>
        <v>Shipped</v>
      </c>
      <c r="J1091" s="6" t="str">
        <f>TRIM(Dataset!J1091)</f>
        <v>TRK66967997</v>
      </c>
      <c r="K1091" s="8" t="str">
        <f>TRIM(Dataset!K1091)</f>
        <v>2</v>
      </c>
      <c r="L1091" s="6" t="s">
        <v>4284</v>
      </c>
      <c r="M1091" s="6" t="str">
        <f>TRIM(Dataset!M1091)</f>
        <v>Instagram</v>
      </c>
      <c r="N1091" s="10">
        <f>VALUE(TRIM(Dataset!N1091))</f>
        <v>1199.48</v>
      </c>
    </row>
    <row r="1092" spans="1:14" x14ac:dyDescent="0.35">
      <c r="A1092" s="6" t="str">
        <f>TRIM(Dataset!A1092)</f>
        <v>ORD201090</v>
      </c>
      <c r="B1092" s="4">
        <f>Dataset!B1092</f>
        <v>44982</v>
      </c>
      <c r="C1092" s="6" t="str">
        <f>TRIM(Dataset!C1092)</f>
        <v>C61225</v>
      </c>
      <c r="D1092" s="6" t="str">
        <f>TRIM(Dataset!D1092)</f>
        <v>Monitor</v>
      </c>
      <c r="E1092" s="13">
        <f>VALUE(TRIM(Dataset!E1092))</f>
        <v>2</v>
      </c>
      <c r="F1092" s="10">
        <f>VALUE(TRIM(Dataset!F1092))</f>
        <v>650.25</v>
      </c>
      <c r="G1092" s="6" t="str">
        <f>TRIM(Dataset!G1092)</f>
        <v>996 Main St</v>
      </c>
      <c r="H1092" s="6" t="str">
        <f>TRIM(Dataset!H1092)</f>
        <v>Gift Card</v>
      </c>
      <c r="I1092" s="6" t="str">
        <f>TRIM(Dataset!I1092)</f>
        <v>Returned</v>
      </c>
      <c r="J1092" s="6" t="str">
        <f>TRIM(Dataset!J1092)</f>
        <v>TRK37022954</v>
      </c>
      <c r="K1092" s="8" t="str">
        <f>TRIM(Dataset!K1092)</f>
        <v>6</v>
      </c>
      <c r="L1092" s="6" t="s">
        <v>4284</v>
      </c>
      <c r="M1092" s="6" t="str">
        <f>TRIM(Dataset!M1092)</f>
        <v>Instagram</v>
      </c>
      <c r="N1092" s="10">
        <f>VALUE(TRIM(Dataset!N1092))</f>
        <v>1300.5</v>
      </c>
    </row>
    <row r="1093" spans="1:14" x14ac:dyDescent="0.35">
      <c r="A1093" s="6" t="str">
        <f>TRIM(Dataset!A1093)</f>
        <v>ORD201091</v>
      </c>
      <c r="B1093" s="4">
        <f>Dataset!B1093</f>
        <v>45573</v>
      </c>
      <c r="C1093" s="6" t="str">
        <f>TRIM(Dataset!C1093)</f>
        <v>C16400</v>
      </c>
      <c r="D1093" s="6" t="str">
        <f>TRIM(Dataset!D1093)</f>
        <v>Laptop</v>
      </c>
      <c r="E1093" s="13">
        <f>VALUE(TRIM(Dataset!E1093))</f>
        <v>3</v>
      </c>
      <c r="F1093" s="10">
        <f>VALUE(TRIM(Dataset!F1093))</f>
        <v>209.48</v>
      </c>
      <c r="G1093" s="6" t="str">
        <f>TRIM(Dataset!G1093)</f>
        <v>123 Main St</v>
      </c>
      <c r="H1093" s="6" t="str">
        <f>TRIM(Dataset!H1093)</f>
        <v>Debit Card</v>
      </c>
      <c r="I1093" s="6" t="str">
        <f>TRIM(Dataset!I1093)</f>
        <v>Pending</v>
      </c>
      <c r="J1093" s="6" t="str">
        <f>TRIM(Dataset!J1093)</f>
        <v>TRK57771859</v>
      </c>
      <c r="K1093" s="8" t="str">
        <f>TRIM(Dataset!K1093)</f>
        <v>4</v>
      </c>
      <c r="L1093" s="6" t="s">
        <v>4284</v>
      </c>
      <c r="M1093" s="6" t="str">
        <f>TRIM(Dataset!M1093)</f>
        <v>Email</v>
      </c>
      <c r="N1093" s="10">
        <f>VALUE(TRIM(Dataset!N1093))</f>
        <v>628.44000000000005</v>
      </c>
    </row>
    <row r="1094" spans="1:14" x14ac:dyDescent="0.35">
      <c r="A1094" s="6" t="str">
        <f>TRIM(Dataset!A1094)</f>
        <v>ORD201092</v>
      </c>
      <c r="B1094" s="4">
        <f>Dataset!B1094</f>
        <v>45159</v>
      </c>
      <c r="C1094" s="6" t="str">
        <f>TRIM(Dataset!C1094)</f>
        <v>C38642</v>
      </c>
      <c r="D1094" s="6" t="str">
        <f>TRIM(Dataset!D1094)</f>
        <v>Laptop</v>
      </c>
      <c r="E1094" s="13">
        <f>VALUE(TRIM(Dataset!E1094))</f>
        <v>5</v>
      </c>
      <c r="F1094" s="10">
        <f>VALUE(TRIM(Dataset!F1094))</f>
        <v>209.2</v>
      </c>
      <c r="G1094" s="6" t="str">
        <f>TRIM(Dataset!G1094)</f>
        <v>930 Main St</v>
      </c>
      <c r="H1094" s="6" t="str">
        <f>TRIM(Dataset!H1094)</f>
        <v>Debit Card</v>
      </c>
      <c r="I1094" s="6" t="str">
        <f>TRIM(Dataset!I1094)</f>
        <v>Delivered</v>
      </c>
      <c r="J1094" s="6" t="str">
        <f>TRIM(Dataset!J1094)</f>
        <v>TRK47744396</v>
      </c>
      <c r="K1094" s="8" t="str">
        <f>TRIM(Dataset!K1094)</f>
        <v>6</v>
      </c>
      <c r="L1094" s="6" t="str">
        <f>Dataset!L1094</f>
        <v>WINTER15</v>
      </c>
      <c r="M1094" s="6" t="str">
        <f>TRIM(Dataset!M1094)</f>
        <v>Email</v>
      </c>
      <c r="N1094" s="10">
        <f>VALUE(TRIM(Dataset!N1094))</f>
        <v>1046</v>
      </c>
    </row>
    <row r="1095" spans="1:14" x14ac:dyDescent="0.35">
      <c r="A1095" s="6" t="str">
        <f>TRIM(Dataset!A1095)</f>
        <v>ORD201093</v>
      </c>
      <c r="B1095" s="4">
        <f>Dataset!B1095</f>
        <v>45086</v>
      </c>
      <c r="C1095" s="6" t="str">
        <f>TRIM(Dataset!C1095)</f>
        <v>C86773</v>
      </c>
      <c r="D1095" s="6" t="str">
        <f>TRIM(Dataset!D1095)</f>
        <v>Phone</v>
      </c>
      <c r="E1095" s="13">
        <f>VALUE(TRIM(Dataset!E1095))</f>
        <v>4</v>
      </c>
      <c r="F1095" s="10">
        <f>VALUE(TRIM(Dataset!F1095))</f>
        <v>197.36</v>
      </c>
      <c r="G1095" s="6" t="str">
        <f>TRIM(Dataset!G1095)</f>
        <v>557 Main St</v>
      </c>
      <c r="H1095" s="6" t="str">
        <f>TRIM(Dataset!H1095)</f>
        <v>Gift Card</v>
      </c>
      <c r="I1095" s="6" t="str">
        <f>TRIM(Dataset!I1095)</f>
        <v>Returned</v>
      </c>
      <c r="J1095" s="6" t="str">
        <f>TRIM(Dataset!J1095)</f>
        <v>TRK22612240</v>
      </c>
      <c r="K1095" s="8" t="str">
        <f>TRIM(Dataset!K1095)</f>
        <v>9</v>
      </c>
      <c r="L1095" s="6" t="str">
        <f>Dataset!L1095</f>
        <v>FREESHIP</v>
      </c>
      <c r="M1095" s="6" t="str">
        <f>TRIM(Dataset!M1095)</f>
        <v>Instagram</v>
      </c>
      <c r="N1095" s="10">
        <f>VALUE(TRIM(Dataset!N1095))</f>
        <v>789.44</v>
      </c>
    </row>
    <row r="1096" spans="1:14" x14ac:dyDescent="0.35">
      <c r="A1096" s="6" t="str">
        <f>TRIM(Dataset!A1096)</f>
        <v>ORD201094</v>
      </c>
      <c r="B1096" s="4">
        <f>Dataset!B1096</f>
        <v>45105</v>
      </c>
      <c r="C1096" s="6" t="str">
        <f>TRIM(Dataset!C1096)</f>
        <v>C66093</v>
      </c>
      <c r="D1096" s="6" t="str">
        <f>TRIM(Dataset!D1096)</f>
        <v>Printer</v>
      </c>
      <c r="E1096" s="13">
        <f>VALUE(TRIM(Dataset!E1096))</f>
        <v>4</v>
      </c>
      <c r="F1096" s="10">
        <f>VALUE(TRIM(Dataset!F1096))</f>
        <v>648.91</v>
      </c>
      <c r="G1096" s="6" t="str">
        <f>TRIM(Dataset!G1096)</f>
        <v>615 Main St</v>
      </c>
      <c r="H1096" s="6" t="str">
        <f>TRIM(Dataset!H1096)</f>
        <v>Credit Card</v>
      </c>
      <c r="I1096" s="6" t="str">
        <f>TRIM(Dataset!I1096)</f>
        <v>Shipped</v>
      </c>
      <c r="J1096" s="6" t="str">
        <f>TRIM(Dataset!J1096)</f>
        <v>TRK54950785</v>
      </c>
      <c r="K1096" s="8" t="str">
        <f>TRIM(Dataset!K1096)</f>
        <v>6</v>
      </c>
      <c r="L1096" s="6" t="str">
        <f>Dataset!L1096</f>
        <v>SAVE10</v>
      </c>
      <c r="M1096" s="6" t="str">
        <f>TRIM(Dataset!M1096)</f>
        <v>Instagram</v>
      </c>
      <c r="N1096" s="10">
        <f>VALUE(TRIM(Dataset!N1096))</f>
        <v>2595.64</v>
      </c>
    </row>
    <row r="1097" spans="1:14" x14ac:dyDescent="0.35">
      <c r="A1097" s="6" t="str">
        <f>TRIM(Dataset!A1097)</f>
        <v>ORD201095</v>
      </c>
      <c r="B1097" s="4">
        <f>Dataset!B1097</f>
        <v>45405</v>
      </c>
      <c r="C1097" s="6" t="str">
        <f>TRIM(Dataset!C1097)</f>
        <v>C33051</v>
      </c>
      <c r="D1097" s="6" t="str">
        <f>TRIM(Dataset!D1097)</f>
        <v>Phone</v>
      </c>
      <c r="E1097" s="13">
        <f>VALUE(TRIM(Dataset!E1097))</f>
        <v>2</v>
      </c>
      <c r="F1097" s="10">
        <f>VALUE(TRIM(Dataset!F1097))</f>
        <v>441.54</v>
      </c>
      <c r="G1097" s="6" t="str">
        <f>TRIM(Dataset!G1097)</f>
        <v>397 Main St</v>
      </c>
      <c r="H1097" s="6" t="str">
        <f>TRIM(Dataset!H1097)</f>
        <v>Online</v>
      </c>
      <c r="I1097" s="6" t="str">
        <f>TRIM(Dataset!I1097)</f>
        <v>Delivered</v>
      </c>
      <c r="J1097" s="6" t="str">
        <f>TRIM(Dataset!J1097)</f>
        <v>TRK92929755</v>
      </c>
      <c r="K1097" s="8" t="str">
        <f>TRIM(Dataset!K1097)</f>
        <v>2</v>
      </c>
      <c r="L1097" s="6" t="str">
        <f>Dataset!L1097</f>
        <v>SAVE10</v>
      </c>
      <c r="M1097" s="6" t="str">
        <f>TRIM(Dataset!M1097)</f>
        <v>Email</v>
      </c>
      <c r="N1097" s="10">
        <f>VALUE(TRIM(Dataset!N1097))</f>
        <v>883.08</v>
      </c>
    </row>
    <row r="1098" spans="1:14" x14ac:dyDescent="0.35">
      <c r="A1098" s="6" t="str">
        <f>TRIM(Dataset!A1098)</f>
        <v>ORD201096</v>
      </c>
      <c r="B1098" s="4">
        <f>Dataset!B1098</f>
        <v>45780</v>
      </c>
      <c r="C1098" s="6" t="str">
        <f>TRIM(Dataset!C1098)</f>
        <v>C18169</v>
      </c>
      <c r="D1098" s="6" t="str">
        <f>TRIM(Dataset!D1098)</f>
        <v>Tablet</v>
      </c>
      <c r="E1098" s="13">
        <f>VALUE(TRIM(Dataset!E1098))</f>
        <v>2</v>
      </c>
      <c r="F1098" s="10">
        <f>VALUE(TRIM(Dataset!F1098))</f>
        <v>464.92</v>
      </c>
      <c r="G1098" s="6" t="str">
        <f>TRIM(Dataset!G1098)</f>
        <v>782 Main St</v>
      </c>
      <c r="H1098" s="6" t="str">
        <f>TRIM(Dataset!H1098)</f>
        <v>Debit Card</v>
      </c>
      <c r="I1098" s="6" t="str">
        <f>TRIM(Dataset!I1098)</f>
        <v>Returned</v>
      </c>
      <c r="J1098" s="6" t="str">
        <f>TRIM(Dataset!J1098)</f>
        <v>TRK49482923</v>
      </c>
      <c r="K1098" s="8" t="str">
        <f>TRIM(Dataset!K1098)</f>
        <v>2</v>
      </c>
      <c r="L1098" s="6" t="s">
        <v>4284</v>
      </c>
      <c r="M1098" s="6" t="str">
        <f>TRIM(Dataset!M1098)</f>
        <v>Facebook</v>
      </c>
      <c r="N1098" s="10">
        <f>VALUE(TRIM(Dataset!N1098))</f>
        <v>929.84</v>
      </c>
    </row>
    <row r="1099" spans="1:14" x14ac:dyDescent="0.35">
      <c r="A1099" s="6" t="str">
        <f>TRIM(Dataset!A1099)</f>
        <v>ORD201097</v>
      </c>
      <c r="B1099" s="4">
        <f>Dataset!B1099</f>
        <v>45652</v>
      </c>
      <c r="C1099" s="6" t="str">
        <f>TRIM(Dataset!C1099)</f>
        <v>C81370</v>
      </c>
      <c r="D1099" s="6" t="str">
        <f>TRIM(Dataset!D1099)</f>
        <v>Monitor</v>
      </c>
      <c r="E1099" s="13">
        <f>VALUE(TRIM(Dataset!E1099))</f>
        <v>5</v>
      </c>
      <c r="F1099" s="10">
        <f>VALUE(TRIM(Dataset!F1099))</f>
        <v>506.45</v>
      </c>
      <c r="G1099" s="6" t="str">
        <f>TRIM(Dataset!G1099)</f>
        <v>344 Main St</v>
      </c>
      <c r="H1099" s="6" t="str">
        <f>TRIM(Dataset!H1099)</f>
        <v>Gift Card</v>
      </c>
      <c r="I1099" s="6" t="str">
        <f>TRIM(Dataset!I1099)</f>
        <v>Shipped</v>
      </c>
      <c r="J1099" s="6" t="str">
        <f>TRIM(Dataset!J1099)</f>
        <v>TRK99682998</v>
      </c>
      <c r="K1099" s="8" t="str">
        <f>TRIM(Dataset!K1099)</f>
        <v>7</v>
      </c>
      <c r="L1099" s="6" t="str">
        <f>Dataset!L1099</f>
        <v>WINTER15</v>
      </c>
      <c r="M1099" s="6" t="str">
        <f>TRIM(Dataset!M1099)</f>
        <v>Google</v>
      </c>
      <c r="N1099" s="10">
        <f>VALUE(TRIM(Dataset!N1099))</f>
        <v>2532.25</v>
      </c>
    </row>
    <row r="1100" spans="1:14" x14ac:dyDescent="0.35">
      <c r="A1100" s="6" t="str">
        <f>TRIM(Dataset!A1100)</f>
        <v>ORD201098</v>
      </c>
      <c r="B1100" s="4">
        <f>Dataset!B1100</f>
        <v>45094</v>
      </c>
      <c r="C1100" s="6" t="str">
        <f>TRIM(Dataset!C1100)</f>
        <v>C91103</v>
      </c>
      <c r="D1100" s="6" t="str">
        <f>TRIM(Dataset!D1100)</f>
        <v>Monitor</v>
      </c>
      <c r="E1100" s="13">
        <f>VALUE(TRIM(Dataset!E1100))</f>
        <v>4</v>
      </c>
      <c r="F1100" s="10">
        <f>VALUE(TRIM(Dataset!F1100))</f>
        <v>255.86</v>
      </c>
      <c r="G1100" s="6" t="str">
        <f>TRIM(Dataset!G1100)</f>
        <v>155 Main St</v>
      </c>
      <c r="H1100" s="6" t="str">
        <f>TRIM(Dataset!H1100)</f>
        <v>Credit Card</v>
      </c>
      <c r="I1100" s="6" t="str">
        <f>TRIM(Dataset!I1100)</f>
        <v>Delivered</v>
      </c>
      <c r="J1100" s="6" t="str">
        <f>TRIM(Dataset!J1100)</f>
        <v>TRK91653000</v>
      </c>
      <c r="K1100" s="8" t="str">
        <f>TRIM(Dataset!K1100)</f>
        <v>7</v>
      </c>
      <c r="L1100" s="6" t="s">
        <v>4284</v>
      </c>
      <c r="M1100" s="6" t="str">
        <f>TRIM(Dataset!M1100)</f>
        <v>Email</v>
      </c>
      <c r="N1100" s="10">
        <f>VALUE(TRIM(Dataset!N1100))</f>
        <v>1023.44</v>
      </c>
    </row>
    <row r="1101" spans="1:14" x14ac:dyDescent="0.35">
      <c r="A1101" s="6" t="str">
        <f>TRIM(Dataset!A1101)</f>
        <v>ORD201099</v>
      </c>
      <c r="B1101" s="4">
        <f>Dataset!B1101</f>
        <v>45554</v>
      </c>
      <c r="C1101" s="6" t="str">
        <f>TRIM(Dataset!C1101)</f>
        <v>C21953</v>
      </c>
      <c r="D1101" s="6" t="str">
        <f>TRIM(Dataset!D1101)</f>
        <v>Laptop</v>
      </c>
      <c r="E1101" s="13">
        <f>VALUE(TRIM(Dataset!E1101))</f>
        <v>2</v>
      </c>
      <c r="F1101" s="10">
        <f>VALUE(TRIM(Dataset!F1101))</f>
        <v>125.23</v>
      </c>
      <c r="G1101" s="6" t="str">
        <f>TRIM(Dataset!G1101)</f>
        <v>272 Main St</v>
      </c>
      <c r="H1101" s="6" t="str">
        <f>TRIM(Dataset!H1101)</f>
        <v>Cash</v>
      </c>
      <c r="I1101" s="6" t="str">
        <f>TRIM(Dataset!I1101)</f>
        <v>Cancelled</v>
      </c>
      <c r="J1101" s="6" t="str">
        <f>TRIM(Dataset!J1101)</f>
        <v>TRK60774796</v>
      </c>
      <c r="K1101" s="8" t="str">
        <f>TRIM(Dataset!K1101)</f>
        <v>3</v>
      </c>
      <c r="L1101" s="6" t="str">
        <f>Dataset!L1101</f>
        <v>FREESHIP</v>
      </c>
      <c r="M1101" s="6" t="str">
        <f>TRIM(Dataset!M1101)</f>
        <v>Email</v>
      </c>
      <c r="N1101" s="10">
        <f>VALUE(TRIM(Dataset!N1101))</f>
        <v>250.46</v>
      </c>
    </row>
    <row r="1102" spans="1:14" x14ac:dyDescent="0.35">
      <c r="A1102" s="6" t="str">
        <f>TRIM(Dataset!A1102)</f>
        <v>ORD201100</v>
      </c>
      <c r="B1102" s="4">
        <f>Dataset!B1102</f>
        <v>45155</v>
      </c>
      <c r="C1102" s="6" t="str">
        <f>TRIM(Dataset!C1102)</f>
        <v>C15146</v>
      </c>
      <c r="D1102" s="6" t="str">
        <f>TRIM(Dataset!D1102)</f>
        <v>Laptop</v>
      </c>
      <c r="E1102" s="13">
        <f>VALUE(TRIM(Dataset!E1102))</f>
        <v>5</v>
      </c>
      <c r="F1102" s="10">
        <f>VALUE(TRIM(Dataset!F1102))</f>
        <v>38.11</v>
      </c>
      <c r="G1102" s="6" t="str">
        <f>TRIM(Dataset!G1102)</f>
        <v>428 Main St</v>
      </c>
      <c r="H1102" s="6" t="str">
        <f>TRIM(Dataset!H1102)</f>
        <v>Debit Card</v>
      </c>
      <c r="I1102" s="6" t="str">
        <f>TRIM(Dataset!I1102)</f>
        <v>Cancelled</v>
      </c>
      <c r="J1102" s="6" t="str">
        <f>TRIM(Dataset!J1102)</f>
        <v>TRK79790530</v>
      </c>
      <c r="K1102" s="8" t="str">
        <f>TRIM(Dataset!K1102)</f>
        <v>6</v>
      </c>
      <c r="L1102" s="6" t="str">
        <f>Dataset!L1102</f>
        <v>WINTER15</v>
      </c>
      <c r="M1102" s="6" t="str">
        <f>TRIM(Dataset!M1102)</f>
        <v>Instagram</v>
      </c>
      <c r="N1102" s="10">
        <f>VALUE(TRIM(Dataset!N1102))</f>
        <v>190.55</v>
      </c>
    </row>
    <row r="1103" spans="1:14" x14ac:dyDescent="0.35">
      <c r="A1103" s="6" t="str">
        <f>TRIM(Dataset!A1103)</f>
        <v>ORD201101</v>
      </c>
      <c r="B1103" s="4">
        <f>Dataset!B1103</f>
        <v>45816</v>
      </c>
      <c r="C1103" s="6" t="str">
        <f>TRIM(Dataset!C1103)</f>
        <v>C43546</v>
      </c>
      <c r="D1103" s="6" t="str">
        <f>TRIM(Dataset!D1103)</f>
        <v>Monitor</v>
      </c>
      <c r="E1103" s="13">
        <f>VALUE(TRIM(Dataset!E1103))</f>
        <v>3</v>
      </c>
      <c r="F1103" s="10">
        <f>VALUE(TRIM(Dataset!F1103))</f>
        <v>161.97</v>
      </c>
      <c r="G1103" s="6" t="str">
        <f>TRIM(Dataset!G1103)</f>
        <v>904 Main St</v>
      </c>
      <c r="H1103" s="6" t="str">
        <f>TRIM(Dataset!H1103)</f>
        <v>Cash</v>
      </c>
      <c r="I1103" s="6" t="str">
        <f>TRIM(Dataset!I1103)</f>
        <v>Pending</v>
      </c>
      <c r="J1103" s="6" t="str">
        <f>TRIM(Dataset!J1103)</f>
        <v>TRK85871121</v>
      </c>
      <c r="K1103" s="8" t="str">
        <f>TRIM(Dataset!K1103)</f>
        <v>4</v>
      </c>
      <c r="L1103" s="6" t="str">
        <f>Dataset!L1103</f>
        <v>SAVE10</v>
      </c>
      <c r="M1103" s="6" t="str">
        <f>TRIM(Dataset!M1103)</f>
        <v>Email</v>
      </c>
      <c r="N1103" s="10">
        <f>VALUE(TRIM(Dataset!N1103))</f>
        <v>485.91</v>
      </c>
    </row>
    <row r="1104" spans="1:14" x14ac:dyDescent="0.35">
      <c r="A1104" s="6" t="str">
        <f>TRIM(Dataset!A1104)</f>
        <v>ORD201102</v>
      </c>
      <c r="B1104" s="4">
        <f>Dataset!B1104</f>
        <v>45446</v>
      </c>
      <c r="C1104" s="6" t="str">
        <f>TRIM(Dataset!C1104)</f>
        <v>C98474</v>
      </c>
      <c r="D1104" s="6" t="str">
        <f>TRIM(Dataset!D1104)</f>
        <v>Chair</v>
      </c>
      <c r="E1104" s="13">
        <f>VALUE(TRIM(Dataset!E1104))</f>
        <v>4</v>
      </c>
      <c r="F1104" s="10">
        <f>VALUE(TRIM(Dataset!F1104))</f>
        <v>347.17</v>
      </c>
      <c r="G1104" s="6" t="str">
        <f>TRIM(Dataset!G1104)</f>
        <v>997 Main St</v>
      </c>
      <c r="H1104" s="6" t="str">
        <f>TRIM(Dataset!H1104)</f>
        <v>Debit Card</v>
      </c>
      <c r="I1104" s="6" t="str">
        <f>TRIM(Dataset!I1104)</f>
        <v>Shipped</v>
      </c>
      <c r="J1104" s="6" t="str">
        <f>TRIM(Dataset!J1104)</f>
        <v>TRK86192984</v>
      </c>
      <c r="K1104" s="8" t="str">
        <f>TRIM(Dataset!K1104)</f>
        <v>8</v>
      </c>
      <c r="L1104" s="6" t="s">
        <v>4284</v>
      </c>
      <c r="M1104" s="6" t="str">
        <f>TRIM(Dataset!M1104)</f>
        <v>Instagram</v>
      </c>
      <c r="N1104" s="10">
        <f>VALUE(TRIM(Dataset!N1104))</f>
        <v>1388.68</v>
      </c>
    </row>
    <row r="1105" spans="1:14" x14ac:dyDescent="0.35">
      <c r="A1105" s="6" t="str">
        <f>TRIM(Dataset!A1105)</f>
        <v>ORD201103</v>
      </c>
      <c r="B1105" s="4">
        <f>Dataset!B1105</f>
        <v>45040</v>
      </c>
      <c r="C1105" s="6" t="str">
        <f>TRIM(Dataset!C1105)</f>
        <v>C90292</v>
      </c>
      <c r="D1105" s="6" t="str">
        <f>TRIM(Dataset!D1105)</f>
        <v>Laptop</v>
      </c>
      <c r="E1105" s="13">
        <f>VALUE(TRIM(Dataset!E1105))</f>
        <v>4</v>
      </c>
      <c r="F1105" s="10">
        <f>VALUE(TRIM(Dataset!F1105))</f>
        <v>276.32</v>
      </c>
      <c r="G1105" s="6" t="str">
        <f>TRIM(Dataset!G1105)</f>
        <v>129 Main St</v>
      </c>
      <c r="H1105" s="6" t="str">
        <f>TRIM(Dataset!H1105)</f>
        <v>Online</v>
      </c>
      <c r="I1105" s="6" t="str">
        <f>TRIM(Dataset!I1105)</f>
        <v>Delivered</v>
      </c>
      <c r="J1105" s="6" t="str">
        <f>TRIM(Dataset!J1105)</f>
        <v>TRK26270357</v>
      </c>
      <c r="K1105" s="8" t="str">
        <f>TRIM(Dataset!K1105)</f>
        <v>5</v>
      </c>
      <c r="L1105" s="6" t="s">
        <v>4284</v>
      </c>
      <c r="M1105" s="6" t="str">
        <f>TRIM(Dataset!M1105)</f>
        <v>Google</v>
      </c>
      <c r="N1105" s="10">
        <f>VALUE(TRIM(Dataset!N1105))</f>
        <v>1105.28</v>
      </c>
    </row>
    <row r="1106" spans="1:14" x14ac:dyDescent="0.35">
      <c r="A1106" s="6" t="str">
        <f>TRIM(Dataset!A1106)</f>
        <v>ORD201104</v>
      </c>
      <c r="B1106" s="4">
        <f>Dataset!B1106</f>
        <v>45498</v>
      </c>
      <c r="C1106" s="6" t="str">
        <f>TRIM(Dataset!C1106)</f>
        <v>C17075</v>
      </c>
      <c r="D1106" s="6" t="str">
        <f>TRIM(Dataset!D1106)</f>
        <v>Tablet</v>
      </c>
      <c r="E1106" s="13">
        <f>VALUE(TRIM(Dataset!E1106))</f>
        <v>4</v>
      </c>
      <c r="F1106" s="10">
        <f>VALUE(TRIM(Dataset!F1106))</f>
        <v>314.76</v>
      </c>
      <c r="G1106" s="6" t="str">
        <f>TRIM(Dataset!G1106)</f>
        <v>850 Main St</v>
      </c>
      <c r="H1106" s="6" t="str">
        <f>TRIM(Dataset!H1106)</f>
        <v>Online</v>
      </c>
      <c r="I1106" s="6" t="str">
        <f>TRIM(Dataset!I1106)</f>
        <v>Shipped</v>
      </c>
      <c r="J1106" s="6" t="str">
        <f>TRIM(Dataset!J1106)</f>
        <v>TRK63547510</v>
      </c>
      <c r="K1106" s="8" t="str">
        <f>TRIM(Dataset!K1106)</f>
        <v>8</v>
      </c>
      <c r="L1106" s="6" t="s">
        <v>4284</v>
      </c>
      <c r="M1106" s="6" t="str">
        <f>TRIM(Dataset!M1106)</f>
        <v>Instagram</v>
      </c>
      <c r="N1106" s="10">
        <f>VALUE(TRIM(Dataset!N1106))</f>
        <v>1259.04</v>
      </c>
    </row>
    <row r="1107" spans="1:14" x14ac:dyDescent="0.35">
      <c r="A1107" s="6" t="str">
        <f>TRIM(Dataset!A1107)</f>
        <v>ORD201105</v>
      </c>
      <c r="B1107" s="4">
        <f>Dataset!B1107</f>
        <v>45299</v>
      </c>
      <c r="C1107" s="6" t="str">
        <f>TRIM(Dataset!C1107)</f>
        <v>C12487</v>
      </c>
      <c r="D1107" s="6" t="str">
        <f>TRIM(Dataset!D1107)</f>
        <v>Tablet</v>
      </c>
      <c r="E1107" s="13">
        <f>VALUE(TRIM(Dataset!E1107))</f>
        <v>3</v>
      </c>
      <c r="F1107" s="10">
        <f>VALUE(TRIM(Dataset!F1107))</f>
        <v>475.69</v>
      </c>
      <c r="G1107" s="6" t="str">
        <f>TRIM(Dataset!G1107)</f>
        <v>884 Main St</v>
      </c>
      <c r="H1107" s="6" t="str">
        <f>TRIM(Dataset!H1107)</f>
        <v>Gift Card</v>
      </c>
      <c r="I1107" s="6" t="str">
        <f>TRIM(Dataset!I1107)</f>
        <v>Cancelled</v>
      </c>
      <c r="J1107" s="6" t="str">
        <f>TRIM(Dataset!J1107)</f>
        <v>TRK23324770</v>
      </c>
      <c r="K1107" s="8" t="str">
        <f>TRIM(Dataset!K1107)</f>
        <v>3</v>
      </c>
      <c r="L1107" s="6" t="str">
        <f>Dataset!L1107</f>
        <v>FREESHIP</v>
      </c>
      <c r="M1107" s="6" t="str">
        <f>TRIM(Dataset!M1107)</f>
        <v>Google</v>
      </c>
      <c r="N1107" s="10">
        <f>VALUE(TRIM(Dataset!N1107))</f>
        <v>1427.07</v>
      </c>
    </row>
    <row r="1108" spans="1:14" x14ac:dyDescent="0.35">
      <c r="A1108" s="6" t="str">
        <f>TRIM(Dataset!A1108)</f>
        <v>ORD201106</v>
      </c>
      <c r="B1108" s="4">
        <f>Dataset!B1108</f>
        <v>44997</v>
      </c>
      <c r="C1108" s="6" t="str">
        <f>TRIM(Dataset!C1108)</f>
        <v>C34555</v>
      </c>
      <c r="D1108" s="6" t="str">
        <f>TRIM(Dataset!D1108)</f>
        <v>Chair</v>
      </c>
      <c r="E1108" s="13">
        <f>VALUE(TRIM(Dataset!E1108))</f>
        <v>1</v>
      </c>
      <c r="F1108" s="10">
        <f>VALUE(TRIM(Dataset!F1108))</f>
        <v>372.8</v>
      </c>
      <c r="G1108" s="6" t="str">
        <f>TRIM(Dataset!G1108)</f>
        <v>903 Main St</v>
      </c>
      <c r="H1108" s="6" t="str">
        <f>TRIM(Dataset!H1108)</f>
        <v>Cash</v>
      </c>
      <c r="I1108" s="6" t="str">
        <f>TRIM(Dataset!I1108)</f>
        <v>Cancelled</v>
      </c>
      <c r="J1108" s="6" t="str">
        <f>TRIM(Dataset!J1108)</f>
        <v>TRK72859458</v>
      </c>
      <c r="K1108" s="8" t="str">
        <f>TRIM(Dataset!K1108)</f>
        <v>6</v>
      </c>
      <c r="L1108" s="6" t="str">
        <f>Dataset!L1108</f>
        <v>SAVE10</v>
      </c>
      <c r="M1108" s="6" t="str">
        <f>TRIM(Dataset!M1108)</f>
        <v>Facebook</v>
      </c>
      <c r="N1108" s="10">
        <f>VALUE(TRIM(Dataset!N1108))</f>
        <v>372.8</v>
      </c>
    </row>
    <row r="1109" spans="1:14" x14ac:dyDescent="0.35">
      <c r="A1109" s="6" t="str">
        <f>TRIM(Dataset!A1109)</f>
        <v>ORD201107</v>
      </c>
      <c r="B1109" s="4">
        <f>Dataset!B1109</f>
        <v>45838</v>
      </c>
      <c r="C1109" s="6" t="str">
        <f>TRIM(Dataset!C1109)</f>
        <v>C25110</v>
      </c>
      <c r="D1109" s="6" t="str">
        <f>TRIM(Dataset!D1109)</f>
        <v>Tablet</v>
      </c>
      <c r="E1109" s="13">
        <f>VALUE(TRIM(Dataset!E1109))</f>
        <v>2</v>
      </c>
      <c r="F1109" s="10">
        <f>VALUE(TRIM(Dataset!F1109))</f>
        <v>63.21</v>
      </c>
      <c r="G1109" s="6" t="str">
        <f>TRIM(Dataset!G1109)</f>
        <v>282 Main St</v>
      </c>
      <c r="H1109" s="6" t="str">
        <f>TRIM(Dataset!H1109)</f>
        <v>Online</v>
      </c>
      <c r="I1109" s="6" t="str">
        <f>TRIM(Dataset!I1109)</f>
        <v>Cancelled</v>
      </c>
      <c r="J1109" s="6" t="str">
        <f>TRIM(Dataset!J1109)</f>
        <v>TRK80963328</v>
      </c>
      <c r="K1109" s="8" t="str">
        <f>TRIM(Dataset!K1109)</f>
        <v>4</v>
      </c>
      <c r="L1109" s="6" t="str">
        <f>Dataset!L1109</f>
        <v>SAVE10</v>
      </c>
      <c r="M1109" s="6" t="str">
        <f>TRIM(Dataset!M1109)</f>
        <v>Google</v>
      </c>
      <c r="N1109" s="10">
        <f>VALUE(TRIM(Dataset!N1109))</f>
        <v>126.42</v>
      </c>
    </row>
    <row r="1110" spans="1:14" x14ac:dyDescent="0.35">
      <c r="A1110" s="6" t="str">
        <f>TRIM(Dataset!A1110)</f>
        <v>ORD201108</v>
      </c>
      <c r="B1110" s="4">
        <f>Dataset!B1110</f>
        <v>45005</v>
      </c>
      <c r="C1110" s="6" t="str">
        <f>TRIM(Dataset!C1110)</f>
        <v>C35136</v>
      </c>
      <c r="D1110" s="6" t="str">
        <f>TRIM(Dataset!D1110)</f>
        <v>Laptop</v>
      </c>
      <c r="E1110" s="13">
        <f>VALUE(TRIM(Dataset!E1110))</f>
        <v>1</v>
      </c>
      <c r="F1110" s="10">
        <f>VALUE(TRIM(Dataset!F1110))</f>
        <v>634.94000000000005</v>
      </c>
      <c r="G1110" s="6" t="str">
        <f>TRIM(Dataset!G1110)</f>
        <v>462 Main St</v>
      </c>
      <c r="H1110" s="6" t="str">
        <f>TRIM(Dataset!H1110)</f>
        <v>Online</v>
      </c>
      <c r="I1110" s="6" t="str">
        <f>TRIM(Dataset!I1110)</f>
        <v>Cancelled</v>
      </c>
      <c r="J1110" s="6" t="str">
        <f>TRIM(Dataset!J1110)</f>
        <v>TRK49753703</v>
      </c>
      <c r="K1110" s="8" t="str">
        <f>TRIM(Dataset!K1110)</f>
        <v>5</v>
      </c>
      <c r="L1110" s="6" t="str">
        <f>Dataset!L1110</f>
        <v>WINTER15</v>
      </c>
      <c r="M1110" s="6" t="str">
        <f>TRIM(Dataset!M1110)</f>
        <v>Instagram</v>
      </c>
      <c r="N1110" s="10">
        <f>VALUE(TRIM(Dataset!N1110))</f>
        <v>634.94000000000005</v>
      </c>
    </row>
    <row r="1111" spans="1:14" x14ac:dyDescent="0.35">
      <c r="A1111" s="6" t="str">
        <f>TRIM(Dataset!A1111)</f>
        <v>ORD201109</v>
      </c>
      <c r="B1111" s="4">
        <f>Dataset!B1111</f>
        <v>45390</v>
      </c>
      <c r="C1111" s="6" t="str">
        <f>TRIM(Dataset!C1111)</f>
        <v>C62277</v>
      </c>
      <c r="D1111" s="6" t="str">
        <f>TRIM(Dataset!D1111)</f>
        <v>Printer</v>
      </c>
      <c r="E1111" s="13">
        <f>VALUE(TRIM(Dataset!E1111))</f>
        <v>4</v>
      </c>
      <c r="F1111" s="10">
        <f>VALUE(TRIM(Dataset!F1111))</f>
        <v>77.47</v>
      </c>
      <c r="G1111" s="6" t="str">
        <f>TRIM(Dataset!G1111)</f>
        <v>474 Main St</v>
      </c>
      <c r="H1111" s="6" t="str">
        <f>TRIM(Dataset!H1111)</f>
        <v>Gift Card</v>
      </c>
      <c r="I1111" s="6" t="str">
        <f>TRIM(Dataset!I1111)</f>
        <v>Returned</v>
      </c>
      <c r="J1111" s="6" t="str">
        <f>TRIM(Dataset!J1111)</f>
        <v>TRK32026174</v>
      </c>
      <c r="K1111" s="8" t="str">
        <f>TRIM(Dataset!K1111)</f>
        <v>7</v>
      </c>
      <c r="L1111" s="6" t="str">
        <f>Dataset!L1111</f>
        <v>SAVE10</v>
      </c>
      <c r="M1111" s="6" t="str">
        <f>TRIM(Dataset!M1111)</f>
        <v>Instagram</v>
      </c>
      <c r="N1111" s="10">
        <f>VALUE(TRIM(Dataset!N1111))</f>
        <v>309.88</v>
      </c>
    </row>
    <row r="1112" spans="1:14" x14ac:dyDescent="0.35">
      <c r="A1112" s="6" t="str">
        <f>TRIM(Dataset!A1112)</f>
        <v>ORD201110</v>
      </c>
      <c r="B1112" s="4">
        <f>Dataset!B1112</f>
        <v>45347</v>
      </c>
      <c r="C1112" s="6" t="str">
        <f>TRIM(Dataset!C1112)</f>
        <v>C12472</v>
      </c>
      <c r="D1112" s="6" t="str">
        <f>TRIM(Dataset!D1112)</f>
        <v>Chair</v>
      </c>
      <c r="E1112" s="13">
        <f>VALUE(TRIM(Dataset!E1112))</f>
        <v>3</v>
      </c>
      <c r="F1112" s="10">
        <f>VALUE(TRIM(Dataset!F1112))</f>
        <v>84.31</v>
      </c>
      <c r="G1112" s="6" t="str">
        <f>TRIM(Dataset!G1112)</f>
        <v>912 Main St</v>
      </c>
      <c r="H1112" s="6" t="str">
        <f>TRIM(Dataset!H1112)</f>
        <v>Credit Card</v>
      </c>
      <c r="I1112" s="6" t="str">
        <f>TRIM(Dataset!I1112)</f>
        <v>Shipped</v>
      </c>
      <c r="J1112" s="6" t="str">
        <f>TRIM(Dataset!J1112)</f>
        <v>TRK36103184</v>
      </c>
      <c r="K1112" s="8" t="str">
        <f>TRIM(Dataset!K1112)</f>
        <v>3</v>
      </c>
      <c r="L1112" s="6" t="str">
        <f>Dataset!L1112</f>
        <v>SAVE10</v>
      </c>
      <c r="M1112" s="6" t="str">
        <f>TRIM(Dataset!M1112)</f>
        <v>Email</v>
      </c>
      <c r="N1112" s="10">
        <f>VALUE(TRIM(Dataset!N1112))</f>
        <v>252.93</v>
      </c>
    </row>
    <row r="1113" spans="1:14" x14ac:dyDescent="0.35">
      <c r="A1113" s="6" t="str">
        <f>TRIM(Dataset!A1113)</f>
        <v>ORD201111</v>
      </c>
      <c r="B1113" s="4">
        <f>Dataset!B1113</f>
        <v>45052</v>
      </c>
      <c r="C1113" s="6" t="str">
        <f>TRIM(Dataset!C1113)</f>
        <v>C24047</v>
      </c>
      <c r="D1113" s="6" t="str">
        <f>TRIM(Dataset!D1113)</f>
        <v>Monitor</v>
      </c>
      <c r="E1113" s="13">
        <f>VALUE(TRIM(Dataset!E1113))</f>
        <v>4</v>
      </c>
      <c r="F1113" s="10">
        <f>VALUE(TRIM(Dataset!F1113))</f>
        <v>234.45</v>
      </c>
      <c r="G1113" s="6" t="str">
        <f>TRIM(Dataset!G1113)</f>
        <v>362 Main St</v>
      </c>
      <c r="H1113" s="6" t="str">
        <f>TRIM(Dataset!H1113)</f>
        <v>Online</v>
      </c>
      <c r="I1113" s="6" t="str">
        <f>TRIM(Dataset!I1113)</f>
        <v>Cancelled</v>
      </c>
      <c r="J1113" s="6" t="str">
        <f>TRIM(Dataset!J1113)</f>
        <v>TRK91338580</v>
      </c>
      <c r="K1113" s="8" t="str">
        <f>TRIM(Dataset!K1113)</f>
        <v>9</v>
      </c>
      <c r="L1113" s="6" t="str">
        <f>Dataset!L1113</f>
        <v>FREESHIP</v>
      </c>
      <c r="M1113" s="6" t="str">
        <f>TRIM(Dataset!M1113)</f>
        <v>Instagram</v>
      </c>
      <c r="N1113" s="10">
        <f>VALUE(TRIM(Dataset!N1113))</f>
        <v>937.8</v>
      </c>
    </row>
    <row r="1114" spans="1:14" x14ac:dyDescent="0.35">
      <c r="A1114" s="6" t="str">
        <f>TRIM(Dataset!A1114)</f>
        <v>ORD201112</v>
      </c>
      <c r="B1114" s="4">
        <f>Dataset!B1114</f>
        <v>45212</v>
      </c>
      <c r="C1114" s="6" t="str">
        <f>TRIM(Dataset!C1114)</f>
        <v>C76929</v>
      </c>
      <c r="D1114" s="6" t="str">
        <f>TRIM(Dataset!D1114)</f>
        <v>Desk</v>
      </c>
      <c r="E1114" s="13">
        <f>VALUE(TRIM(Dataset!E1114))</f>
        <v>1</v>
      </c>
      <c r="F1114" s="10">
        <f>VALUE(TRIM(Dataset!F1114))</f>
        <v>356.81</v>
      </c>
      <c r="G1114" s="6" t="str">
        <f>TRIM(Dataset!G1114)</f>
        <v>563 Main St</v>
      </c>
      <c r="H1114" s="6" t="str">
        <f>TRIM(Dataset!H1114)</f>
        <v>Online</v>
      </c>
      <c r="I1114" s="6" t="str">
        <f>TRIM(Dataset!I1114)</f>
        <v>Delivered</v>
      </c>
      <c r="J1114" s="6" t="str">
        <f>TRIM(Dataset!J1114)</f>
        <v>TRK80694400</v>
      </c>
      <c r="K1114" s="8" t="str">
        <f>TRIM(Dataset!K1114)</f>
        <v>1</v>
      </c>
      <c r="L1114" s="6" t="str">
        <f>Dataset!L1114</f>
        <v>WINTER15</v>
      </c>
      <c r="M1114" s="6" t="str">
        <f>TRIM(Dataset!M1114)</f>
        <v>Instagram</v>
      </c>
      <c r="N1114" s="10">
        <f>VALUE(TRIM(Dataset!N1114))</f>
        <v>356.81</v>
      </c>
    </row>
    <row r="1115" spans="1:14" x14ac:dyDescent="0.35">
      <c r="A1115" s="6" t="str">
        <f>TRIM(Dataset!A1115)</f>
        <v>ORD201113</v>
      </c>
      <c r="B1115" s="4">
        <f>Dataset!B1115</f>
        <v>45004</v>
      </c>
      <c r="C1115" s="6" t="str">
        <f>TRIM(Dataset!C1115)</f>
        <v>C52914</v>
      </c>
      <c r="D1115" s="6" t="str">
        <f>TRIM(Dataset!D1115)</f>
        <v>Desk</v>
      </c>
      <c r="E1115" s="13">
        <f>VALUE(TRIM(Dataset!E1115))</f>
        <v>4</v>
      </c>
      <c r="F1115" s="10">
        <f>VALUE(TRIM(Dataset!F1115))</f>
        <v>209.99</v>
      </c>
      <c r="G1115" s="6" t="str">
        <f>TRIM(Dataset!G1115)</f>
        <v>168 Main St</v>
      </c>
      <c r="H1115" s="6" t="str">
        <f>TRIM(Dataset!H1115)</f>
        <v>Cash</v>
      </c>
      <c r="I1115" s="6" t="str">
        <f>TRIM(Dataset!I1115)</f>
        <v>Delivered</v>
      </c>
      <c r="J1115" s="6" t="str">
        <f>TRIM(Dataset!J1115)</f>
        <v>TRK80819053</v>
      </c>
      <c r="K1115" s="8" t="str">
        <f>TRIM(Dataset!K1115)</f>
        <v>8</v>
      </c>
      <c r="L1115" s="6" t="s">
        <v>4284</v>
      </c>
      <c r="M1115" s="6" t="str">
        <f>TRIM(Dataset!M1115)</f>
        <v>Google</v>
      </c>
      <c r="N1115" s="10">
        <f>VALUE(TRIM(Dataset!N1115))</f>
        <v>839.96</v>
      </c>
    </row>
    <row r="1116" spans="1:14" x14ac:dyDescent="0.35">
      <c r="A1116" s="6" t="str">
        <f>TRIM(Dataset!A1116)</f>
        <v>ORD201114</v>
      </c>
      <c r="B1116" s="4">
        <f>Dataset!B1116</f>
        <v>45001</v>
      </c>
      <c r="C1116" s="6" t="str">
        <f>TRIM(Dataset!C1116)</f>
        <v>C55164</v>
      </c>
      <c r="D1116" s="6" t="str">
        <f>TRIM(Dataset!D1116)</f>
        <v>Tablet</v>
      </c>
      <c r="E1116" s="13">
        <f>VALUE(TRIM(Dataset!E1116))</f>
        <v>3</v>
      </c>
      <c r="F1116" s="10">
        <f>VALUE(TRIM(Dataset!F1116))</f>
        <v>659.88</v>
      </c>
      <c r="G1116" s="6" t="str">
        <f>TRIM(Dataset!G1116)</f>
        <v>609 Main St</v>
      </c>
      <c r="H1116" s="6" t="str">
        <f>TRIM(Dataset!H1116)</f>
        <v>Gift Card</v>
      </c>
      <c r="I1116" s="6" t="str">
        <f>TRIM(Dataset!I1116)</f>
        <v>Cancelled</v>
      </c>
      <c r="J1116" s="6" t="str">
        <f>TRIM(Dataset!J1116)</f>
        <v>TRK79610967</v>
      </c>
      <c r="K1116" s="8" t="str">
        <f>TRIM(Dataset!K1116)</f>
        <v>3</v>
      </c>
      <c r="L1116" s="6" t="s">
        <v>4284</v>
      </c>
      <c r="M1116" s="6" t="str">
        <f>TRIM(Dataset!M1116)</f>
        <v>Google</v>
      </c>
      <c r="N1116" s="10">
        <f>VALUE(TRIM(Dataset!N1116))</f>
        <v>1979.64</v>
      </c>
    </row>
    <row r="1117" spans="1:14" x14ac:dyDescent="0.35">
      <c r="A1117" s="6" t="str">
        <f>TRIM(Dataset!A1117)</f>
        <v>ORD201115</v>
      </c>
      <c r="B1117" s="4">
        <f>Dataset!B1117</f>
        <v>45828</v>
      </c>
      <c r="C1117" s="6" t="str">
        <f>TRIM(Dataset!C1117)</f>
        <v>C70426</v>
      </c>
      <c r="D1117" s="6" t="str">
        <f>TRIM(Dataset!D1117)</f>
        <v>Laptop</v>
      </c>
      <c r="E1117" s="13">
        <f>VALUE(TRIM(Dataset!E1117))</f>
        <v>2</v>
      </c>
      <c r="F1117" s="10">
        <f>VALUE(TRIM(Dataset!F1117))</f>
        <v>336.32</v>
      </c>
      <c r="G1117" s="6" t="str">
        <f>TRIM(Dataset!G1117)</f>
        <v>562 Main St</v>
      </c>
      <c r="H1117" s="6" t="str">
        <f>TRIM(Dataset!H1117)</f>
        <v>Online</v>
      </c>
      <c r="I1117" s="6" t="str">
        <f>TRIM(Dataset!I1117)</f>
        <v>Returned</v>
      </c>
      <c r="J1117" s="6" t="str">
        <f>TRIM(Dataset!J1117)</f>
        <v>TRK89687816</v>
      </c>
      <c r="K1117" s="8" t="str">
        <f>TRIM(Dataset!K1117)</f>
        <v>3</v>
      </c>
      <c r="L1117" s="6" t="s">
        <v>4284</v>
      </c>
      <c r="M1117" s="6" t="str">
        <f>TRIM(Dataset!M1117)</f>
        <v>Google</v>
      </c>
      <c r="N1117" s="10">
        <f>VALUE(TRIM(Dataset!N1117))</f>
        <v>672.64</v>
      </c>
    </row>
    <row r="1118" spans="1:14" x14ac:dyDescent="0.35">
      <c r="A1118" s="6" t="str">
        <f>TRIM(Dataset!A1118)</f>
        <v>ORD201116</v>
      </c>
      <c r="B1118" s="4">
        <f>Dataset!B1118</f>
        <v>45213</v>
      </c>
      <c r="C1118" s="6" t="str">
        <f>TRIM(Dataset!C1118)</f>
        <v>C69149</v>
      </c>
      <c r="D1118" s="6" t="str">
        <f>TRIM(Dataset!D1118)</f>
        <v>Printer</v>
      </c>
      <c r="E1118" s="13">
        <f>VALUE(TRIM(Dataset!E1118))</f>
        <v>2</v>
      </c>
      <c r="F1118" s="10">
        <f>VALUE(TRIM(Dataset!F1118))</f>
        <v>531.49</v>
      </c>
      <c r="G1118" s="6" t="str">
        <f>TRIM(Dataset!G1118)</f>
        <v>562 Main St</v>
      </c>
      <c r="H1118" s="6" t="str">
        <f>TRIM(Dataset!H1118)</f>
        <v>Credit Card</v>
      </c>
      <c r="I1118" s="6" t="str">
        <f>TRIM(Dataset!I1118)</f>
        <v>Delivered</v>
      </c>
      <c r="J1118" s="6" t="str">
        <f>TRIM(Dataset!J1118)</f>
        <v>TRK61265132</v>
      </c>
      <c r="K1118" s="8" t="str">
        <f>TRIM(Dataset!K1118)</f>
        <v>7</v>
      </c>
      <c r="L1118" s="6" t="str">
        <f>Dataset!L1118</f>
        <v>WINTER15</v>
      </c>
      <c r="M1118" s="6" t="str">
        <f>TRIM(Dataset!M1118)</f>
        <v>Facebook</v>
      </c>
      <c r="N1118" s="10">
        <f>VALUE(TRIM(Dataset!N1118))</f>
        <v>1062.98</v>
      </c>
    </row>
    <row r="1119" spans="1:14" x14ac:dyDescent="0.35">
      <c r="A1119" s="6" t="str">
        <f>TRIM(Dataset!A1119)</f>
        <v>ORD201117</v>
      </c>
      <c r="B1119" s="4">
        <f>Dataset!B1119</f>
        <v>45432</v>
      </c>
      <c r="C1119" s="6" t="str">
        <f>TRIM(Dataset!C1119)</f>
        <v>C78684</v>
      </c>
      <c r="D1119" s="6" t="str">
        <f>TRIM(Dataset!D1119)</f>
        <v>Chair</v>
      </c>
      <c r="E1119" s="13">
        <f>VALUE(TRIM(Dataset!E1119))</f>
        <v>3</v>
      </c>
      <c r="F1119" s="10">
        <f>VALUE(TRIM(Dataset!F1119))</f>
        <v>588.44000000000005</v>
      </c>
      <c r="G1119" s="6" t="str">
        <f>TRIM(Dataset!G1119)</f>
        <v>858 Main St</v>
      </c>
      <c r="H1119" s="6" t="str">
        <f>TRIM(Dataset!H1119)</f>
        <v>Gift Card</v>
      </c>
      <c r="I1119" s="6" t="str">
        <f>TRIM(Dataset!I1119)</f>
        <v>Shipped</v>
      </c>
      <c r="J1119" s="6" t="str">
        <f>TRIM(Dataset!J1119)</f>
        <v>TRK95779073</v>
      </c>
      <c r="K1119" s="8" t="str">
        <f>TRIM(Dataset!K1119)</f>
        <v>8</v>
      </c>
      <c r="L1119" s="6" t="str">
        <f>Dataset!L1119</f>
        <v>WINTER15</v>
      </c>
      <c r="M1119" s="6" t="str">
        <f>TRIM(Dataset!M1119)</f>
        <v>Google</v>
      </c>
      <c r="N1119" s="10">
        <f>VALUE(TRIM(Dataset!N1119))</f>
        <v>1765.32</v>
      </c>
    </row>
    <row r="1120" spans="1:14" x14ac:dyDescent="0.35">
      <c r="A1120" s="6" t="str">
        <f>TRIM(Dataset!A1120)</f>
        <v>ORD201118</v>
      </c>
      <c r="B1120" s="4">
        <f>Dataset!B1120</f>
        <v>45436</v>
      </c>
      <c r="C1120" s="6" t="str">
        <f>TRIM(Dataset!C1120)</f>
        <v>C58168</v>
      </c>
      <c r="D1120" s="6" t="str">
        <f>TRIM(Dataset!D1120)</f>
        <v>Phone</v>
      </c>
      <c r="E1120" s="13">
        <f>VALUE(TRIM(Dataset!E1120))</f>
        <v>3</v>
      </c>
      <c r="F1120" s="10">
        <f>VALUE(TRIM(Dataset!F1120))</f>
        <v>251.48</v>
      </c>
      <c r="G1120" s="6" t="str">
        <f>TRIM(Dataset!G1120)</f>
        <v>359 Main St</v>
      </c>
      <c r="H1120" s="6" t="str">
        <f>TRIM(Dataset!H1120)</f>
        <v>Credit Card</v>
      </c>
      <c r="I1120" s="6" t="str">
        <f>TRIM(Dataset!I1120)</f>
        <v>Returned</v>
      </c>
      <c r="J1120" s="6" t="str">
        <f>TRIM(Dataset!J1120)</f>
        <v>TRK99102265</v>
      </c>
      <c r="K1120" s="8" t="str">
        <f>TRIM(Dataset!K1120)</f>
        <v>4</v>
      </c>
      <c r="L1120" s="6" t="s">
        <v>4284</v>
      </c>
      <c r="M1120" s="6" t="str">
        <f>TRIM(Dataset!M1120)</f>
        <v>Email</v>
      </c>
      <c r="N1120" s="10">
        <f>VALUE(TRIM(Dataset!N1120))</f>
        <v>754.44</v>
      </c>
    </row>
    <row r="1121" spans="1:14" x14ac:dyDescent="0.35">
      <c r="A1121" s="6" t="str">
        <f>TRIM(Dataset!A1121)</f>
        <v>ORD201119</v>
      </c>
      <c r="B1121" s="4">
        <f>Dataset!B1121</f>
        <v>45620</v>
      </c>
      <c r="C1121" s="6" t="str">
        <f>TRIM(Dataset!C1121)</f>
        <v>C99024</v>
      </c>
      <c r="D1121" s="6" t="str">
        <f>TRIM(Dataset!D1121)</f>
        <v>Laptop</v>
      </c>
      <c r="E1121" s="13">
        <f>VALUE(TRIM(Dataset!E1121))</f>
        <v>1</v>
      </c>
      <c r="F1121" s="10">
        <f>VALUE(TRIM(Dataset!F1121))</f>
        <v>684.65</v>
      </c>
      <c r="G1121" s="6" t="str">
        <f>TRIM(Dataset!G1121)</f>
        <v>250 Main St</v>
      </c>
      <c r="H1121" s="6" t="str">
        <f>TRIM(Dataset!H1121)</f>
        <v>Credit Card</v>
      </c>
      <c r="I1121" s="6" t="str">
        <f>TRIM(Dataset!I1121)</f>
        <v>Delivered</v>
      </c>
      <c r="J1121" s="6" t="str">
        <f>TRIM(Dataset!J1121)</f>
        <v>TRK24675988</v>
      </c>
      <c r="K1121" s="8" t="str">
        <f>TRIM(Dataset!K1121)</f>
        <v>1</v>
      </c>
      <c r="L1121" s="6" t="str">
        <f>Dataset!L1121</f>
        <v>FREESHIP</v>
      </c>
      <c r="M1121" s="6" t="str">
        <f>TRIM(Dataset!M1121)</f>
        <v>Email</v>
      </c>
      <c r="N1121" s="10">
        <f>VALUE(TRIM(Dataset!N1121))</f>
        <v>684.65</v>
      </c>
    </row>
    <row r="1122" spans="1:14" x14ac:dyDescent="0.35">
      <c r="A1122" s="6" t="str">
        <f>TRIM(Dataset!A1122)</f>
        <v>ORD201120</v>
      </c>
      <c r="B1122" s="4">
        <f>Dataset!B1122</f>
        <v>45787</v>
      </c>
      <c r="C1122" s="6" t="str">
        <f>TRIM(Dataset!C1122)</f>
        <v>C22919</v>
      </c>
      <c r="D1122" s="6" t="str">
        <f>TRIM(Dataset!D1122)</f>
        <v>Tablet</v>
      </c>
      <c r="E1122" s="13">
        <f>VALUE(TRIM(Dataset!E1122))</f>
        <v>1</v>
      </c>
      <c r="F1122" s="10">
        <f>VALUE(TRIM(Dataset!F1122))</f>
        <v>195.86</v>
      </c>
      <c r="G1122" s="6" t="str">
        <f>TRIM(Dataset!G1122)</f>
        <v>267 Main St</v>
      </c>
      <c r="H1122" s="6" t="str">
        <f>TRIM(Dataset!H1122)</f>
        <v>Online</v>
      </c>
      <c r="I1122" s="6" t="str">
        <f>TRIM(Dataset!I1122)</f>
        <v>Pending</v>
      </c>
      <c r="J1122" s="6" t="str">
        <f>TRIM(Dataset!J1122)</f>
        <v>TRK82416295</v>
      </c>
      <c r="K1122" s="8" t="str">
        <f>TRIM(Dataset!K1122)</f>
        <v>3</v>
      </c>
      <c r="L1122" s="6" t="s">
        <v>4284</v>
      </c>
      <c r="M1122" s="6" t="str">
        <f>TRIM(Dataset!M1122)</f>
        <v>Facebook</v>
      </c>
      <c r="N1122" s="10">
        <f>VALUE(TRIM(Dataset!N1122))</f>
        <v>195.86</v>
      </c>
    </row>
    <row r="1123" spans="1:14" x14ac:dyDescent="0.35">
      <c r="A1123" s="6" t="str">
        <f>TRIM(Dataset!A1123)</f>
        <v>ORD201121</v>
      </c>
      <c r="B1123" s="4">
        <f>Dataset!B1123</f>
        <v>45074</v>
      </c>
      <c r="C1123" s="6" t="str">
        <f>TRIM(Dataset!C1123)</f>
        <v>C98354</v>
      </c>
      <c r="D1123" s="6" t="str">
        <f>TRIM(Dataset!D1123)</f>
        <v>Phone</v>
      </c>
      <c r="E1123" s="13">
        <f>VALUE(TRIM(Dataset!E1123))</f>
        <v>3</v>
      </c>
      <c r="F1123" s="10">
        <f>VALUE(TRIM(Dataset!F1123))</f>
        <v>50.34</v>
      </c>
      <c r="G1123" s="6" t="str">
        <f>TRIM(Dataset!G1123)</f>
        <v>393 Main St</v>
      </c>
      <c r="H1123" s="6" t="str">
        <f>TRIM(Dataset!H1123)</f>
        <v>Gift Card</v>
      </c>
      <c r="I1123" s="6" t="str">
        <f>TRIM(Dataset!I1123)</f>
        <v>Returned</v>
      </c>
      <c r="J1123" s="6" t="str">
        <f>TRIM(Dataset!J1123)</f>
        <v>TRK43070888</v>
      </c>
      <c r="K1123" s="8" t="str">
        <f>TRIM(Dataset!K1123)</f>
        <v>3</v>
      </c>
      <c r="L1123" s="6" t="str">
        <f>Dataset!L1123</f>
        <v>FREESHIP</v>
      </c>
      <c r="M1123" s="6" t="str">
        <f>TRIM(Dataset!M1123)</f>
        <v>Instagram</v>
      </c>
      <c r="N1123" s="10">
        <f>VALUE(TRIM(Dataset!N1123))</f>
        <v>151.02000000000001</v>
      </c>
    </row>
    <row r="1124" spans="1:14" x14ac:dyDescent="0.35">
      <c r="A1124" s="6" t="str">
        <f>TRIM(Dataset!A1124)</f>
        <v>ORD201122</v>
      </c>
      <c r="B1124" s="4">
        <f>Dataset!B1124</f>
        <v>45084</v>
      </c>
      <c r="C1124" s="6" t="str">
        <f>TRIM(Dataset!C1124)</f>
        <v>C38840</v>
      </c>
      <c r="D1124" s="6" t="str">
        <f>TRIM(Dataset!D1124)</f>
        <v>Monitor</v>
      </c>
      <c r="E1124" s="13">
        <f>VALUE(TRIM(Dataset!E1124))</f>
        <v>5</v>
      </c>
      <c r="F1124" s="10">
        <f>VALUE(TRIM(Dataset!F1124))</f>
        <v>678.19</v>
      </c>
      <c r="G1124" s="6" t="str">
        <f>TRIM(Dataset!G1124)</f>
        <v>766 Main St</v>
      </c>
      <c r="H1124" s="6" t="str">
        <f>TRIM(Dataset!H1124)</f>
        <v>Online</v>
      </c>
      <c r="I1124" s="6" t="str">
        <f>TRIM(Dataset!I1124)</f>
        <v>Returned</v>
      </c>
      <c r="J1124" s="6" t="str">
        <f>TRIM(Dataset!J1124)</f>
        <v>TRK32496970</v>
      </c>
      <c r="K1124" s="8" t="str">
        <f>TRIM(Dataset!K1124)</f>
        <v>8</v>
      </c>
      <c r="L1124" s="6" t="s">
        <v>4284</v>
      </c>
      <c r="M1124" s="6" t="str">
        <f>TRIM(Dataset!M1124)</f>
        <v>Facebook</v>
      </c>
      <c r="N1124" s="10">
        <f>VALUE(TRIM(Dataset!N1124))</f>
        <v>3390.95</v>
      </c>
    </row>
    <row r="1125" spans="1:14" x14ac:dyDescent="0.35">
      <c r="A1125" s="6" t="str">
        <f>TRIM(Dataset!A1125)</f>
        <v>ORD201123</v>
      </c>
      <c r="B1125" s="4">
        <f>Dataset!B1125</f>
        <v>45030</v>
      </c>
      <c r="C1125" s="6" t="str">
        <f>TRIM(Dataset!C1125)</f>
        <v>C68936</v>
      </c>
      <c r="D1125" s="6" t="str">
        <f>TRIM(Dataset!D1125)</f>
        <v>Tablet</v>
      </c>
      <c r="E1125" s="13">
        <f>VALUE(TRIM(Dataset!E1125))</f>
        <v>3</v>
      </c>
      <c r="F1125" s="10">
        <f>VALUE(TRIM(Dataset!F1125))</f>
        <v>554.25</v>
      </c>
      <c r="G1125" s="6" t="str">
        <f>TRIM(Dataset!G1125)</f>
        <v>843 Main St</v>
      </c>
      <c r="H1125" s="6" t="str">
        <f>TRIM(Dataset!H1125)</f>
        <v>Debit Card</v>
      </c>
      <c r="I1125" s="6" t="str">
        <f>TRIM(Dataset!I1125)</f>
        <v>Shipped</v>
      </c>
      <c r="J1125" s="6" t="str">
        <f>TRIM(Dataset!J1125)</f>
        <v>TRK73163634</v>
      </c>
      <c r="K1125" s="8" t="str">
        <f>TRIM(Dataset!K1125)</f>
        <v>6</v>
      </c>
      <c r="L1125" s="6" t="str">
        <f>Dataset!L1125</f>
        <v>WINTER15</v>
      </c>
      <c r="M1125" s="6" t="str">
        <f>TRIM(Dataset!M1125)</f>
        <v>Referral</v>
      </c>
      <c r="N1125" s="10">
        <f>VALUE(TRIM(Dataset!N1125))</f>
        <v>1662.75</v>
      </c>
    </row>
    <row r="1126" spans="1:14" x14ac:dyDescent="0.35">
      <c r="A1126" s="6" t="str">
        <f>TRIM(Dataset!A1126)</f>
        <v>ORD201124</v>
      </c>
      <c r="B1126" s="4">
        <f>Dataset!B1126</f>
        <v>45055</v>
      </c>
      <c r="C1126" s="6" t="str">
        <f>TRIM(Dataset!C1126)</f>
        <v>C33744</v>
      </c>
      <c r="D1126" s="6" t="str">
        <f>TRIM(Dataset!D1126)</f>
        <v>Chair</v>
      </c>
      <c r="E1126" s="13">
        <f>VALUE(TRIM(Dataset!E1126))</f>
        <v>4</v>
      </c>
      <c r="F1126" s="10">
        <f>VALUE(TRIM(Dataset!F1126))</f>
        <v>576.87</v>
      </c>
      <c r="G1126" s="6" t="str">
        <f>TRIM(Dataset!G1126)</f>
        <v>888 Main St</v>
      </c>
      <c r="H1126" s="6" t="str">
        <f>TRIM(Dataset!H1126)</f>
        <v>Gift Card</v>
      </c>
      <c r="I1126" s="6" t="str">
        <f>TRIM(Dataset!I1126)</f>
        <v>Returned</v>
      </c>
      <c r="J1126" s="6" t="str">
        <f>TRIM(Dataset!J1126)</f>
        <v>TRK40245983</v>
      </c>
      <c r="K1126" s="8" t="str">
        <f>TRIM(Dataset!K1126)</f>
        <v>5</v>
      </c>
      <c r="L1126" s="6" t="s">
        <v>4284</v>
      </c>
      <c r="M1126" s="6" t="str">
        <f>TRIM(Dataset!M1126)</f>
        <v>Instagram</v>
      </c>
      <c r="N1126" s="10">
        <f>VALUE(TRIM(Dataset!N1126))</f>
        <v>2307.48</v>
      </c>
    </row>
    <row r="1127" spans="1:14" x14ac:dyDescent="0.35">
      <c r="A1127" s="6" t="str">
        <f>TRIM(Dataset!A1127)</f>
        <v>ORD201125</v>
      </c>
      <c r="B1127" s="4">
        <f>Dataset!B1127</f>
        <v>45215</v>
      </c>
      <c r="C1127" s="6" t="str">
        <f>TRIM(Dataset!C1127)</f>
        <v>C23555</v>
      </c>
      <c r="D1127" s="6" t="str">
        <f>TRIM(Dataset!D1127)</f>
        <v>Desk</v>
      </c>
      <c r="E1127" s="13">
        <f>VALUE(TRIM(Dataset!E1127))</f>
        <v>4</v>
      </c>
      <c r="F1127" s="10">
        <f>VALUE(TRIM(Dataset!F1127))</f>
        <v>408.36</v>
      </c>
      <c r="G1127" s="6" t="str">
        <f>TRIM(Dataset!G1127)</f>
        <v>156 Main St</v>
      </c>
      <c r="H1127" s="6" t="str">
        <f>TRIM(Dataset!H1127)</f>
        <v>Gift Card</v>
      </c>
      <c r="I1127" s="6" t="str">
        <f>TRIM(Dataset!I1127)</f>
        <v>Cancelled</v>
      </c>
      <c r="J1127" s="6" t="str">
        <f>TRIM(Dataset!J1127)</f>
        <v>TRK67210247</v>
      </c>
      <c r="K1127" s="8" t="str">
        <f>TRIM(Dataset!K1127)</f>
        <v>4</v>
      </c>
      <c r="L1127" s="6" t="str">
        <f>Dataset!L1127</f>
        <v>FREESHIP</v>
      </c>
      <c r="M1127" s="6" t="str">
        <f>TRIM(Dataset!M1127)</f>
        <v>Referral</v>
      </c>
      <c r="N1127" s="10">
        <f>VALUE(TRIM(Dataset!N1127))</f>
        <v>1633.44</v>
      </c>
    </row>
    <row r="1128" spans="1:14" x14ac:dyDescent="0.35">
      <c r="A1128" s="6" t="str">
        <f>TRIM(Dataset!A1128)</f>
        <v>ORD201126</v>
      </c>
      <c r="B1128" s="4">
        <f>Dataset!B1128</f>
        <v>45495</v>
      </c>
      <c r="C1128" s="6" t="str">
        <f>TRIM(Dataset!C1128)</f>
        <v>C34337</v>
      </c>
      <c r="D1128" s="6" t="str">
        <f>TRIM(Dataset!D1128)</f>
        <v>Phone</v>
      </c>
      <c r="E1128" s="13">
        <f>VALUE(TRIM(Dataset!E1128))</f>
        <v>5</v>
      </c>
      <c r="F1128" s="10">
        <f>VALUE(TRIM(Dataset!F1128))</f>
        <v>190.11</v>
      </c>
      <c r="G1128" s="6" t="str">
        <f>TRIM(Dataset!G1128)</f>
        <v>325 Main St</v>
      </c>
      <c r="H1128" s="6" t="str">
        <f>TRIM(Dataset!H1128)</f>
        <v>Cash</v>
      </c>
      <c r="I1128" s="6" t="str">
        <f>TRIM(Dataset!I1128)</f>
        <v>Delivered</v>
      </c>
      <c r="J1128" s="6" t="str">
        <f>TRIM(Dataset!J1128)</f>
        <v>TRK36195559</v>
      </c>
      <c r="K1128" s="8" t="str">
        <f>TRIM(Dataset!K1128)</f>
        <v>7</v>
      </c>
      <c r="L1128" s="6" t="str">
        <f>Dataset!L1128</f>
        <v>SAVE10</v>
      </c>
      <c r="M1128" s="6" t="str">
        <f>TRIM(Dataset!M1128)</f>
        <v>Google</v>
      </c>
      <c r="N1128" s="10">
        <f>VALUE(TRIM(Dataset!N1128))</f>
        <v>950.55</v>
      </c>
    </row>
    <row r="1129" spans="1:14" x14ac:dyDescent="0.35">
      <c r="A1129" s="6" t="str">
        <f>TRIM(Dataset!A1129)</f>
        <v>ORD201127</v>
      </c>
      <c r="B1129" s="4">
        <f>Dataset!B1129</f>
        <v>45731</v>
      </c>
      <c r="C1129" s="6" t="str">
        <f>TRIM(Dataset!C1129)</f>
        <v>C69396</v>
      </c>
      <c r="D1129" s="6" t="str">
        <f>TRIM(Dataset!D1129)</f>
        <v>Printer</v>
      </c>
      <c r="E1129" s="13">
        <f>VALUE(TRIM(Dataset!E1129))</f>
        <v>3</v>
      </c>
      <c r="F1129" s="10">
        <f>VALUE(TRIM(Dataset!F1129))</f>
        <v>602.75</v>
      </c>
      <c r="G1129" s="6" t="str">
        <f>TRIM(Dataset!G1129)</f>
        <v>920 Main St</v>
      </c>
      <c r="H1129" s="6" t="str">
        <f>TRIM(Dataset!H1129)</f>
        <v>Credit Card</v>
      </c>
      <c r="I1129" s="6" t="str">
        <f>TRIM(Dataset!I1129)</f>
        <v>Shipped</v>
      </c>
      <c r="J1129" s="6" t="str">
        <f>TRIM(Dataset!J1129)</f>
        <v>TRK33155049</v>
      </c>
      <c r="K1129" s="8" t="str">
        <f>TRIM(Dataset!K1129)</f>
        <v>6</v>
      </c>
      <c r="L1129" s="6" t="str">
        <f>Dataset!L1129</f>
        <v>SAVE10</v>
      </c>
      <c r="M1129" s="6" t="str">
        <f>TRIM(Dataset!M1129)</f>
        <v>Email</v>
      </c>
      <c r="N1129" s="10">
        <f>VALUE(TRIM(Dataset!N1129))</f>
        <v>1808.25</v>
      </c>
    </row>
    <row r="1130" spans="1:14" x14ac:dyDescent="0.35">
      <c r="A1130" s="6" t="str">
        <f>TRIM(Dataset!A1130)</f>
        <v>ORD201128</v>
      </c>
      <c r="B1130" s="4">
        <f>Dataset!B1130</f>
        <v>45155</v>
      </c>
      <c r="C1130" s="6" t="str">
        <f>TRIM(Dataset!C1130)</f>
        <v>C49198</v>
      </c>
      <c r="D1130" s="6" t="str">
        <f>TRIM(Dataset!D1130)</f>
        <v>Monitor</v>
      </c>
      <c r="E1130" s="13">
        <f>VALUE(TRIM(Dataset!E1130))</f>
        <v>3</v>
      </c>
      <c r="F1130" s="10">
        <f>VALUE(TRIM(Dataset!F1130))</f>
        <v>646.79</v>
      </c>
      <c r="G1130" s="6" t="str">
        <f>TRIM(Dataset!G1130)</f>
        <v>447 Main St</v>
      </c>
      <c r="H1130" s="6" t="str">
        <f>TRIM(Dataset!H1130)</f>
        <v>Cash</v>
      </c>
      <c r="I1130" s="6" t="str">
        <f>TRIM(Dataset!I1130)</f>
        <v>Cancelled</v>
      </c>
      <c r="J1130" s="6" t="str">
        <f>TRIM(Dataset!J1130)</f>
        <v>TRK10883354</v>
      </c>
      <c r="K1130" s="8" t="str">
        <f>TRIM(Dataset!K1130)</f>
        <v>5</v>
      </c>
      <c r="L1130" s="6" t="str">
        <f>Dataset!L1130</f>
        <v>WINTER15</v>
      </c>
      <c r="M1130" s="6" t="str">
        <f>TRIM(Dataset!M1130)</f>
        <v>Google</v>
      </c>
      <c r="N1130" s="10">
        <f>VALUE(TRIM(Dataset!N1130))</f>
        <v>1940.37</v>
      </c>
    </row>
    <row r="1131" spans="1:14" x14ac:dyDescent="0.35">
      <c r="A1131" s="6" t="str">
        <f>TRIM(Dataset!A1131)</f>
        <v>ORD201129</v>
      </c>
      <c r="B1131" s="4">
        <f>Dataset!B1131</f>
        <v>45088</v>
      </c>
      <c r="C1131" s="6" t="str">
        <f>TRIM(Dataset!C1131)</f>
        <v>C43911</v>
      </c>
      <c r="D1131" s="6" t="str">
        <f>TRIM(Dataset!D1131)</f>
        <v>Chair</v>
      </c>
      <c r="E1131" s="13">
        <f>VALUE(TRIM(Dataset!E1131))</f>
        <v>4</v>
      </c>
      <c r="F1131" s="10">
        <f>VALUE(TRIM(Dataset!F1131))</f>
        <v>418.71</v>
      </c>
      <c r="G1131" s="6" t="str">
        <f>TRIM(Dataset!G1131)</f>
        <v>239 Main St</v>
      </c>
      <c r="H1131" s="6" t="str">
        <f>TRIM(Dataset!H1131)</f>
        <v>Cash</v>
      </c>
      <c r="I1131" s="6" t="str">
        <f>TRIM(Dataset!I1131)</f>
        <v>Pending</v>
      </c>
      <c r="J1131" s="6" t="str">
        <f>TRIM(Dataset!J1131)</f>
        <v>TRK37495481</v>
      </c>
      <c r="K1131" s="8" t="str">
        <f>TRIM(Dataset!K1131)</f>
        <v>8</v>
      </c>
      <c r="L1131" s="6" t="str">
        <f>Dataset!L1131</f>
        <v>FREESHIP</v>
      </c>
      <c r="M1131" s="6" t="str">
        <f>TRIM(Dataset!M1131)</f>
        <v>Instagram</v>
      </c>
      <c r="N1131" s="10">
        <f>VALUE(TRIM(Dataset!N1131))</f>
        <v>1674.84</v>
      </c>
    </row>
    <row r="1132" spans="1:14" x14ac:dyDescent="0.35">
      <c r="A1132" s="6" t="str">
        <f>TRIM(Dataset!A1132)</f>
        <v>ORD201130</v>
      </c>
      <c r="B1132" s="4">
        <f>Dataset!B1132</f>
        <v>45704</v>
      </c>
      <c r="C1132" s="6" t="str">
        <f>TRIM(Dataset!C1132)</f>
        <v>C24347</v>
      </c>
      <c r="D1132" s="6" t="str">
        <f>TRIM(Dataset!D1132)</f>
        <v>Laptop</v>
      </c>
      <c r="E1132" s="13">
        <f>VALUE(TRIM(Dataset!E1132))</f>
        <v>2</v>
      </c>
      <c r="F1132" s="10">
        <f>VALUE(TRIM(Dataset!F1132))</f>
        <v>323.45</v>
      </c>
      <c r="G1132" s="6" t="str">
        <f>TRIM(Dataset!G1132)</f>
        <v>533 Main St</v>
      </c>
      <c r="H1132" s="6" t="str">
        <f>TRIM(Dataset!H1132)</f>
        <v>Credit Card</v>
      </c>
      <c r="I1132" s="6" t="str">
        <f>TRIM(Dataset!I1132)</f>
        <v>Returned</v>
      </c>
      <c r="J1132" s="6" t="str">
        <f>TRIM(Dataset!J1132)</f>
        <v>TRK27233265</v>
      </c>
      <c r="K1132" s="8" t="str">
        <f>TRIM(Dataset!K1132)</f>
        <v>5</v>
      </c>
      <c r="L1132" s="6" t="str">
        <f>Dataset!L1132</f>
        <v>FREESHIP</v>
      </c>
      <c r="M1132" s="6" t="str">
        <f>TRIM(Dataset!M1132)</f>
        <v>Instagram</v>
      </c>
      <c r="N1132" s="10">
        <f>VALUE(TRIM(Dataset!N1132))</f>
        <v>646.9</v>
      </c>
    </row>
    <row r="1133" spans="1:14" x14ac:dyDescent="0.35">
      <c r="A1133" s="6" t="str">
        <f>TRIM(Dataset!A1133)</f>
        <v>ORD201131</v>
      </c>
      <c r="B1133" s="4">
        <f>Dataset!B1133</f>
        <v>45491</v>
      </c>
      <c r="C1133" s="6" t="str">
        <f>TRIM(Dataset!C1133)</f>
        <v>C21043</v>
      </c>
      <c r="D1133" s="6" t="str">
        <f>TRIM(Dataset!D1133)</f>
        <v>Phone</v>
      </c>
      <c r="E1133" s="13">
        <f>VALUE(TRIM(Dataset!E1133))</f>
        <v>1</v>
      </c>
      <c r="F1133" s="10">
        <f>VALUE(TRIM(Dataset!F1133))</f>
        <v>694.5</v>
      </c>
      <c r="G1133" s="6" t="str">
        <f>TRIM(Dataset!G1133)</f>
        <v>195 Main St</v>
      </c>
      <c r="H1133" s="6" t="str">
        <f>TRIM(Dataset!H1133)</f>
        <v>Credit Card</v>
      </c>
      <c r="I1133" s="6" t="str">
        <f>TRIM(Dataset!I1133)</f>
        <v>Pending</v>
      </c>
      <c r="J1133" s="6" t="str">
        <f>TRIM(Dataset!J1133)</f>
        <v>TRK41691086</v>
      </c>
      <c r="K1133" s="8" t="str">
        <f>TRIM(Dataset!K1133)</f>
        <v>3</v>
      </c>
      <c r="L1133" s="6" t="str">
        <f>Dataset!L1133</f>
        <v>WINTER15</v>
      </c>
      <c r="M1133" s="6" t="str">
        <f>TRIM(Dataset!M1133)</f>
        <v>Facebook</v>
      </c>
      <c r="N1133" s="10">
        <f>VALUE(TRIM(Dataset!N1133))</f>
        <v>694.5</v>
      </c>
    </row>
    <row r="1134" spans="1:14" x14ac:dyDescent="0.35">
      <c r="A1134" s="6" t="str">
        <f>TRIM(Dataset!A1134)</f>
        <v>ORD201132</v>
      </c>
      <c r="B1134" s="4">
        <f>Dataset!B1134</f>
        <v>45628</v>
      </c>
      <c r="C1134" s="6" t="str">
        <f>TRIM(Dataset!C1134)</f>
        <v>C58858</v>
      </c>
      <c r="D1134" s="6" t="str">
        <f>TRIM(Dataset!D1134)</f>
        <v>Chair</v>
      </c>
      <c r="E1134" s="13">
        <f>VALUE(TRIM(Dataset!E1134))</f>
        <v>2</v>
      </c>
      <c r="F1134" s="10">
        <f>VALUE(TRIM(Dataset!F1134))</f>
        <v>337.32</v>
      </c>
      <c r="G1134" s="6" t="str">
        <f>TRIM(Dataset!G1134)</f>
        <v>948 Main St</v>
      </c>
      <c r="H1134" s="6" t="str">
        <f>TRIM(Dataset!H1134)</f>
        <v>Credit Card</v>
      </c>
      <c r="I1134" s="6" t="str">
        <f>TRIM(Dataset!I1134)</f>
        <v>Cancelled</v>
      </c>
      <c r="J1134" s="6" t="str">
        <f>TRIM(Dataset!J1134)</f>
        <v>TRK30406357</v>
      </c>
      <c r="K1134" s="8" t="str">
        <f>TRIM(Dataset!K1134)</f>
        <v>4</v>
      </c>
      <c r="L1134" s="6" t="str">
        <f>Dataset!L1134</f>
        <v>SAVE10</v>
      </c>
      <c r="M1134" s="6" t="str">
        <f>TRIM(Dataset!M1134)</f>
        <v>Email</v>
      </c>
      <c r="N1134" s="10">
        <f>VALUE(TRIM(Dataset!N1134))</f>
        <v>674.64</v>
      </c>
    </row>
    <row r="1135" spans="1:14" x14ac:dyDescent="0.35">
      <c r="A1135" s="6" t="str">
        <f>TRIM(Dataset!A1135)</f>
        <v>ORD201133</v>
      </c>
      <c r="B1135" s="4">
        <f>Dataset!B1135</f>
        <v>45391</v>
      </c>
      <c r="C1135" s="6" t="str">
        <f>TRIM(Dataset!C1135)</f>
        <v>C20670</v>
      </c>
      <c r="D1135" s="6" t="str">
        <f>TRIM(Dataset!D1135)</f>
        <v>Printer</v>
      </c>
      <c r="E1135" s="13">
        <f>VALUE(TRIM(Dataset!E1135))</f>
        <v>2</v>
      </c>
      <c r="F1135" s="10">
        <f>VALUE(TRIM(Dataset!F1135))</f>
        <v>467.91</v>
      </c>
      <c r="G1135" s="6" t="str">
        <f>TRIM(Dataset!G1135)</f>
        <v>432 Main St</v>
      </c>
      <c r="H1135" s="6" t="str">
        <f>TRIM(Dataset!H1135)</f>
        <v>Gift Card</v>
      </c>
      <c r="I1135" s="6" t="str">
        <f>TRIM(Dataset!I1135)</f>
        <v>Returned</v>
      </c>
      <c r="J1135" s="6" t="str">
        <f>TRIM(Dataset!J1135)</f>
        <v>TRK76731303</v>
      </c>
      <c r="K1135" s="8" t="str">
        <f>TRIM(Dataset!K1135)</f>
        <v>5</v>
      </c>
      <c r="L1135" s="6" t="str">
        <f>Dataset!L1135</f>
        <v>WINTER15</v>
      </c>
      <c r="M1135" s="6" t="str">
        <f>TRIM(Dataset!M1135)</f>
        <v>Facebook</v>
      </c>
      <c r="N1135" s="10">
        <f>VALUE(TRIM(Dataset!N1135))</f>
        <v>935.82</v>
      </c>
    </row>
    <row r="1136" spans="1:14" x14ac:dyDescent="0.35">
      <c r="A1136" s="6" t="str">
        <f>TRIM(Dataset!A1136)</f>
        <v>ORD201134</v>
      </c>
      <c r="B1136" s="4">
        <f>Dataset!B1136</f>
        <v>45451</v>
      </c>
      <c r="C1136" s="6" t="str">
        <f>TRIM(Dataset!C1136)</f>
        <v>C90993</v>
      </c>
      <c r="D1136" s="6" t="str">
        <f>TRIM(Dataset!D1136)</f>
        <v>Desk</v>
      </c>
      <c r="E1136" s="13">
        <f>VALUE(TRIM(Dataset!E1136))</f>
        <v>4</v>
      </c>
      <c r="F1136" s="10">
        <f>VALUE(TRIM(Dataset!F1136))</f>
        <v>38.28</v>
      </c>
      <c r="G1136" s="6" t="str">
        <f>TRIM(Dataset!G1136)</f>
        <v>950 Main St</v>
      </c>
      <c r="H1136" s="6" t="str">
        <f>TRIM(Dataset!H1136)</f>
        <v>Debit Card</v>
      </c>
      <c r="I1136" s="6" t="str">
        <f>TRIM(Dataset!I1136)</f>
        <v>Cancelled</v>
      </c>
      <c r="J1136" s="6" t="str">
        <f>TRIM(Dataset!J1136)</f>
        <v>TRK53964711</v>
      </c>
      <c r="K1136" s="8" t="str">
        <f>TRIM(Dataset!K1136)</f>
        <v>4</v>
      </c>
      <c r="L1136" s="6" t="str">
        <f>Dataset!L1136</f>
        <v>WINTER15</v>
      </c>
      <c r="M1136" s="6" t="str">
        <f>TRIM(Dataset!M1136)</f>
        <v>Facebook</v>
      </c>
      <c r="N1136" s="10">
        <f>VALUE(TRIM(Dataset!N1136))</f>
        <v>153.12</v>
      </c>
    </row>
    <row r="1137" spans="1:14" x14ac:dyDescent="0.35">
      <c r="A1137" s="6" t="str">
        <f>TRIM(Dataset!A1137)</f>
        <v>ORD201135</v>
      </c>
      <c r="B1137" s="4">
        <f>Dataset!B1137</f>
        <v>45288</v>
      </c>
      <c r="C1137" s="6" t="str">
        <f>TRIM(Dataset!C1137)</f>
        <v>C11473</v>
      </c>
      <c r="D1137" s="6" t="str">
        <f>TRIM(Dataset!D1137)</f>
        <v>Printer</v>
      </c>
      <c r="E1137" s="13">
        <f>VALUE(TRIM(Dataset!E1137))</f>
        <v>2</v>
      </c>
      <c r="F1137" s="10">
        <f>VALUE(TRIM(Dataset!F1137))</f>
        <v>73.41</v>
      </c>
      <c r="G1137" s="6" t="str">
        <f>TRIM(Dataset!G1137)</f>
        <v>562 Main St</v>
      </c>
      <c r="H1137" s="6" t="str">
        <f>TRIM(Dataset!H1137)</f>
        <v>Online</v>
      </c>
      <c r="I1137" s="6" t="str">
        <f>TRIM(Dataset!I1137)</f>
        <v>Shipped</v>
      </c>
      <c r="J1137" s="6" t="str">
        <f>TRIM(Dataset!J1137)</f>
        <v>TRK97793275</v>
      </c>
      <c r="K1137" s="8" t="str">
        <f>TRIM(Dataset!K1137)</f>
        <v>2</v>
      </c>
      <c r="L1137" s="6" t="str">
        <f>Dataset!L1137</f>
        <v>SAVE10</v>
      </c>
      <c r="M1137" s="6" t="str">
        <f>TRIM(Dataset!M1137)</f>
        <v>Google</v>
      </c>
      <c r="N1137" s="10">
        <f>VALUE(TRIM(Dataset!N1137))</f>
        <v>146.82</v>
      </c>
    </row>
    <row r="1138" spans="1:14" x14ac:dyDescent="0.35">
      <c r="A1138" s="6" t="str">
        <f>TRIM(Dataset!A1138)</f>
        <v>ORD201136</v>
      </c>
      <c r="B1138" s="4">
        <f>Dataset!B1138</f>
        <v>45193</v>
      </c>
      <c r="C1138" s="6" t="str">
        <f>TRIM(Dataset!C1138)</f>
        <v>C71899</v>
      </c>
      <c r="D1138" s="6" t="str">
        <f>TRIM(Dataset!D1138)</f>
        <v>Tablet</v>
      </c>
      <c r="E1138" s="13">
        <f>VALUE(TRIM(Dataset!E1138))</f>
        <v>3</v>
      </c>
      <c r="F1138" s="10">
        <f>VALUE(TRIM(Dataset!F1138))</f>
        <v>668.33</v>
      </c>
      <c r="G1138" s="6" t="str">
        <f>TRIM(Dataset!G1138)</f>
        <v>799 Main St</v>
      </c>
      <c r="H1138" s="6" t="str">
        <f>TRIM(Dataset!H1138)</f>
        <v>Gift Card</v>
      </c>
      <c r="I1138" s="6" t="str">
        <f>TRIM(Dataset!I1138)</f>
        <v>Pending</v>
      </c>
      <c r="J1138" s="6" t="str">
        <f>TRIM(Dataset!J1138)</f>
        <v>TRK34856025</v>
      </c>
      <c r="K1138" s="8" t="str">
        <f>TRIM(Dataset!K1138)</f>
        <v>4</v>
      </c>
      <c r="L1138" s="6" t="str">
        <f>Dataset!L1138</f>
        <v>WINTER15</v>
      </c>
      <c r="M1138" s="6" t="str">
        <f>TRIM(Dataset!M1138)</f>
        <v>Facebook</v>
      </c>
      <c r="N1138" s="10">
        <f>VALUE(TRIM(Dataset!N1138))</f>
        <v>2004.99</v>
      </c>
    </row>
    <row r="1139" spans="1:14" x14ac:dyDescent="0.35">
      <c r="A1139" s="6" t="str">
        <f>TRIM(Dataset!A1139)</f>
        <v>ORD201137</v>
      </c>
      <c r="B1139" s="4">
        <f>Dataset!B1139</f>
        <v>45502</v>
      </c>
      <c r="C1139" s="6" t="str">
        <f>TRIM(Dataset!C1139)</f>
        <v>C48577</v>
      </c>
      <c r="D1139" s="6" t="str">
        <f>TRIM(Dataset!D1139)</f>
        <v>Printer</v>
      </c>
      <c r="E1139" s="13">
        <f>VALUE(TRIM(Dataset!E1139))</f>
        <v>4</v>
      </c>
      <c r="F1139" s="10">
        <f>VALUE(TRIM(Dataset!F1139))</f>
        <v>410.21</v>
      </c>
      <c r="G1139" s="6" t="str">
        <f>TRIM(Dataset!G1139)</f>
        <v>841 Main St</v>
      </c>
      <c r="H1139" s="6" t="str">
        <f>TRIM(Dataset!H1139)</f>
        <v>Cash</v>
      </c>
      <c r="I1139" s="6" t="str">
        <f>TRIM(Dataset!I1139)</f>
        <v>Pending</v>
      </c>
      <c r="J1139" s="6" t="str">
        <f>TRIM(Dataset!J1139)</f>
        <v>TRK59911645</v>
      </c>
      <c r="K1139" s="8" t="str">
        <f>TRIM(Dataset!K1139)</f>
        <v>5</v>
      </c>
      <c r="L1139" s="6" t="str">
        <f>Dataset!L1139</f>
        <v>WINTER15</v>
      </c>
      <c r="M1139" s="6" t="str">
        <f>TRIM(Dataset!M1139)</f>
        <v>Instagram</v>
      </c>
      <c r="N1139" s="10">
        <f>VALUE(TRIM(Dataset!N1139))</f>
        <v>1640.84</v>
      </c>
    </row>
    <row r="1140" spans="1:14" x14ac:dyDescent="0.35">
      <c r="A1140" s="6" t="str">
        <f>TRIM(Dataset!A1140)</f>
        <v>ORD201138</v>
      </c>
      <c r="B1140" s="4">
        <f>Dataset!B1140</f>
        <v>45278</v>
      </c>
      <c r="C1140" s="6" t="str">
        <f>TRIM(Dataset!C1140)</f>
        <v>C13100</v>
      </c>
      <c r="D1140" s="6" t="str">
        <f>TRIM(Dataset!D1140)</f>
        <v>Desk</v>
      </c>
      <c r="E1140" s="13">
        <f>VALUE(TRIM(Dataset!E1140))</f>
        <v>4</v>
      </c>
      <c r="F1140" s="10">
        <f>VALUE(TRIM(Dataset!F1140))</f>
        <v>294.41000000000003</v>
      </c>
      <c r="G1140" s="6" t="str">
        <f>TRIM(Dataset!G1140)</f>
        <v>188 Main St</v>
      </c>
      <c r="H1140" s="6" t="str">
        <f>TRIM(Dataset!H1140)</f>
        <v>Debit Card</v>
      </c>
      <c r="I1140" s="6" t="str">
        <f>TRIM(Dataset!I1140)</f>
        <v>Pending</v>
      </c>
      <c r="J1140" s="6" t="str">
        <f>TRIM(Dataset!J1140)</f>
        <v>TRK55565668</v>
      </c>
      <c r="K1140" s="8" t="str">
        <f>TRIM(Dataset!K1140)</f>
        <v>4</v>
      </c>
      <c r="L1140" s="6" t="s">
        <v>4284</v>
      </c>
      <c r="M1140" s="6" t="str">
        <f>TRIM(Dataset!M1140)</f>
        <v>Instagram</v>
      </c>
      <c r="N1140" s="10">
        <f>VALUE(TRIM(Dataset!N1140))</f>
        <v>1177.6400000000001</v>
      </c>
    </row>
    <row r="1141" spans="1:14" x14ac:dyDescent="0.35">
      <c r="A1141" s="6" t="str">
        <f>TRIM(Dataset!A1141)</f>
        <v>ORD201139</v>
      </c>
      <c r="B1141" s="4">
        <f>Dataset!B1141</f>
        <v>45717</v>
      </c>
      <c r="C1141" s="6" t="str">
        <f>TRIM(Dataset!C1141)</f>
        <v>C70659</v>
      </c>
      <c r="D1141" s="6" t="str">
        <f>TRIM(Dataset!D1141)</f>
        <v>Chair</v>
      </c>
      <c r="E1141" s="13">
        <f>VALUE(TRIM(Dataset!E1141))</f>
        <v>3</v>
      </c>
      <c r="F1141" s="10">
        <f>VALUE(TRIM(Dataset!F1141))</f>
        <v>501.82</v>
      </c>
      <c r="G1141" s="6" t="str">
        <f>TRIM(Dataset!G1141)</f>
        <v>568 Main St</v>
      </c>
      <c r="H1141" s="6" t="str">
        <f>TRIM(Dataset!H1141)</f>
        <v>Gift Card</v>
      </c>
      <c r="I1141" s="6" t="str">
        <f>TRIM(Dataset!I1141)</f>
        <v>Cancelled</v>
      </c>
      <c r="J1141" s="6" t="str">
        <f>TRIM(Dataset!J1141)</f>
        <v>TRK28290825</v>
      </c>
      <c r="K1141" s="8" t="str">
        <f>TRIM(Dataset!K1141)</f>
        <v>4</v>
      </c>
      <c r="L1141" s="6" t="str">
        <f>Dataset!L1141</f>
        <v>FREESHIP</v>
      </c>
      <c r="M1141" s="6" t="str">
        <f>TRIM(Dataset!M1141)</f>
        <v>Email</v>
      </c>
      <c r="N1141" s="10">
        <f>VALUE(TRIM(Dataset!N1141))</f>
        <v>1505.46</v>
      </c>
    </row>
    <row r="1142" spans="1:14" x14ac:dyDescent="0.35">
      <c r="A1142" s="6" t="str">
        <f>TRIM(Dataset!A1142)</f>
        <v>ORD201140</v>
      </c>
      <c r="B1142" s="4">
        <f>Dataset!B1142</f>
        <v>45467</v>
      </c>
      <c r="C1142" s="6" t="str">
        <f>TRIM(Dataset!C1142)</f>
        <v>C49838</v>
      </c>
      <c r="D1142" s="6" t="str">
        <f>TRIM(Dataset!D1142)</f>
        <v>Printer</v>
      </c>
      <c r="E1142" s="13">
        <f>VALUE(TRIM(Dataset!E1142))</f>
        <v>2</v>
      </c>
      <c r="F1142" s="10">
        <f>VALUE(TRIM(Dataset!F1142))</f>
        <v>552.83000000000004</v>
      </c>
      <c r="G1142" s="6" t="str">
        <f>TRIM(Dataset!G1142)</f>
        <v>904 Main St</v>
      </c>
      <c r="H1142" s="6" t="str">
        <f>TRIM(Dataset!H1142)</f>
        <v>Credit Card</v>
      </c>
      <c r="I1142" s="6" t="str">
        <f>TRIM(Dataset!I1142)</f>
        <v>Cancelled</v>
      </c>
      <c r="J1142" s="6" t="str">
        <f>TRIM(Dataset!J1142)</f>
        <v>TRK38297718</v>
      </c>
      <c r="K1142" s="8" t="str">
        <f>TRIM(Dataset!K1142)</f>
        <v>3</v>
      </c>
      <c r="L1142" s="6" t="s">
        <v>4284</v>
      </c>
      <c r="M1142" s="6" t="str">
        <f>TRIM(Dataset!M1142)</f>
        <v>Referral</v>
      </c>
      <c r="N1142" s="10">
        <f>VALUE(TRIM(Dataset!N1142))</f>
        <v>1105.6600000000001</v>
      </c>
    </row>
    <row r="1143" spans="1:14" x14ac:dyDescent="0.35">
      <c r="A1143" s="6" t="str">
        <f>TRIM(Dataset!A1143)</f>
        <v>ORD201141</v>
      </c>
      <c r="B1143" s="4">
        <f>Dataset!B1143</f>
        <v>45704</v>
      </c>
      <c r="C1143" s="6" t="str">
        <f>TRIM(Dataset!C1143)</f>
        <v>C11998</v>
      </c>
      <c r="D1143" s="6" t="str">
        <f>TRIM(Dataset!D1143)</f>
        <v>Chair</v>
      </c>
      <c r="E1143" s="13">
        <f>VALUE(TRIM(Dataset!E1143))</f>
        <v>3</v>
      </c>
      <c r="F1143" s="10">
        <f>VALUE(TRIM(Dataset!F1143))</f>
        <v>498.66</v>
      </c>
      <c r="G1143" s="6" t="str">
        <f>TRIM(Dataset!G1143)</f>
        <v>382 Main St</v>
      </c>
      <c r="H1143" s="6" t="str">
        <f>TRIM(Dataset!H1143)</f>
        <v>Cash</v>
      </c>
      <c r="I1143" s="6" t="str">
        <f>TRIM(Dataset!I1143)</f>
        <v>Cancelled</v>
      </c>
      <c r="J1143" s="6" t="str">
        <f>TRIM(Dataset!J1143)</f>
        <v>TRK26707221</v>
      </c>
      <c r="K1143" s="8" t="str">
        <f>TRIM(Dataset!K1143)</f>
        <v>6</v>
      </c>
      <c r="L1143" s="6" t="s">
        <v>4284</v>
      </c>
      <c r="M1143" s="6" t="str">
        <f>TRIM(Dataset!M1143)</f>
        <v>Email</v>
      </c>
      <c r="N1143" s="10">
        <f>VALUE(TRIM(Dataset!N1143))</f>
        <v>1495.98</v>
      </c>
    </row>
    <row r="1144" spans="1:14" x14ac:dyDescent="0.35">
      <c r="A1144" s="6" t="str">
        <f>TRIM(Dataset!A1144)</f>
        <v>ORD201142</v>
      </c>
      <c r="B1144" s="4">
        <f>Dataset!B1144</f>
        <v>45527</v>
      </c>
      <c r="C1144" s="6" t="str">
        <f>TRIM(Dataset!C1144)</f>
        <v>C23405</v>
      </c>
      <c r="D1144" s="6" t="str">
        <f>TRIM(Dataset!D1144)</f>
        <v>Phone</v>
      </c>
      <c r="E1144" s="13">
        <f>VALUE(TRIM(Dataset!E1144))</f>
        <v>4</v>
      </c>
      <c r="F1144" s="10">
        <f>VALUE(TRIM(Dataset!F1144))</f>
        <v>695.1</v>
      </c>
      <c r="G1144" s="6" t="str">
        <f>TRIM(Dataset!G1144)</f>
        <v>484 Main St</v>
      </c>
      <c r="H1144" s="6" t="str">
        <f>TRIM(Dataset!H1144)</f>
        <v>Debit Card</v>
      </c>
      <c r="I1144" s="6" t="str">
        <f>TRIM(Dataset!I1144)</f>
        <v>Returned</v>
      </c>
      <c r="J1144" s="6" t="str">
        <f>TRIM(Dataset!J1144)</f>
        <v>TRK83678708</v>
      </c>
      <c r="K1144" s="8" t="str">
        <f>TRIM(Dataset!K1144)</f>
        <v>8</v>
      </c>
      <c r="L1144" s="6" t="s">
        <v>4284</v>
      </c>
      <c r="M1144" s="6" t="str">
        <f>TRIM(Dataset!M1144)</f>
        <v>Email</v>
      </c>
      <c r="N1144" s="10">
        <f>VALUE(TRIM(Dataset!N1144))</f>
        <v>2780.4</v>
      </c>
    </row>
    <row r="1145" spans="1:14" x14ac:dyDescent="0.35">
      <c r="A1145" s="6" t="str">
        <f>TRIM(Dataset!A1145)</f>
        <v>ORD201143</v>
      </c>
      <c r="B1145" s="4">
        <f>Dataset!B1145</f>
        <v>45019</v>
      </c>
      <c r="C1145" s="6" t="str">
        <f>TRIM(Dataset!C1145)</f>
        <v>C41132</v>
      </c>
      <c r="D1145" s="6" t="str">
        <f>TRIM(Dataset!D1145)</f>
        <v>Chair</v>
      </c>
      <c r="E1145" s="13">
        <f>VALUE(TRIM(Dataset!E1145))</f>
        <v>1</v>
      </c>
      <c r="F1145" s="10">
        <f>VALUE(TRIM(Dataset!F1145))</f>
        <v>381.61</v>
      </c>
      <c r="G1145" s="6" t="str">
        <f>TRIM(Dataset!G1145)</f>
        <v>114 Main St</v>
      </c>
      <c r="H1145" s="6" t="str">
        <f>TRIM(Dataset!H1145)</f>
        <v>Debit Card</v>
      </c>
      <c r="I1145" s="6" t="str">
        <f>TRIM(Dataset!I1145)</f>
        <v>Pending</v>
      </c>
      <c r="J1145" s="6" t="str">
        <f>TRIM(Dataset!J1145)</f>
        <v>TRK51040137</v>
      </c>
      <c r="K1145" s="8" t="str">
        <f>TRIM(Dataset!K1145)</f>
        <v>5</v>
      </c>
      <c r="L1145" s="6" t="s">
        <v>4284</v>
      </c>
      <c r="M1145" s="6" t="str">
        <f>TRIM(Dataset!M1145)</f>
        <v>Email</v>
      </c>
      <c r="N1145" s="10">
        <f>VALUE(TRIM(Dataset!N1145))</f>
        <v>381.61</v>
      </c>
    </row>
    <row r="1146" spans="1:14" x14ac:dyDescent="0.35">
      <c r="A1146" s="6" t="str">
        <f>TRIM(Dataset!A1146)</f>
        <v>ORD201144</v>
      </c>
      <c r="B1146" s="4">
        <f>Dataset!B1146</f>
        <v>44973</v>
      </c>
      <c r="C1146" s="6" t="str">
        <f>TRIM(Dataset!C1146)</f>
        <v>C88463</v>
      </c>
      <c r="D1146" s="6" t="str">
        <f>TRIM(Dataset!D1146)</f>
        <v>Desk</v>
      </c>
      <c r="E1146" s="13">
        <f>VALUE(TRIM(Dataset!E1146))</f>
        <v>5</v>
      </c>
      <c r="F1146" s="10">
        <f>VALUE(TRIM(Dataset!F1146))</f>
        <v>507.94</v>
      </c>
      <c r="G1146" s="6" t="str">
        <f>TRIM(Dataset!G1146)</f>
        <v>292 Main St</v>
      </c>
      <c r="H1146" s="6" t="str">
        <f>TRIM(Dataset!H1146)</f>
        <v>Online</v>
      </c>
      <c r="I1146" s="6" t="str">
        <f>TRIM(Dataset!I1146)</f>
        <v>Cancelled</v>
      </c>
      <c r="J1146" s="6" t="str">
        <f>TRIM(Dataset!J1146)</f>
        <v>TRK88749996</v>
      </c>
      <c r="K1146" s="8" t="str">
        <f>TRIM(Dataset!K1146)</f>
        <v>9</v>
      </c>
      <c r="L1146" s="6" t="s">
        <v>4284</v>
      </c>
      <c r="M1146" s="6" t="str">
        <f>TRIM(Dataset!M1146)</f>
        <v>Facebook</v>
      </c>
      <c r="N1146" s="10">
        <f>VALUE(TRIM(Dataset!N1146))</f>
        <v>2539.6999999999998</v>
      </c>
    </row>
    <row r="1147" spans="1:14" x14ac:dyDescent="0.35">
      <c r="A1147" s="6" t="str">
        <f>TRIM(Dataset!A1147)</f>
        <v>ORD201145</v>
      </c>
      <c r="B1147" s="4">
        <f>Dataset!B1147</f>
        <v>45789</v>
      </c>
      <c r="C1147" s="6" t="str">
        <f>TRIM(Dataset!C1147)</f>
        <v>C28152</v>
      </c>
      <c r="D1147" s="6" t="str">
        <f>TRIM(Dataset!D1147)</f>
        <v>Desk</v>
      </c>
      <c r="E1147" s="13">
        <f>VALUE(TRIM(Dataset!E1147))</f>
        <v>3</v>
      </c>
      <c r="F1147" s="10">
        <f>VALUE(TRIM(Dataset!F1147))</f>
        <v>571.53</v>
      </c>
      <c r="G1147" s="6" t="str">
        <f>TRIM(Dataset!G1147)</f>
        <v>821 Main St</v>
      </c>
      <c r="H1147" s="6" t="str">
        <f>TRIM(Dataset!H1147)</f>
        <v>Debit Card</v>
      </c>
      <c r="I1147" s="6" t="str">
        <f>TRIM(Dataset!I1147)</f>
        <v>Delivered</v>
      </c>
      <c r="J1147" s="6" t="str">
        <f>TRIM(Dataset!J1147)</f>
        <v>TRK59642814</v>
      </c>
      <c r="K1147" s="8" t="str">
        <f>TRIM(Dataset!K1147)</f>
        <v>6</v>
      </c>
      <c r="L1147" s="6" t="str">
        <f>Dataset!L1147</f>
        <v>FREESHIP</v>
      </c>
      <c r="M1147" s="6" t="str">
        <f>TRIM(Dataset!M1147)</f>
        <v>Facebook</v>
      </c>
      <c r="N1147" s="10">
        <f>VALUE(TRIM(Dataset!N1147))</f>
        <v>1714.59</v>
      </c>
    </row>
    <row r="1148" spans="1:14" x14ac:dyDescent="0.35">
      <c r="A1148" s="6" t="str">
        <f>TRIM(Dataset!A1148)</f>
        <v>ORD201146</v>
      </c>
      <c r="B1148" s="4">
        <f>Dataset!B1148</f>
        <v>45568</v>
      </c>
      <c r="C1148" s="6" t="str">
        <f>TRIM(Dataset!C1148)</f>
        <v>C36383</v>
      </c>
      <c r="D1148" s="6" t="str">
        <f>TRIM(Dataset!D1148)</f>
        <v>Monitor</v>
      </c>
      <c r="E1148" s="13">
        <f>VALUE(TRIM(Dataset!E1148))</f>
        <v>5</v>
      </c>
      <c r="F1148" s="10">
        <f>VALUE(TRIM(Dataset!F1148))</f>
        <v>421.44</v>
      </c>
      <c r="G1148" s="6" t="str">
        <f>TRIM(Dataset!G1148)</f>
        <v>286 Main St</v>
      </c>
      <c r="H1148" s="6" t="str">
        <f>TRIM(Dataset!H1148)</f>
        <v>Cash</v>
      </c>
      <c r="I1148" s="6" t="str">
        <f>TRIM(Dataset!I1148)</f>
        <v>Pending</v>
      </c>
      <c r="J1148" s="6" t="str">
        <f>TRIM(Dataset!J1148)</f>
        <v>TRK93336357</v>
      </c>
      <c r="K1148" s="8" t="str">
        <f>TRIM(Dataset!K1148)</f>
        <v>5</v>
      </c>
      <c r="L1148" s="6" t="str">
        <f>Dataset!L1148</f>
        <v>SAVE10</v>
      </c>
      <c r="M1148" s="6" t="str">
        <f>TRIM(Dataset!M1148)</f>
        <v>Instagram</v>
      </c>
      <c r="N1148" s="10">
        <f>VALUE(TRIM(Dataset!N1148))</f>
        <v>2107.1999999999998</v>
      </c>
    </row>
    <row r="1149" spans="1:14" x14ac:dyDescent="0.35">
      <c r="A1149" s="6" t="str">
        <f>TRIM(Dataset!A1149)</f>
        <v>ORD201147</v>
      </c>
      <c r="B1149" s="4">
        <f>Dataset!B1149</f>
        <v>45659</v>
      </c>
      <c r="C1149" s="6" t="str">
        <f>TRIM(Dataset!C1149)</f>
        <v>C19759</v>
      </c>
      <c r="D1149" s="6" t="str">
        <f>TRIM(Dataset!D1149)</f>
        <v>Chair</v>
      </c>
      <c r="E1149" s="13">
        <f>VALUE(TRIM(Dataset!E1149))</f>
        <v>2</v>
      </c>
      <c r="F1149" s="10">
        <f>VALUE(TRIM(Dataset!F1149))</f>
        <v>588.29999999999995</v>
      </c>
      <c r="G1149" s="6" t="str">
        <f>TRIM(Dataset!G1149)</f>
        <v>234 Main St</v>
      </c>
      <c r="H1149" s="6" t="str">
        <f>TRIM(Dataset!H1149)</f>
        <v>Online</v>
      </c>
      <c r="I1149" s="6" t="str">
        <f>TRIM(Dataset!I1149)</f>
        <v>Pending</v>
      </c>
      <c r="J1149" s="6" t="str">
        <f>TRIM(Dataset!J1149)</f>
        <v>TRK22515454</v>
      </c>
      <c r="K1149" s="8" t="str">
        <f>TRIM(Dataset!K1149)</f>
        <v>2</v>
      </c>
      <c r="L1149" s="6" t="str">
        <f>Dataset!L1149</f>
        <v>FREESHIP</v>
      </c>
      <c r="M1149" s="6" t="str">
        <f>TRIM(Dataset!M1149)</f>
        <v>Email</v>
      </c>
      <c r="N1149" s="10">
        <f>VALUE(TRIM(Dataset!N1149))</f>
        <v>1176.5999999999999</v>
      </c>
    </row>
    <row r="1150" spans="1:14" x14ac:dyDescent="0.35">
      <c r="A1150" s="6" t="str">
        <f>TRIM(Dataset!A1150)</f>
        <v>ORD201148</v>
      </c>
      <c r="B1150" s="4">
        <f>Dataset!B1150</f>
        <v>45468</v>
      </c>
      <c r="C1150" s="6" t="str">
        <f>TRIM(Dataset!C1150)</f>
        <v>C54886</v>
      </c>
      <c r="D1150" s="6" t="str">
        <f>TRIM(Dataset!D1150)</f>
        <v>Phone</v>
      </c>
      <c r="E1150" s="13">
        <f>VALUE(TRIM(Dataset!E1150))</f>
        <v>1</v>
      </c>
      <c r="F1150" s="10">
        <f>VALUE(TRIM(Dataset!F1150))</f>
        <v>355.15</v>
      </c>
      <c r="G1150" s="6" t="str">
        <f>TRIM(Dataset!G1150)</f>
        <v>442 Main St</v>
      </c>
      <c r="H1150" s="6" t="str">
        <f>TRIM(Dataset!H1150)</f>
        <v>Cash</v>
      </c>
      <c r="I1150" s="6" t="str">
        <f>TRIM(Dataset!I1150)</f>
        <v>Returned</v>
      </c>
      <c r="J1150" s="6" t="str">
        <f>TRIM(Dataset!J1150)</f>
        <v>TRK66241930</v>
      </c>
      <c r="K1150" s="8" t="str">
        <f>TRIM(Dataset!K1150)</f>
        <v>2</v>
      </c>
      <c r="L1150" s="6" t="str">
        <f>Dataset!L1150</f>
        <v>SAVE10</v>
      </c>
      <c r="M1150" s="6" t="str">
        <f>TRIM(Dataset!M1150)</f>
        <v>Email</v>
      </c>
      <c r="N1150" s="10">
        <f>VALUE(TRIM(Dataset!N1150))</f>
        <v>355.15</v>
      </c>
    </row>
    <row r="1151" spans="1:14" x14ac:dyDescent="0.35">
      <c r="A1151" s="6" t="str">
        <f>TRIM(Dataset!A1151)</f>
        <v>ORD201149</v>
      </c>
      <c r="B1151" s="4">
        <f>Dataset!B1151</f>
        <v>45498</v>
      </c>
      <c r="C1151" s="6" t="str">
        <f>TRIM(Dataset!C1151)</f>
        <v>C27305</v>
      </c>
      <c r="D1151" s="6" t="str">
        <f>TRIM(Dataset!D1151)</f>
        <v>Chair</v>
      </c>
      <c r="E1151" s="13">
        <f>VALUE(TRIM(Dataset!E1151))</f>
        <v>2</v>
      </c>
      <c r="F1151" s="10">
        <f>VALUE(TRIM(Dataset!F1151))</f>
        <v>695.29</v>
      </c>
      <c r="G1151" s="6" t="str">
        <f>TRIM(Dataset!G1151)</f>
        <v>957 Main St</v>
      </c>
      <c r="H1151" s="6" t="str">
        <f>TRIM(Dataset!H1151)</f>
        <v>Credit Card</v>
      </c>
      <c r="I1151" s="6" t="str">
        <f>TRIM(Dataset!I1151)</f>
        <v>Pending</v>
      </c>
      <c r="J1151" s="6" t="str">
        <f>TRIM(Dataset!J1151)</f>
        <v>TRK28789916</v>
      </c>
      <c r="K1151" s="8" t="str">
        <f>TRIM(Dataset!K1151)</f>
        <v>6</v>
      </c>
      <c r="L1151" s="6" t="str">
        <f>Dataset!L1151</f>
        <v>FREESHIP</v>
      </c>
      <c r="M1151" s="6" t="str">
        <f>TRIM(Dataset!M1151)</f>
        <v>Instagram</v>
      </c>
      <c r="N1151" s="10">
        <f>VALUE(TRIM(Dataset!N1151))</f>
        <v>1390.58</v>
      </c>
    </row>
    <row r="1152" spans="1:14" x14ac:dyDescent="0.35">
      <c r="A1152" s="6" t="str">
        <f>TRIM(Dataset!A1152)</f>
        <v>ORD201150</v>
      </c>
      <c r="B1152" s="4">
        <f>Dataset!B1152</f>
        <v>44977</v>
      </c>
      <c r="C1152" s="6" t="str">
        <f>TRIM(Dataset!C1152)</f>
        <v>C17921</v>
      </c>
      <c r="D1152" s="6" t="str">
        <f>TRIM(Dataset!D1152)</f>
        <v>Desk</v>
      </c>
      <c r="E1152" s="13">
        <f>VALUE(TRIM(Dataset!E1152))</f>
        <v>4</v>
      </c>
      <c r="F1152" s="10">
        <f>VALUE(TRIM(Dataset!F1152))</f>
        <v>302.64999999999998</v>
      </c>
      <c r="G1152" s="6" t="str">
        <f>TRIM(Dataset!G1152)</f>
        <v>119 Main St</v>
      </c>
      <c r="H1152" s="6" t="str">
        <f>TRIM(Dataset!H1152)</f>
        <v>Credit Card</v>
      </c>
      <c r="I1152" s="6" t="str">
        <f>TRIM(Dataset!I1152)</f>
        <v>Cancelled</v>
      </c>
      <c r="J1152" s="6" t="str">
        <f>TRIM(Dataset!J1152)</f>
        <v>TRK79291524</v>
      </c>
      <c r="K1152" s="8" t="str">
        <f>TRIM(Dataset!K1152)</f>
        <v>8</v>
      </c>
      <c r="L1152" s="6" t="str">
        <f>Dataset!L1152</f>
        <v>SAVE10</v>
      </c>
      <c r="M1152" s="6" t="str">
        <f>TRIM(Dataset!M1152)</f>
        <v>Referral</v>
      </c>
      <c r="N1152" s="10">
        <f>VALUE(TRIM(Dataset!N1152))</f>
        <v>1210.5999999999999</v>
      </c>
    </row>
    <row r="1153" spans="1:14" x14ac:dyDescent="0.35">
      <c r="A1153" s="6" t="str">
        <f>TRIM(Dataset!A1153)</f>
        <v>ORD201151</v>
      </c>
      <c r="B1153" s="4">
        <f>Dataset!B1153</f>
        <v>44955</v>
      </c>
      <c r="C1153" s="6" t="str">
        <f>TRIM(Dataset!C1153)</f>
        <v>C94381</v>
      </c>
      <c r="D1153" s="6" t="str">
        <f>TRIM(Dataset!D1153)</f>
        <v>Chair</v>
      </c>
      <c r="E1153" s="13">
        <f>VALUE(TRIM(Dataset!E1153))</f>
        <v>2</v>
      </c>
      <c r="F1153" s="10">
        <f>VALUE(TRIM(Dataset!F1153))</f>
        <v>608.04</v>
      </c>
      <c r="G1153" s="6" t="str">
        <f>TRIM(Dataset!G1153)</f>
        <v>962 Main St</v>
      </c>
      <c r="H1153" s="6" t="str">
        <f>TRIM(Dataset!H1153)</f>
        <v>Cash</v>
      </c>
      <c r="I1153" s="6" t="str">
        <f>TRIM(Dataset!I1153)</f>
        <v>Cancelled</v>
      </c>
      <c r="J1153" s="6" t="str">
        <f>TRIM(Dataset!J1153)</f>
        <v>TRK69804304</v>
      </c>
      <c r="K1153" s="8" t="str">
        <f>TRIM(Dataset!K1153)</f>
        <v>4</v>
      </c>
      <c r="L1153" s="6" t="s">
        <v>4284</v>
      </c>
      <c r="M1153" s="6" t="str">
        <f>TRIM(Dataset!M1153)</f>
        <v>Google</v>
      </c>
      <c r="N1153" s="10">
        <f>VALUE(TRIM(Dataset!N1153))</f>
        <v>1216.08</v>
      </c>
    </row>
    <row r="1154" spans="1:14" x14ac:dyDescent="0.35">
      <c r="A1154" s="6" t="str">
        <f>TRIM(Dataset!A1154)</f>
        <v>ORD201152</v>
      </c>
      <c r="B1154" s="4">
        <f>Dataset!B1154</f>
        <v>45239</v>
      </c>
      <c r="C1154" s="6" t="str">
        <f>TRIM(Dataset!C1154)</f>
        <v>C25162</v>
      </c>
      <c r="D1154" s="6" t="str">
        <f>TRIM(Dataset!D1154)</f>
        <v>Tablet</v>
      </c>
      <c r="E1154" s="13">
        <f>VALUE(TRIM(Dataset!E1154))</f>
        <v>2</v>
      </c>
      <c r="F1154" s="10">
        <f>VALUE(TRIM(Dataset!F1154))</f>
        <v>344.18</v>
      </c>
      <c r="G1154" s="6" t="str">
        <f>TRIM(Dataset!G1154)</f>
        <v>533 Main St</v>
      </c>
      <c r="H1154" s="6" t="str">
        <f>TRIM(Dataset!H1154)</f>
        <v>Credit Card</v>
      </c>
      <c r="I1154" s="6" t="str">
        <f>TRIM(Dataset!I1154)</f>
        <v>Shipped</v>
      </c>
      <c r="J1154" s="6" t="str">
        <f>TRIM(Dataset!J1154)</f>
        <v>TRK42183078</v>
      </c>
      <c r="K1154" s="8" t="str">
        <f>TRIM(Dataset!K1154)</f>
        <v>7</v>
      </c>
      <c r="L1154" s="6" t="s">
        <v>4284</v>
      </c>
      <c r="M1154" s="6" t="str">
        <f>TRIM(Dataset!M1154)</f>
        <v>Referral</v>
      </c>
      <c r="N1154" s="10">
        <f>VALUE(TRIM(Dataset!N1154))</f>
        <v>688.36</v>
      </c>
    </row>
    <row r="1155" spans="1:14" x14ac:dyDescent="0.35">
      <c r="A1155" s="6" t="str">
        <f>TRIM(Dataset!A1155)</f>
        <v>ORD201153</v>
      </c>
      <c r="B1155" s="4">
        <f>Dataset!B1155</f>
        <v>45642</v>
      </c>
      <c r="C1155" s="6" t="str">
        <f>TRIM(Dataset!C1155)</f>
        <v>C98317</v>
      </c>
      <c r="D1155" s="6" t="str">
        <f>TRIM(Dataset!D1155)</f>
        <v>Monitor</v>
      </c>
      <c r="E1155" s="13">
        <f>VALUE(TRIM(Dataset!E1155))</f>
        <v>4</v>
      </c>
      <c r="F1155" s="10">
        <f>VALUE(TRIM(Dataset!F1155))</f>
        <v>696.71</v>
      </c>
      <c r="G1155" s="6" t="str">
        <f>TRIM(Dataset!G1155)</f>
        <v>276 Main St</v>
      </c>
      <c r="H1155" s="6" t="str">
        <f>TRIM(Dataset!H1155)</f>
        <v>Debit Card</v>
      </c>
      <c r="I1155" s="6" t="str">
        <f>TRIM(Dataset!I1155)</f>
        <v>Shipped</v>
      </c>
      <c r="J1155" s="6" t="str">
        <f>TRIM(Dataset!J1155)</f>
        <v>TRK37172138</v>
      </c>
      <c r="K1155" s="8" t="str">
        <f>TRIM(Dataset!K1155)</f>
        <v>4</v>
      </c>
      <c r="L1155" s="6" t="s">
        <v>4284</v>
      </c>
      <c r="M1155" s="6" t="str">
        <f>TRIM(Dataset!M1155)</f>
        <v>Instagram</v>
      </c>
      <c r="N1155" s="10">
        <f>VALUE(TRIM(Dataset!N1155))</f>
        <v>2786.84</v>
      </c>
    </row>
    <row r="1156" spans="1:14" x14ac:dyDescent="0.35">
      <c r="A1156" s="6" t="str">
        <f>TRIM(Dataset!A1156)</f>
        <v>ORD201154</v>
      </c>
      <c r="B1156" s="4">
        <f>Dataset!B1156</f>
        <v>45819</v>
      </c>
      <c r="C1156" s="6" t="str">
        <f>TRIM(Dataset!C1156)</f>
        <v>C53631</v>
      </c>
      <c r="D1156" s="6" t="str">
        <f>TRIM(Dataset!D1156)</f>
        <v>Monitor</v>
      </c>
      <c r="E1156" s="13">
        <f>VALUE(TRIM(Dataset!E1156))</f>
        <v>3</v>
      </c>
      <c r="F1156" s="10">
        <f>VALUE(TRIM(Dataset!F1156))</f>
        <v>198.63</v>
      </c>
      <c r="G1156" s="6" t="str">
        <f>TRIM(Dataset!G1156)</f>
        <v>593 Main St</v>
      </c>
      <c r="H1156" s="6" t="str">
        <f>TRIM(Dataset!H1156)</f>
        <v>Cash</v>
      </c>
      <c r="I1156" s="6" t="str">
        <f>TRIM(Dataset!I1156)</f>
        <v>Pending</v>
      </c>
      <c r="J1156" s="6" t="str">
        <f>TRIM(Dataset!J1156)</f>
        <v>TRK67589167</v>
      </c>
      <c r="K1156" s="8" t="str">
        <f>TRIM(Dataset!K1156)</f>
        <v>8</v>
      </c>
      <c r="L1156" s="6" t="str">
        <f>Dataset!L1156</f>
        <v>SAVE10</v>
      </c>
      <c r="M1156" s="6" t="str">
        <f>TRIM(Dataset!M1156)</f>
        <v>Instagram</v>
      </c>
      <c r="N1156" s="10">
        <f>VALUE(TRIM(Dataset!N1156))</f>
        <v>595.89</v>
      </c>
    </row>
    <row r="1157" spans="1:14" x14ac:dyDescent="0.35">
      <c r="A1157" s="6" t="str">
        <f>TRIM(Dataset!A1157)</f>
        <v>ORD201155</v>
      </c>
      <c r="B1157" s="4">
        <f>Dataset!B1157</f>
        <v>45151</v>
      </c>
      <c r="C1157" s="6" t="str">
        <f>TRIM(Dataset!C1157)</f>
        <v>C41478</v>
      </c>
      <c r="D1157" s="6" t="str">
        <f>TRIM(Dataset!D1157)</f>
        <v>Printer</v>
      </c>
      <c r="E1157" s="13">
        <f>VALUE(TRIM(Dataset!E1157))</f>
        <v>4</v>
      </c>
      <c r="F1157" s="10">
        <f>VALUE(TRIM(Dataset!F1157))</f>
        <v>534.57000000000005</v>
      </c>
      <c r="G1157" s="6" t="str">
        <f>TRIM(Dataset!G1157)</f>
        <v>667 Main St</v>
      </c>
      <c r="H1157" s="6" t="str">
        <f>TRIM(Dataset!H1157)</f>
        <v>Credit Card</v>
      </c>
      <c r="I1157" s="6" t="str">
        <f>TRIM(Dataset!I1157)</f>
        <v>Delivered</v>
      </c>
      <c r="J1157" s="6" t="str">
        <f>TRIM(Dataset!J1157)</f>
        <v>TRK62068126</v>
      </c>
      <c r="K1157" s="8" t="str">
        <f>TRIM(Dataset!K1157)</f>
        <v>6</v>
      </c>
      <c r="L1157" s="6" t="str">
        <f>Dataset!L1157</f>
        <v>FREESHIP</v>
      </c>
      <c r="M1157" s="6" t="str">
        <f>TRIM(Dataset!M1157)</f>
        <v>Facebook</v>
      </c>
      <c r="N1157" s="10">
        <f>VALUE(TRIM(Dataset!N1157))</f>
        <v>2138.2800000000002</v>
      </c>
    </row>
    <row r="1158" spans="1:14" x14ac:dyDescent="0.35">
      <c r="A1158" s="6" t="str">
        <f>TRIM(Dataset!A1158)</f>
        <v>ORD201156</v>
      </c>
      <c r="B1158" s="4">
        <f>Dataset!B1158</f>
        <v>45126</v>
      </c>
      <c r="C1158" s="6" t="str">
        <f>TRIM(Dataset!C1158)</f>
        <v>C20512</v>
      </c>
      <c r="D1158" s="6" t="str">
        <f>TRIM(Dataset!D1158)</f>
        <v>Laptop</v>
      </c>
      <c r="E1158" s="13">
        <f>VALUE(TRIM(Dataset!E1158))</f>
        <v>4</v>
      </c>
      <c r="F1158" s="10">
        <f>VALUE(TRIM(Dataset!F1158))</f>
        <v>690.78</v>
      </c>
      <c r="G1158" s="6" t="str">
        <f>TRIM(Dataset!G1158)</f>
        <v>980 Main St</v>
      </c>
      <c r="H1158" s="6" t="str">
        <f>TRIM(Dataset!H1158)</f>
        <v>Credit Card</v>
      </c>
      <c r="I1158" s="6" t="str">
        <f>TRIM(Dataset!I1158)</f>
        <v>Shipped</v>
      </c>
      <c r="J1158" s="6" t="str">
        <f>TRIM(Dataset!J1158)</f>
        <v>TRK98234737</v>
      </c>
      <c r="K1158" s="8" t="str">
        <f>TRIM(Dataset!K1158)</f>
        <v>9</v>
      </c>
      <c r="L1158" s="6" t="s">
        <v>4284</v>
      </c>
      <c r="M1158" s="6" t="str">
        <f>TRIM(Dataset!M1158)</f>
        <v>Referral</v>
      </c>
      <c r="N1158" s="10">
        <f>VALUE(TRIM(Dataset!N1158))</f>
        <v>2763.12</v>
      </c>
    </row>
    <row r="1159" spans="1:14" x14ac:dyDescent="0.35">
      <c r="A1159" s="6" t="str">
        <f>TRIM(Dataset!A1159)</f>
        <v>ORD201157</v>
      </c>
      <c r="B1159" s="4">
        <f>Dataset!B1159</f>
        <v>45441</v>
      </c>
      <c r="C1159" s="6" t="str">
        <f>TRIM(Dataset!C1159)</f>
        <v>C25841</v>
      </c>
      <c r="D1159" s="6" t="str">
        <f>TRIM(Dataset!D1159)</f>
        <v>Monitor</v>
      </c>
      <c r="E1159" s="13">
        <f>VALUE(TRIM(Dataset!E1159))</f>
        <v>3</v>
      </c>
      <c r="F1159" s="10">
        <f>VALUE(TRIM(Dataset!F1159))</f>
        <v>301.55</v>
      </c>
      <c r="G1159" s="6" t="str">
        <f>TRIM(Dataset!G1159)</f>
        <v>242 Main St</v>
      </c>
      <c r="H1159" s="6" t="str">
        <f>TRIM(Dataset!H1159)</f>
        <v>Debit Card</v>
      </c>
      <c r="I1159" s="6" t="str">
        <f>TRIM(Dataset!I1159)</f>
        <v>Delivered</v>
      </c>
      <c r="J1159" s="6" t="str">
        <f>TRIM(Dataset!J1159)</f>
        <v>TRK21451375</v>
      </c>
      <c r="K1159" s="8" t="str">
        <f>TRIM(Dataset!K1159)</f>
        <v>5</v>
      </c>
      <c r="L1159" s="6" t="str">
        <f>Dataset!L1159</f>
        <v>FREESHIP</v>
      </c>
      <c r="M1159" s="6" t="str">
        <f>TRIM(Dataset!M1159)</f>
        <v>Google</v>
      </c>
      <c r="N1159" s="10">
        <f>VALUE(TRIM(Dataset!N1159))</f>
        <v>904.65</v>
      </c>
    </row>
    <row r="1160" spans="1:14" x14ac:dyDescent="0.35">
      <c r="A1160" s="6" t="str">
        <f>TRIM(Dataset!A1160)</f>
        <v>ORD201158</v>
      </c>
      <c r="B1160" s="4">
        <f>Dataset!B1160</f>
        <v>45036</v>
      </c>
      <c r="C1160" s="6" t="str">
        <f>TRIM(Dataset!C1160)</f>
        <v>C82781</v>
      </c>
      <c r="D1160" s="6" t="str">
        <f>TRIM(Dataset!D1160)</f>
        <v>Monitor</v>
      </c>
      <c r="E1160" s="13">
        <f>VALUE(TRIM(Dataset!E1160))</f>
        <v>4</v>
      </c>
      <c r="F1160" s="10">
        <f>VALUE(TRIM(Dataset!F1160))</f>
        <v>27.42</v>
      </c>
      <c r="G1160" s="6" t="str">
        <f>TRIM(Dataset!G1160)</f>
        <v>661 Main St</v>
      </c>
      <c r="H1160" s="6" t="str">
        <f>TRIM(Dataset!H1160)</f>
        <v>Debit Card</v>
      </c>
      <c r="I1160" s="6" t="str">
        <f>TRIM(Dataset!I1160)</f>
        <v>Pending</v>
      </c>
      <c r="J1160" s="6" t="str">
        <f>TRIM(Dataset!J1160)</f>
        <v>TRK20605418</v>
      </c>
      <c r="K1160" s="8" t="str">
        <f>TRIM(Dataset!K1160)</f>
        <v>4</v>
      </c>
      <c r="L1160" s="6" t="str">
        <f>Dataset!L1160</f>
        <v>SAVE10</v>
      </c>
      <c r="M1160" s="6" t="str">
        <f>TRIM(Dataset!M1160)</f>
        <v>Referral</v>
      </c>
      <c r="N1160" s="10">
        <f>VALUE(TRIM(Dataset!N1160))</f>
        <v>109.68</v>
      </c>
    </row>
    <row r="1161" spans="1:14" x14ac:dyDescent="0.35">
      <c r="A1161" s="6" t="str">
        <f>TRIM(Dataset!A1161)</f>
        <v>ORD201159</v>
      </c>
      <c r="B1161" s="4">
        <f>Dataset!B1161</f>
        <v>45345</v>
      </c>
      <c r="C1161" s="6" t="str">
        <f>TRIM(Dataset!C1161)</f>
        <v>C66112</v>
      </c>
      <c r="D1161" s="6" t="str">
        <f>TRIM(Dataset!D1161)</f>
        <v>Desk</v>
      </c>
      <c r="E1161" s="13">
        <f>VALUE(TRIM(Dataset!E1161))</f>
        <v>4</v>
      </c>
      <c r="F1161" s="10">
        <f>VALUE(TRIM(Dataset!F1161))</f>
        <v>466.7</v>
      </c>
      <c r="G1161" s="6" t="str">
        <f>TRIM(Dataset!G1161)</f>
        <v>874 Main St</v>
      </c>
      <c r="H1161" s="6" t="str">
        <f>TRIM(Dataset!H1161)</f>
        <v>Debit Card</v>
      </c>
      <c r="I1161" s="6" t="str">
        <f>TRIM(Dataset!I1161)</f>
        <v>Returned</v>
      </c>
      <c r="J1161" s="6" t="str">
        <f>TRIM(Dataset!J1161)</f>
        <v>TRK60955607</v>
      </c>
      <c r="K1161" s="8" t="str">
        <f>TRIM(Dataset!K1161)</f>
        <v>8</v>
      </c>
      <c r="L1161" s="6" t="s">
        <v>4284</v>
      </c>
      <c r="M1161" s="6" t="str">
        <f>TRIM(Dataset!M1161)</f>
        <v>Instagram</v>
      </c>
      <c r="N1161" s="10">
        <f>VALUE(TRIM(Dataset!N1161))</f>
        <v>1866.8</v>
      </c>
    </row>
    <row r="1162" spans="1:14" x14ac:dyDescent="0.35">
      <c r="A1162" s="6" t="str">
        <f>TRIM(Dataset!A1162)</f>
        <v>ORD201160</v>
      </c>
      <c r="B1162" s="4">
        <f>Dataset!B1162</f>
        <v>45539</v>
      </c>
      <c r="C1162" s="6" t="str">
        <f>TRIM(Dataset!C1162)</f>
        <v>C40466</v>
      </c>
      <c r="D1162" s="6" t="str">
        <f>TRIM(Dataset!D1162)</f>
        <v>Desk</v>
      </c>
      <c r="E1162" s="13">
        <f>VALUE(TRIM(Dataset!E1162))</f>
        <v>1</v>
      </c>
      <c r="F1162" s="10">
        <f>VALUE(TRIM(Dataset!F1162))</f>
        <v>541.64</v>
      </c>
      <c r="G1162" s="6" t="str">
        <f>TRIM(Dataset!G1162)</f>
        <v>449 Main St</v>
      </c>
      <c r="H1162" s="6" t="str">
        <f>TRIM(Dataset!H1162)</f>
        <v>Debit Card</v>
      </c>
      <c r="I1162" s="6" t="str">
        <f>TRIM(Dataset!I1162)</f>
        <v>Shipped</v>
      </c>
      <c r="J1162" s="6" t="str">
        <f>TRIM(Dataset!J1162)</f>
        <v>TRK70255168</v>
      </c>
      <c r="K1162" s="8" t="str">
        <f>TRIM(Dataset!K1162)</f>
        <v>5</v>
      </c>
      <c r="L1162" s="6" t="str">
        <f>Dataset!L1162</f>
        <v>SAVE10</v>
      </c>
      <c r="M1162" s="6" t="str">
        <f>TRIM(Dataset!M1162)</f>
        <v>Email</v>
      </c>
      <c r="N1162" s="10">
        <f>VALUE(TRIM(Dataset!N1162))</f>
        <v>541.64</v>
      </c>
    </row>
    <row r="1163" spans="1:14" x14ac:dyDescent="0.35">
      <c r="A1163" s="6" t="str">
        <f>TRIM(Dataset!A1163)</f>
        <v>ORD201161</v>
      </c>
      <c r="B1163" s="4">
        <f>Dataset!B1163</f>
        <v>45215</v>
      </c>
      <c r="C1163" s="6" t="str">
        <f>TRIM(Dataset!C1163)</f>
        <v>C32570</v>
      </c>
      <c r="D1163" s="6" t="str">
        <f>TRIM(Dataset!D1163)</f>
        <v>Phone</v>
      </c>
      <c r="E1163" s="13">
        <f>VALUE(TRIM(Dataset!E1163))</f>
        <v>1</v>
      </c>
      <c r="F1163" s="10">
        <f>VALUE(TRIM(Dataset!F1163))</f>
        <v>11.39</v>
      </c>
      <c r="G1163" s="6" t="str">
        <f>TRIM(Dataset!G1163)</f>
        <v>826 Main St</v>
      </c>
      <c r="H1163" s="6" t="str">
        <f>TRIM(Dataset!H1163)</f>
        <v>Cash</v>
      </c>
      <c r="I1163" s="6" t="str">
        <f>TRIM(Dataset!I1163)</f>
        <v>Cancelled</v>
      </c>
      <c r="J1163" s="6" t="str">
        <f>TRIM(Dataset!J1163)</f>
        <v>TRK35969968</v>
      </c>
      <c r="K1163" s="8" t="str">
        <f>TRIM(Dataset!K1163)</f>
        <v>6</v>
      </c>
      <c r="L1163" s="6" t="str">
        <f>Dataset!L1163</f>
        <v>WINTER15</v>
      </c>
      <c r="M1163" s="6" t="str">
        <f>TRIM(Dataset!M1163)</f>
        <v>Email</v>
      </c>
      <c r="N1163" s="10">
        <f>VALUE(TRIM(Dataset!N1163))</f>
        <v>11.39</v>
      </c>
    </row>
    <row r="1164" spans="1:14" x14ac:dyDescent="0.35">
      <c r="A1164" s="6" t="str">
        <f>TRIM(Dataset!A1164)</f>
        <v>ORD201162</v>
      </c>
      <c r="B1164" s="4">
        <f>Dataset!B1164</f>
        <v>45727</v>
      </c>
      <c r="C1164" s="6" t="str">
        <f>TRIM(Dataset!C1164)</f>
        <v>C29405</v>
      </c>
      <c r="D1164" s="6" t="str">
        <f>TRIM(Dataset!D1164)</f>
        <v>Phone</v>
      </c>
      <c r="E1164" s="13">
        <f>VALUE(TRIM(Dataset!E1164))</f>
        <v>2</v>
      </c>
      <c r="F1164" s="10">
        <f>VALUE(TRIM(Dataset!F1164))</f>
        <v>224.37</v>
      </c>
      <c r="G1164" s="6" t="str">
        <f>TRIM(Dataset!G1164)</f>
        <v>251 Main St</v>
      </c>
      <c r="H1164" s="6" t="str">
        <f>TRIM(Dataset!H1164)</f>
        <v>Debit Card</v>
      </c>
      <c r="I1164" s="6" t="str">
        <f>TRIM(Dataset!I1164)</f>
        <v>Delivered</v>
      </c>
      <c r="J1164" s="6" t="str">
        <f>TRIM(Dataset!J1164)</f>
        <v>TRK33125798</v>
      </c>
      <c r="K1164" s="8" t="str">
        <f>TRIM(Dataset!K1164)</f>
        <v>3</v>
      </c>
      <c r="L1164" s="6" t="str">
        <f>Dataset!L1164</f>
        <v>WINTER15</v>
      </c>
      <c r="M1164" s="6" t="str">
        <f>TRIM(Dataset!M1164)</f>
        <v>Referral</v>
      </c>
      <c r="N1164" s="10">
        <f>VALUE(TRIM(Dataset!N1164))</f>
        <v>448.74</v>
      </c>
    </row>
    <row r="1165" spans="1:14" x14ac:dyDescent="0.35">
      <c r="A1165" s="6" t="str">
        <f>TRIM(Dataset!A1165)</f>
        <v>ORD201163</v>
      </c>
      <c r="B1165" s="4">
        <f>Dataset!B1165</f>
        <v>45454</v>
      </c>
      <c r="C1165" s="6" t="str">
        <f>TRIM(Dataset!C1165)</f>
        <v>C30643</v>
      </c>
      <c r="D1165" s="6" t="str">
        <f>TRIM(Dataset!D1165)</f>
        <v>Laptop</v>
      </c>
      <c r="E1165" s="13">
        <f>VALUE(TRIM(Dataset!E1165))</f>
        <v>3</v>
      </c>
      <c r="F1165" s="10">
        <f>VALUE(TRIM(Dataset!F1165))</f>
        <v>306.29000000000002</v>
      </c>
      <c r="G1165" s="6" t="str">
        <f>TRIM(Dataset!G1165)</f>
        <v>966 Main St</v>
      </c>
      <c r="H1165" s="6" t="str">
        <f>TRIM(Dataset!H1165)</f>
        <v>Credit Card</v>
      </c>
      <c r="I1165" s="6" t="str">
        <f>TRIM(Dataset!I1165)</f>
        <v>Returned</v>
      </c>
      <c r="J1165" s="6" t="str">
        <f>TRIM(Dataset!J1165)</f>
        <v>TRK19477485</v>
      </c>
      <c r="K1165" s="8" t="str">
        <f>TRIM(Dataset!K1165)</f>
        <v>7</v>
      </c>
      <c r="L1165" s="6" t="str">
        <f>Dataset!L1165</f>
        <v>WINTER15</v>
      </c>
      <c r="M1165" s="6" t="str">
        <f>TRIM(Dataset!M1165)</f>
        <v>Instagram</v>
      </c>
      <c r="N1165" s="10">
        <f>VALUE(TRIM(Dataset!N1165))</f>
        <v>918.87</v>
      </c>
    </row>
    <row r="1166" spans="1:14" x14ac:dyDescent="0.35">
      <c r="A1166" s="6" t="str">
        <f>TRIM(Dataset!A1166)</f>
        <v>ORD201164</v>
      </c>
      <c r="B1166" s="4">
        <f>Dataset!B1166</f>
        <v>45299</v>
      </c>
      <c r="C1166" s="6" t="str">
        <f>TRIM(Dataset!C1166)</f>
        <v>C65890</v>
      </c>
      <c r="D1166" s="6" t="str">
        <f>TRIM(Dataset!D1166)</f>
        <v>Tablet</v>
      </c>
      <c r="E1166" s="13">
        <f>VALUE(TRIM(Dataset!E1166))</f>
        <v>5</v>
      </c>
      <c r="F1166" s="10">
        <f>VALUE(TRIM(Dataset!F1166))</f>
        <v>315.57</v>
      </c>
      <c r="G1166" s="6" t="str">
        <f>TRIM(Dataset!G1166)</f>
        <v>340 Main St</v>
      </c>
      <c r="H1166" s="6" t="str">
        <f>TRIM(Dataset!H1166)</f>
        <v>Debit Card</v>
      </c>
      <c r="I1166" s="6" t="str">
        <f>TRIM(Dataset!I1166)</f>
        <v>Delivered</v>
      </c>
      <c r="J1166" s="6" t="str">
        <f>TRIM(Dataset!J1166)</f>
        <v>TRK64530489</v>
      </c>
      <c r="K1166" s="8" t="str">
        <f>TRIM(Dataset!K1166)</f>
        <v>6</v>
      </c>
      <c r="L1166" s="6" t="str">
        <f>Dataset!L1166</f>
        <v>WINTER15</v>
      </c>
      <c r="M1166" s="6" t="str">
        <f>TRIM(Dataset!M1166)</f>
        <v>Email</v>
      </c>
      <c r="N1166" s="10">
        <f>VALUE(TRIM(Dataset!N1166))</f>
        <v>1577.85</v>
      </c>
    </row>
    <row r="1167" spans="1:14" x14ac:dyDescent="0.35">
      <c r="A1167" s="6" t="str">
        <f>TRIM(Dataset!A1167)</f>
        <v>ORD201165</v>
      </c>
      <c r="B1167" s="4">
        <f>Dataset!B1167</f>
        <v>45121</v>
      </c>
      <c r="C1167" s="6" t="str">
        <f>TRIM(Dataset!C1167)</f>
        <v>C36992</v>
      </c>
      <c r="D1167" s="6" t="str">
        <f>TRIM(Dataset!D1167)</f>
        <v>Chair</v>
      </c>
      <c r="E1167" s="13">
        <f>VALUE(TRIM(Dataset!E1167))</f>
        <v>3</v>
      </c>
      <c r="F1167" s="10">
        <f>VALUE(TRIM(Dataset!F1167))</f>
        <v>223.79</v>
      </c>
      <c r="G1167" s="6" t="str">
        <f>TRIM(Dataset!G1167)</f>
        <v>617 Main St</v>
      </c>
      <c r="H1167" s="6" t="str">
        <f>TRIM(Dataset!H1167)</f>
        <v>Debit Card</v>
      </c>
      <c r="I1167" s="6" t="str">
        <f>TRIM(Dataset!I1167)</f>
        <v>Pending</v>
      </c>
      <c r="J1167" s="6" t="str">
        <f>TRIM(Dataset!J1167)</f>
        <v>TRK63460217</v>
      </c>
      <c r="K1167" s="8" t="str">
        <f>TRIM(Dataset!K1167)</f>
        <v>3</v>
      </c>
      <c r="L1167" s="6" t="s">
        <v>4284</v>
      </c>
      <c r="M1167" s="6" t="str">
        <f>TRIM(Dataset!M1167)</f>
        <v>Google</v>
      </c>
      <c r="N1167" s="10">
        <f>VALUE(TRIM(Dataset!N1167))</f>
        <v>671.37</v>
      </c>
    </row>
    <row r="1168" spans="1:14" x14ac:dyDescent="0.35">
      <c r="A1168" s="6" t="str">
        <f>TRIM(Dataset!A1168)</f>
        <v>ORD201166</v>
      </c>
      <c r="B1168" s="4">
        <f>Dataset!B1168</f>
        <v>45138</v>
      </c>
      <c r="C1168" s="6" t="str">
        <f>TRIM(Dataset!C1168)</f>
        <v>C95568</v>
      </c>
      <c r="D1168" s="6" t="str">
        <f>TRIM(Dataset!D1168)</f>
        <v>Chair</v>
      </c>
      <c r="E1168" s="13">
        <f>VALUE(TRIM(Dataset!E1168))</f>
        <v>3</v>
      </c>
      <c r="F1168" s="10">
        <f>VALUE(TRIM(Dataset!F1168))</f>
        <v>324.47000000000003</v>
      </c>
      <c r="G1168" s="6" t="str">
        <f>TRIM(Dataset!G1168)</f>
        <v>971 Main St</v>
      </c>
      <c r="H1168" s="6" t="str">
        <f>TRIM(Dataset!H1168)</f>
        <v>Cash</v>
      </c>
      <c r="I1168" s="6" t="str">
        <f>TRIM(Dataset!I1168)</f>
        <v>Delivered</v>
      </c>
      <c r="J1168" s="6" t="str">
        <f>TRIM(Dataset!J1168)</f>
        <v>TRK37075292</v>
      </c>
      <c r="K1168" s="8" t="str">
        <f>TRIM(Dataset!K1168)</f>
        <v>4</v>
      </c>
      <c r="L1168" s="6" t="str">
        <f>Dataset!L1168</f>
        <v>WINTER15</v>
      </c>
      <c r="M1168" s="6" t="str">
        <f>TRIM(Dataset!M1168)</f>
        <v>Email</v>
      </c>
      <c r="N1168" s="10">
        <f>VALUE(TRIM(Dataset!N1168))</f>
        <v>973.41</v>
      </c>
    </row>
    <row r="1169" spans="1:14" x14ac:dyDescent="0.35">
      <c r="A1169" s="6" t="str">
        <f>TRIM(Dataset!A1169)</f>
        <v>ORD201167</v>
      </c>
      <c r="B1169" s="4">
        <f>Dataset!B1169</f>
        <v>45216</v>
      </c>
      <c r="C1169" s="6" t="str">
        <f>TRIM(Dataset!C1169)</f>
        <v>C17966</v>
      </c>
      <c r="D1169" s="6" t="str">
        <f>TRIM(Dataset!D1169)</f>
        <v>Printer</v>
      </c>
      <c r="E1169" s="13">
        <f>VALUE(TRIM(Dataset!E1169))</f>
        <v>2</v>
      </c>
      <c r="F1169" s="10">
        <f>VALUE(TRIM(Dataset!F1169))</f>
        <v>92.87</v>
      </c>
      <c r="G1169" s="6" t="str">
        <f>TRIM(Dataset!G1169)</f>
        <v>360 Main St</v>
      </c>
      <c r="H1169" s="6" t="str">
        <f>TRIM(Dataset!H1169)</f>
        <v>Credit Card</v>
      </c>
      <c r="I1169" s="6" t="str">
        <f>TRIM(Dataset!I1169)</f>
        <v>Pending</v>
      </c>
      <c r="J1169" s="6" t="str">
        <f>TRIM(Dataset!J1169)</f>
        <v>TRK31169396</v>
      </c>
      <c r="K1169" s="8" t="str">
        <f>TRIM(Dataset!K1169)</f>
        <v>5</v>
      </c>
      <c r="L1169" s="6" t="str">
        <f>Dataset!L1169</f>
        <v>FREESHIP</v>
      </c>
      <c r="M1169" s="6" t="str">
        <f>TRIM(Dataset!M1169)</f>
        <v>Facebook</v>
      </c>
      <c r="N1169" s="10">
        <f>VALUE(TRIM(Dataset!N1169))</f>
        <v>185.74</v>
      </c>
    </row>
    <row r="1170" spans="1:14" x14ac:dyDescent="0.35">
      <c r="A1170" s="6" t="str">
        <f>TRIM(Dataset!A1170)</f>
        <v>ORD201168</v>
      </c>
      <c r="B1170" s="4">
        <f>Dataset!B1170</f>
        <v>45024</v>
      </c>
      <c r="C1170" s="6" t="str">
        <f>TRIM(Dataset!C1170)</f>
        <v>C89559</v>
      </c>
      <c r="D1170" s="6" t="str">
        <f>TRIM(Dataset!D1170)</f>
        <v>Laptop</v>
      </c>
      <c r="E1170" s="13">
        <f>VALUE(TRIM(Dataset!E1170))</f>
        <v>2</v>
      </c>
      <c r="F1170" s="10">
        <f>VALUE(TRIM(Dataset!F1170))</f>
        <v>331.42</v>
      </c>
      <c r="G1170" s="6" t="str">
        <f>TRIM(Dataset!G1170)</f>
        <v>297 Main St</v>
      </c>
      <c r="H1170" s="6" t="str">
        <f>TRIM(Dataset!H1170)</f>
        <v>Credit Card</v>
      </c>
      <c r="I1170" s="6" t="str">
        <f>TRIM(Dataset!I1170)</f>
        <v>Delivered</v>
      </c>
      <c r="J1170" s="6" t="str">
        <f>TRIM(Dataset!J1170)</f>
        <v>TRK82838108</v>
      </c>
      <c r="K1170" s="8" t="str">
        <f>TRIM(Dataset!K1170)</f>
        <v>6</v>
      </c>
      <c r="L1170" s="6" t="str">
        <f>Dataset!L1170</f>
        <v>WINTER15</v>
      </c>
      <c r="M1170" s="6" t="str">
        <f>TRIM(Dataset!M1170)</f>
        <v>Google</v>
      </c>
      <c r="N1170" s="10">
        <f>VALUE(TRIM(Dataset!N1170))</f>
        <v>662.84</v>
      </c>
    </row>
    <row r="1171" spans="1:14" x14ac:dyDescent="0.35">
      <c r="A1171" s="6" t="str">
        <f>TRIM(Dataset!A1171)</f>
        <v>ORD201169</v>
      </c>
      <c r="B1171" s="4">
        <f>Dataset!B1171</f>
        <v>45649</v>
      </c>
      <c r="C1171" s="6" t="str">
        <f>TRIM(Dataset!C1171)</f>
        <v>C15849</v>
      </c>
      <c r="D1171" s="6" t="str">
        <f>TRIM(Dataset!D1171)</f>
        <v>Chair</v>
      </c>
      <c r="E1171" s="13">
        <f>VALUE(TRIM(Dataset!E1171))</f>
        <v>1</v>
      </c>
      <c r="F1171" s="10">
        <f>VALUE(TRIM(Dataset!F1171))</f>
        <v>525.42999999999995</v>
      </c>
      <c r="G1171" s="6" t="str">
        <f>TRIM(Dataset!G1171)</f>
        <v>643 Main St</v>
      </c>
      <c r="H1171" s="6" t="str">
        <f>TRIM(Dataset!H1171)</f>
        <v>Cash</v>
      </c>
      <c r="I1171" s="6" t="str">
        <f>TRIM(Dataset!I1171)</f>
        <v>Cancelled</v>
      </c>
      <c r="J1171" s="6" t="str">
        <f>TRIM(Dataset!J1171)</f>
        <v>TRK26794546</v>
      </c>
      <c r="K1171" s="8" t="str">
        <f>TRIM(Dataset!K1171)</f>
        <v>2</v>
      </c>
      <c r="L1171" s="6" t="str">
        <f>Dataset!L1171</f>
        <v>SAVE10</v>
      </c>
      <c r="M1171" s="6" t="str">
        <f>TRIM(Dataset!M1171)</f>
        <v>Instagram</v>
      </c>
      <c r="N1171" s="10">
        <f>VALUE(TRIM(Dataset!N1171))</f>
        <v>525.42999999999995</v>
      </c>
    </row>
    <row r="1172" spans="1:14" x14ac:dyDescent="0.35">
      <c r="A1172" s="6" t="str">
        <f>TRIM(Dataset!A1172)</f>
        <v>ORD201170</v>
      </c>
      <c r="B1172" s="4">
        <f>Dataset!B1172</f>
        <v>45141</v>
      </c>
      <c r="C1172" s="6" t="str">
        <f>TRIM(Dataset!C1172)</f>
        <v>C94257</v>
      </c>
      <c r="D1172" s="6" t="str">
        <f>TRIM(Dataset!D1172)</f>
        <v>Printer</v>
      </c>
      <c r="E1172" s="13">
        <f>VALUE(TRIM(Dataset!E1172))</f>
        <v>2</v>
      </c>
      <c r="F1172" s="10">
        <f>VALUE(TRIM(Dataset!F1172))</f>
        <v>697.19</v>
      </c>
      <c r="G1172" s="6" t="str">
        <f>TRIM(Dataset!G1172)</f>
        <v>762 Main St</v>
      </c>
      <c r="H1172" s="6" t="str">
        <f>TRIM(Dataset!H1172)</f>
        <v>Cash</v>
      </c>
      <c r="I1172" s="6" t="str">
        <f>TRIM(Dataset!I1172)</f>
        <v>Returned</v>
      </c>
      <c r="J1172" s="6" t="str">
        <f>TRIM(Dataset!J1172)</f>
        <v>TRK40220743</v>
      </c>
      <c r="K1172" s="8" t="str">
        <f>TRIM(Dataset!K1172)</f>
        <v>7</v>
      </c>
      <c r="L1172" s="6" t="str">
        <f>Dataset!L1172</f>
        <v>FREESHIP</v>
      </c>
      <c r="M1172" s="6" t="str">
        <f>TRIM(Dataset!M1172)</f>
        <v>Email</v>
      </c>
      <c r="N1172" s="10">
        <f>VALUE(TRIM(Dataset!N1172))</f>
        <v>1394.38</v>
      </c>
    </row>
    <row r="1173" spans="1:14" x14ac:dyDescent="0.35">
      <c r="A1173" s="6" t="str">
        <f>TRIM(Dataset!A1173)</f>
        <v>ORD201171</v>
      </c>
      <c r="B1173" s="4">
        <f>Dataset!B1173</f>
        <v>45166</v>
      </c>
      <c r="C1173" s="6" t="str">
        <f>TRIM(Dataset!C1173)</f>
        <v>C39911</v>
      </c>
      <c r="D1173" s="6" t="str">
        <f>TRIM(Dataset!D1173)</f>
        <v>Phone</v>
      </c>
      <c r="E1173" s="13">
        <f>VALUE(TRIM(Dataset!E1173))</f>
        <v>4</v>
      </c>
      <c r="F1173" s="10">
        <f>VALUE(TRIM(Dataset!F1173))</f>
        <v>518.4</v>
      </c>
      <c r="G1173" s="6" t="str">
        <f>TRIM(Dataset!G1173)</f>
        <v>699 Main St</v>
      </c>
      <c r="H1173" s="6" t="str">
        <f>TRIM(Dataset!H1173)</f>
        <v>Credit Card</v>
      </c>
      <c r="I1173" s="6" t="str">
        <f>TRIM(Dataset!I1173)</f>
        <v>Delivered</v>
      </c>
      <c r="J1173" s="6" t="str">
        <f>TRIM(Dataset!J1173)</f>
        <v>TRK80431998</v>
      </c>
      <c r="K1173" s="8" t="str">
        <f>TRIM(Dataset!K1173)</f>
        <v>7</v>
      </c>
      <c r="L1173" s="6" t="str">
        <f>Dataset!L1173</f>
        <v>SAVE10</v>
      </c>
      <c r="M1173" s="6" t="str">
        <f>TRIM(Dataset!M1173)</f>
        <v>Facebook</v>
      </c>
      <c r="N1173" s="10">
        <f>VALUE(TRIM(Dataset!N1173))</f>
        <v>2073.6</v>
      </c>
    </row>
    <row r="1174" spans="1:14" x14ac:dyDescent="0.35">
      <c r="A1174" s="6" t="str">
        <f>TRIM(Dataset!A1174)</f>
        <v>ORD201172</v>
      </c>
      <c r="B1174" s="4">
        <f>Dataset!B1174</f>
        <v>45692</v>
      </c>
      <c r="C1174" s="6" t="str">
        <f>TRIM(Dataset!C1174)</f>
        <v>C28828</v>
      </c>
      <c r="D1174" s="6" t="str">
        <f>TRIM(Dataset!D1174)</f>
        <v>Desk</v>
      </c>
      <c r="E1174" s="13">
        <f>VALUE(TRIM(Dataset!E1174))</f>
        <v>3</v>
      </c>
      <c r="F1174" s="10">
        <f>VALUE(TRIM(Dataset!F1174))</f>
        <v>131.96</v>
      </c>
      <c r="G1174" s="6" t="str">
        <f>TRIM(Dataset!G1174)</f>
        <v>745 Main St</v>
      </c>
      <c r="H1174" s="6" t="str">
        <f>TRIM(Dataset!H1174)</f>
        <v>Credit Card</v>
      </c>
      <c r="I1174" s="6" t="str">
        <f>TRIM(Dataset!I1174)</f>
        <v>Pending</v>
      </c>
      <c r="J1174" s="6" t="str">
        <f>TRIM(Dataset!J1174)</f>
        <v>TRK32550359</v>
      </c>
      <c r="K1174" s="8" t="str">
        <f>TRIM(Dataset!K1174)</f>
        <v>8</v>
      </c>
      <c r="L1174" s="6" t="s">
        <v>4284</v>
      </c>
      <c r="M1174" s="6" t="str">
        <f>TRIM(Dataset!M1174)</f>
        <v>Instagram</v>
      </c>
      <c r="N1174" s="10">
        <f>VALUE(TRIM(Dataset!N1174))</f>
        <v>395.88</v>
      </c>
    </row>
    <row r="1175" spans="1:14" x14ac:dyDescent="0.35">
      <c r="A1175" s="6" t="str">
        <f>TRIM(Dataset!A1175)</f>
        <v>ORD201173</v>
      </c>
      <c r="B1175" s="4">
        <f>Dataset!B1175</f>
        <v>45569</v>
      </c>
      <c r="C1175" s="6" t="str">
        <f>TRIM(Dataset!C1175)</f>
        <v>C82921</v>
      </c>
      <c r="D1175" s="6" t="str">
        <f>TRIM(Dataset!D1175)</f>
        <v>Monitor</v>
      </c>
      <c r="E1175" s="13">
        <f>VALUE(TRIM(Dataset!E1175))</f>
        <v>1</v>
      </c>
      <c r="F1175" s="10">
        <f>VALUE(TRIM(Dataset!F1175))</f>
        <v>208.36</v>
      </c>
      <c r="G1175" s="6" t="str">
        <f>TRIM(Dataset!G1175)</f>
        <v>703 Main St</v>
      </c>
      <c r="H1175" s="6" t="str">
        <f>TRIM(Dataset!H1175)</f>
        <v>Online</v>
      </c>
      <c r="I1175" s="6" t="str">
        <f>TRIM(Dataset!I1175)</f>
        <v>Shipped</v>
      </c>
      <c r="J1175" s="6" t="str">
        <f>TRIM(Dataset!J1175)</f>
        <v>TRK31079911</v>
      </c>
      <c r="K1175" s="8" t="str">
        <f>TRIM(Dataset!K1175)</f>
        <v>4</v>
      </c>
      <c r="L1175" s="6" t="str">
        <f>Dataset!L1175</f>
        <v>FREESHIP</v>
      </c>
      <c r="M1175" s="6" t="str">
        <f>TRIM(Dataset!M1175)</f>
        <v>Email</v>
      </c>
      <c r="N1175" s="10">
        <f>VALUE(TRIM(Dataset!N1175))</f>
        <v>208.36</v>
      </c>
    </row>
    <row r="1176" spans="1:14" x14ac:dyDescent="0.35">
      <c r="A1176" s="6" t="str">
        <f>TRIM(Dataset!A1176)</f>
        <v>ORD201174</v>
      </c>
      <c r="B1176" s="4">
        <f>Dataset!B1176</f>
        <v>45257</v>
      </c>
      <c r="C1176" s="6" t="str">
        <f>TRIM(Dataset!C1176)</f>
        <v>C50159</v>
      </c>
      <c r="D1176" s="6" t="str">
        <f>TRIM(Dataset!D1176)</f>
        <v>Printer</v>
      </c>
      <c r="E1176" s="13">
        <f>VALUE(TRIM(Dataset!E1176))</f>
        <v>3</v>
      </c>
      <c r="F1176" s="10">
        <f>VALUE(TRIM(Dataset!F1176))</f>
        <v>222.34</v>
      </c>
      <c r="G1176" s="6" t="str">
        <f>TRIM(Dataset!G1176)</f>
        <v>105 Main St</v>
      </c>
      <c r="H1176" s="6" t="str">
        <f>TRIM(Dataset!H1176)</f>
        <v>Credit Card</v>
      </c>
      <c r="I1176" s="6" t="str">
        <f>TRIM(Dataset!I1176)</f>
        <v>Returned</v>
      </c>
      <c r="J1176" s="6" t="str">
        <f>TRIM(Dataset!J1176)</f>
        <v>TRK53737452</v>
      </c>
      <c r="K1176" s="8" t="str">
        <f>TRIM(Dataset!K1176)</f>
        <v>5</v>
      </c>
      <c r="L1176" s="6" t="str">
        <f>Dataset!L1176</f>
        <v>WINTER15</v>
      </c>
      <c r="M1176" s="6" t="str">
        <f>TRIM(Dataset!M1176)</f>
        <v>Email</v>
      </c>
      <c r="N1176" s="10">
        <f>VALUE(TRIM(Dataset!N1176))</f>
        <v>667.02</v>
      </c>
    </row>
    <row r="1177" spans="1:14" x14ac:dyDescent="0.35">
      <c r="A1177" s="6" t="str">
        <f>TRIM(Dataset!A1177)</f>
        <v>ORD201175</v>
      </c>
      <c r="B1177" s="4">
        <f>Dataset!B1177</f>
        <v>45545</v>
      </c>
      <c r="C1177" s="6" t="str">
        <f>TRIM(Dataset!C1177)</f>
        <v>C62512</v>
      </c>
      <c r="D1177" s="6" t="str">
        <f>TRIM(Dataset!D1177)</f>
        <v>Printer</v>
      </c>
      <c r="E1177" s="13">
        <f>VALUE(TRIM(Dataset!E1177))</f>
        <v>3</v>
      </c>
      <c r="F1177" s="10">
        <f>VALUE(TRIM(Dataset!F1177))</f>
        <v>91.74</v>
      </c>
      <c r="G1177" s="6" t="str">
        <f>TRIM(Dataset!G1177)</f>
        <v>368 Main St</v>
      </c>
      <c r="H1177" s="6" t="str">
        <f>TRIM(Dataset!H1177)</f>
        <v>Debit Card</v>
      </c>
      <c r="I1177" s="6" t="str">
        <f>TRIM(Dataset!I1177)</f>
        <v>Returned</v>
      </c>
      <c r="J1177" s="6" t="str">
        <f>TRIM(Dataset!J1177)</f>
        <v>TRK24139954</v>
      </c>
      <c r="K1177" s="8" t="str">
        <f>TRIM(Dataset!K1177)</f>
        <v>8</v>
      </c>
      <c r="L1177" s="6" t="str">
        <f>Dataset!L1177</f>
        <v>FREESHIP</v>
      </c>
      <c r="M1177" s="6" t="str">
        <f>TRIM(Dataset!M1177)</f>
        <v>Referral</v>
      </c>
      <c r="N1177" s="10">
        <f>VALUE(TRIM(Dataset!N1177))</f>
        <v>275.22000000000003</v>
      </c>
    </row>
    <row r="1178" spans="1:14" x14ac:dyDescent="0.35">
      <c r="A1178" s="6" t="str">
        <f>TRIM(Dataset!A1178)</f>
        <v>ORD201176</v>
      </c>
      <c r="B1178" s="4">
        <f>Dataset!B1178</f>
        <v>45151</v>
      </c>
      <c r="C1178" s="6" t="str">
        <f>TRIM(Dataset!C1178)</f>
        <v>C39260</v>
      </c>
      <c r="D1178" s="6" t="str">
        <f>TRIM(Dataset!D1178)</f>
        <v>Tablet</v>
      </c>
      <c r="E1178" s="13">
        <f>VALUE(TRIM(Dataset!E1178))</f>
        <v>2</v>
      </c>
      <c r="F1178" s="10">
        <f>VALUE(TRIM(Dataset!F1178))</f>
        <v>213.83</v>
      </c>
      <c r="G1178" s="6" t="str">
        <f>TRIM(Dataset!G1178)</f>
        <v>374 Main St</v>
      </c>
      <c r="H1178" s="6" t="str">
        <f>TRIM(Dataset!H1178)</f>
        <v>Debit Card</v>
      </c>
      <c r="I1178" s="6" t="str">
        <f>TRIM(Dataset!I1178)</f>
        <v>Cancelled</v>
      </c>
      <c r="J1178" s="6" t="str">
        <f>TRIM(Dataset!J1178)</f>
        <v>TRK55587314</v>
      </c>
      <c r="K1178" s="8" t="str">
        <f>TRIM(Dataset!K1178)</f>
        <v>2</v>
      </c>
      <c r="L1178" s="6" t="str">
        <f>Dataset!L1178</f>
        <v>WINTER15</v>
      </c>
      <c r="M1178" s="6" t="str">
        <f>TRIM(Dataset!M1178)</f>
        <v>Email</v>
      </c>
      <c r="N1178" s="10">
        <f>VALUE(TRIM(Dataset!N1178))</f>
        <v>427.66</v>
      </c>
    </row>
    <row r="1179" spans="1:14" x14ac:dyDescent="0.35">
      <c r="A1179" s="6" t="str">
        <f>TRIM(Dataset!A1179)</f>
        <v>ORD201177</v>
      </c>
      <c r="B1179" s="4">
        <f>Dataset!B1179</f>
        <v>45043</v>
      </c>
      <c r="C1179" s="6" t="str">
        <f>TRIM(Dataset!C1179)</f>
        <v>C23917</v>
      </c>
      <c r="D1179" s="6" t="str">
        <f>TRIM(Dataset!D1179)</f>
        <v>Printer</v>
      </c>
      <c r="E1179" s="13">
        <f>VALUE(TRIM(Dataset!E1179))</f>
        <v>1</v>
      </c>
      <c r="F1179" s="10">
        <f>VALUE(TRIM(Dataset!F1179))</f>
        <v>127.55</v>
      </c>
      <c r="G1179" s="6" t="str">
        <f>TRIM(Dataset!G1179)</f>
        <v>433 Main St</v>
      </c>
      <c r="H1179" s="6" t="str">
        <f>TRIM(Dataset!H1179)</f>
        <v>Cash</v>
      </c>
      <c r="I1179" s="6" t="str">
        <f>TRIM(Dataset!I1179)</f>
        <v>Shipped</v>
      </c>
      <c r="J1179" s="6" t="str">
        <f>TRIM(Dataset!J1179)</f>
        <v>TRK44434536</v>
      </c>
      <c r="K1179" s="8" t="str">
        <f>TRIM(Dataset!K1179)</f>
        <v>3</v>
      </c>
      <c r="L1179" s="6" t="str">
        <f>Dataset!L1179</f>
        <v>SAVE10</v>
      </c>
      <c r="M1179" s="6" t="str">
        <f>TRIM(Dataset!M1179)</f>
        <v>Referral</v>
      </c>
      <c r="N1179" s="10">
        <f>VALUE(TRIM(Dataset!N1179))</f>
        <v>127.55</v>
      </c>
    </row>
    <row r="1180" spans="1:14" x14ac:dyDescent="0.35">
      <c r="A1180" s="6" t="str">
        <f>TRIM(Dataset!A1180)</f>
        <v>ORD201178</v>
      </c>
      <c r="B1180" s="4">
        <f>Dataset!B1180</f>
        <v>45543</v>
      </c>
      <c r="C1180" s="6" t="str">
        <f>TRIM(Dataset!C1180)</f>
        <v>C65107</v>
      </c>
      <c r="D1180" s="6" t="str">
        <f>TRIM(Dataset!D1180)</f>
        <v>Monitor</v>
      </c>
      <c r="E1180" s="13">
        <f>VALUE(TRIM(Dataset!E1180))</f>
        <v>1</v>
      </c>
      <c r="F1180" s="10">
        <f>VALUE(TRIM(Dataset!F1180))</f>
        <v>70.239999999999995</v>
      </c>
      <c r="G1180" s="6" t="str">
        <f>TRIM(Dataset!G1180)</f>
        <v>456 Main St</v>
      </c>
      <c r="H1180" s="6" t="str">
        <f>TRIM(Dataset!H1180)</f>
        <v>Credit Card</v>
      </c>
      <c r="I1180" s="6" t="str">
        <f>TRIM(Dataset!I1180)</f>
        <v>Cancelled</v>
      </c>
      <c r="J1180" s="6" t="str">
        <f>TRIM(Dataset!J1180)</f>
        <v>TRK10261578</v>
      </c>
      <c r="K1180" s="8" t="str">
        <f>TRIM(Dataset!K1180)</f>
        <v>4</v>
      </c>
      <c r="L1180" s="6" t="str">
        <f>Dataset!L1180</f>
        <v>FREESHIP</v>
      </c>
      <c r="M1180" s="6" t="str">
        <f>TRIM(Dataset!M1180)</f>
        <v>Google</v>
      </c>
      <c r="N1180" s="10">
        <f>VALUE(TRIM(Dataset!N1180))</f>
        <v>70.239999999999995</v>
      </c>
    </row>
    <row r="1181" spans="1:14" x14ac:dyDescent="0.35">
      <c r="A1181" s="6" t="str">
        <f>TRIM(Dataset!A1181)</f>
        <v>ORD201179</v>
      </c>
      <c r="B1181" s="4">
        <f>Dataset!B1181</f>
        <v>44934</v>
      </c>
      <c r="C1181" s="6" t="str">
        <f>TRIM(Dataset!C1181)</f>
        <v>C84630</v>
      </c>
      <c r="D1181" s="6" t="str">
        <f>TRIM(Dataset!D1181)</f>
        <v>Laptop</v>
      </c>
      <c r="E1181" s="13">
        <f>VALUE(TRIM(Dataset!E1181))</f>
        <v>5</v>
      </c>
      <c r="F1181" s="10">
        <f>VALUE(TRIM(Dataset!F1181))</f>
        <v>518.54999999999995</v>
      </c>
      <c r="G1181" s="6" t="str">
        <f>TRIM(Dataset!G1181)</f>
        <v>907 Main St</v>
      </c>
      <c r="H1181" s="6" t="str">
        <f>TRIM(Dataset!H1181)</f>
        <v>Credit Card</v>
      </c>
      <c r="I1181" s="6" t="str">
        <f>TRIM(Dataset!I1181)</f>
        <v>Cancelled</v>
      </c>
      <c r="J1181" s="6" t="str">
        <f>TRIM(Dataset!J1181)</f>
        <v>TRK48054997</v>
      </c>
      <c r="K1181" s="8" t="str">
        <f>TRIM(Dataset!K1181)</f>
        <v>6</v>
      </c>
      <c r="L1181" s="6" t="str">
        <f>Dataset!L1181</f>
        <v>WINTER15</v>
      </c>
      <c r="M1181" s="6" t="str">
        <f>TRIM(Dataset!M1181)</f>
        <v>Instagram</v>
      </c>
      <c r="N1181" s="10">
        <f>VALUE(TRIM(Dataset!N1181))</f>
        <v>2592.75</v>
      </c>
    </row>
    <row r="1182" spans="1:14" x14ac:dyDescent="0.35">
      <c r="A1182" s="6" t="str">
        <f>TRIM(Dataset!A1182)</f>
        <v>ORD201180</v>
      </c>
      <c r="B1182" s="4">
        <f>Dataset!B1182</f>
        <v>45230</v>
      </c>
      <c r="C1182" s="6" t="str">
        <f>TRIM(Dataset!C1182)</f>
        <v>C42235</v>
      </c>
      <c r="D1182" s="6" t="str">
        <f>TRIM(Dataset!D1182)</f>
        <v>Chair</v>
      </c>
      <c r="E1182" s="13">
        <f>VALUE(TRIM(Dataset!E1182))</f>
        <v>4</v>
      </c>
      <c r="F1182" s="10">
        <f>VALUE(TRIM(Dataset!F1182))</f>
        <v>298.36</v>
      </c>
      <c r="G1182" s="6" t="str">
        <f>TRIM(Dataset!G1182)</f>
        <v>722 Main St</v>
      </c>
      <c r="H1182" s="6" t="str">
        <f>TRIM(Dataset!H1182)</f>
        <v>Debit Card</v>
      </c>
      <c r="I1182" s="6" t="str">
        <f>TRIM(Dataset!I1182)</f>
        <v>Pending</v>
      </c>
      <c r="J1182" s="6" t="str">
        <f>TRIM(Dataset!J1182)</f>
        <v>TRK49379882</v>
      </c>
      <c r="K1182" s="8" t="str">
        <f>TRIM(Dataset!K1182)</f>
        <v>8</v>
      </c>
      <c r="L1182" s="6" t="str">
        <f>Dataset!L1182</f>
        <v>FREESHIP</v>
      </c>
      <c r="M1182" s="6" t="str">
        <f>TRIM(Dataset!M1182)</f>
        <v>Google</v>
      </c>
      <c r="N1182" s="10">
        <f>VALUE(TRIM(Dataset!N1182))</f>
        <v>1193.44</v>
      </c>
    </row>
    <row r="1183" spans="1:14" x14ac:dyDescent="0.35">
      <c r="A1183" s="6" t="str">
        <f>TRIM(Dataset!A1183)</f>
        <v>ORD201181</v>
      </c>
      <c r="B1183" s="4">
        <f>Dataset!B1183</f>
        <v>45134</v>
      </c>
      <c r="C1183" s="6" t="str">
        <f>TRIM(Dataset!C1183)</f>
        <v>C70246</v>
      </c>
      <c r="D1183" s="6" t="str">
        <f>TRIM(Dataset!D1183)</f>
        <v>Desk</v>
      </c>
      <c r="E1183" s="13">
        <f>VALUE(TRIM(Dataset!E1183))</f>
        <v>3</v>
      </c>
      <c r="F1183" s="10">
        <f>VALUE(TRIM(Dataset!F1183))</f>
        <v>158.74</v>
      </c>
      <c r="G1183" s="6" t="str">
        <f>TRIM(Dataset!G1183)</f>
        <v>293 Main St</v>
      </c>
      <c r="H1183" s="6" t="str">
        <f>TRIM(Dataset!H1183)</f>
        <v>Online</v>
      </c>
      <c r="I1183" s="6" t="str">
        <f>TRIM(Dataset!I1183)</f>
        <v>Pending</v>
      </c>
      <c r="J1183" s="6" t="str">
        <f>TRIM(Dataset!J1183)</f>
        <v>TRK45708320</v>
      </c>
      <c r="K1183" s="8" t="str">
        <f>TRIM(Dataset!K1183)</f>
        <v>7</v>
      </c>
      <c r="L1183" s="6" t="str">
        <f>Dataset!L1183</f>
        <v>FREESHIP</v>
      </c>
      <c r="M1183" s="6" t="str">
        <f>TRIM(Dataset!M1183)</f>
        <v>Instagram</v>
      </c>
      <c r="N1183" s="10">
        <f>VALUE(TRIM(Dataset!N1183))</f>
        <v>476.22</v>
      </c>
    </row>
    <row r="1184" spans="1:14" x14ac:dyDescent="0.35">
      <c r="A1184" s="6" t="str">
        <f>TRIM(Dataset!A1184)</f>
        <v>ORD201182</v>
      </c>
      <c r="B1184" s="4">
        <f>Dataset!B1184</f>
        <v>45822</v>
      </c>
      <c r="C1184" s="6" t="str">
        <f>TRIM(Dataset!C1184)</f>
        <v>C18473</v>
      </c>
      <c r="D1184" s="6" t="str">
        <f>TRIM(Dataset!D1184)</f>
        <v>Chair</v>
      </c>
      <c r="E1184" s="13">
        <f>VALUE(TRIM(Dataset!E1184))</f>
        <v>2</v>
      </c>
      <c r="F1184" s="10">
        <f>VALUE(TRIM(Dataset!F1184))</f>
        <v>420.29</v>
      </c>
      <c r="G1184" s="6" t="str">
        <f>TRIM(Dataset!G1184)</f>
        <v>700 Main St</v>
      </c>
      <c r="H1184" s="6" t="str">
        <f>TRIM(Dataset!H1184)</f>
        <v>Gift Card</v>
      </c>
      <c r="I1184" s="6" t="str">
        <f>TRIM(Dataset!I1184)</f>
        <v>Returned</v>
      </c>
      <c r="J1184" s="6" t="str">
        <f>TRIM(Dataset!J1184)</f>
        <v>TRK97834202</v>
      </c>
      <c r="K1184" s="8" t="str">
        <f>TRIM(Dataset!K1184)</f>
        <v>3</v>
      </c>
      <c r="L1184" s="6" t="str">
        <f>Dataset!L1184</f>
        <v>SAVE10</v>
      </c>
      <c r="M1184" s="6" t="str">
        <f>TRIM(Dataset!M1184)</f>
        <v>Google</v>
      </c>
      <c r="N1184" s="10">
        <f>VALUE(TRIM(Dataset!N1184))</f>
        <v>840.58</v>
      </c>
    </row>
    <row r="1185" spans="1:14" x14ac:dyDescent="0.35">
      <c r="A1185" s="6" t="str">
        <f>TRIM(Dataset!A1185)</f>
        <v>ORD201183</v>
      </c>
      <c r="B1185" s="4">
        <f>Dataset!B1185</f>
        <v>45021</v>
      </c>
      <c r="C1185" s="6" t="str">
        <f>TRIM(Dataset!C1185)</f>
        <v>C12607</v>
      </c>
      <c r="D1185" s="6" t="str">
        <f>TRIM(Dataset!D1185)</f>
        <v>Desk</v>
      </c>
      <c r="E1185" s="13">
        <f>VALUE(TRIM(Dataset!E1185))</f>
        <v>1</v>
      </c>
      <c r="F1185" s="10">
        <f>VALUE(TRIM(Dataset!F1185))</f>
        <v>281.52</v>
      </c>
      <c r="G1185" s="6" t="str">
        <f>TRIM(Dataset!G1185)</f>
        <v>460 Main St</v>
      </c>
      <c r="H1185" s="6" t="str">
        <f>TRIM(Dataset!H1185)</f>
        <v>Gift Card</v>
      </c>
      <c r="I1185" s="6" t="str">
        <f>TRIM(Dataset!I1185)</f>
        <v>Shipped</v>
      </c>
      <c r="J1185" s="6" t="str">
        <f>TRIM(Dataset!J1185)</f>
        <v>TRK83653396</v>
      </c>
      <c r="K1185" s="8" t="str">
        <f>TRIM(Dataset!K1185)</f>
        <v>6</v>
      </c>
      <c r="L1185" s="6" t="str">
        <f>Dataset!L1185</f>
        <v>WINTER15</v>
      </c>
      <c r="M1185" s="6" t="str">
        <f>TRIM(Dataset!M1185)</f>
        <v>Referral</v>
      </c>
      <c r="N1185" s="10">
        <f>VALUE(TRIM(Dataset!N1185))</f>
        <v>281.52</v>
      </c>
    </row>
    <row r="1186" spans="1:14" x14ac:dyDescent="0.35">
      <c r="A1186" s="6" t="str">
        <f>TRIM(Dataset!A1186)</f>
        <v>ORD201184</v>
      </c>
      <c r="B1186" s="4">
        <f>Dataset!B1186</f>
        <v>45196</v>
      </c>
      <c r="C1186" s="6" t="str">
        <f>TRIM(Dataset!C1186)</f>
        <v>C10222</v>
      </c>
      <c r="D1186" s="6" t="str">
        <f>TRIM(Dataset!D1186)</f>
        <v>Laptop</v>
      </c>
      <c r="E1186" s="13">
        <f>VALUE(TRIM(Dataset!E1186))</f>
        <v>1</v>
      </c>
      <c r="F1186" s="10">
        <f>VALUE(TRIM(Dataset!F1186))</f>
        <v>204.08</v>
      </c>
      <c r="G1186" s="6" t="str">
        <f>TRIM(Dataset!G1186)</f>
        <v>979 Main St</v>
      </c>
      <c r="H1186" s="6" t="str">
        <f>TRIM(Dataset!H1186)</f>
        <v>Gift Card</v>
      </c>
      <c r="I1186" s="6" t="str">
        <f>TRIM(Dataset!I1186)</f>
        <v>Returned</v>
      </c>
      <c r="J1186" s="6" t="str">
        <f>TRIM(Dataset!J1186)</f>
        <v>TRK86297895</v>
      </c>
      <c r="K1186" s="8" t="str">
        <f>TRIM(Dataset!K1186)</f>
        <v>4</v>
      </c>
      <c r="L1186" s="6" t="s">
        <v>4284</v>
      </c>
      <c r="M1186" s="6" t="str">
        <f>TRIM(Dataset!M1186)</f>
        <v>Google</v>
      </c>
      <c r="N1186" s="10">
        <f>VALUE(TRIM(Dataset!N1186))</f>
        <v>204.08</v>
      </c>
    </row>
    <row r="1187" spans="1:14" x14ac:dyDescent="0.35">
      <c r="A1187" s="6" t="str">
        <f>TRIM(Dataset!A1187)</f>
        <v>ORD201185</v>
      </c>
      <c r="B1187" s="4">
        <f>Dataset!B1187</f>
        <v>45481</v>
      </c>
      <c r="C1187" s="6" t="str">
        <f>TRIM(Dataset!C1187)</f>
        <v>C77344</v>
      </c>
      <c r="D1187" s="6" t="str">
        <f>TRIM(Dataset!D1187)</f>
        <v>Chair</v>
      </c>
      <c r="E1187" s="13">
        <f>VALUE(TRIM(Dataset!E1187))</f>
        <v>1</v>
      </c>
      <c r="F1187" s="10">
        <f>VALUE(TRIM(Dataset!F1187))</f>
        <v>343.31</v>
      </c>
      <c r="G1187" s="6" t="str">
        <f>TRIM(Dataset!G1187)</f>
        <v>777 Main St</v>
      </c>
      <c r="H1187" s="6" t="str">
        <f>TRIM(Dataset!H1187)</f>
        <v>Gift Card</v>
      </c>
      <c r="I1187" s="6" t="str">
        <f>TRIM(Dataset!I1187)</f>
        <v>Returned</v>
      </c>
      <c r="J1187" s="6" t="str">
        <f>TRIM(Dataset!J1187)</f>
        <v>TRK20605055</v>
      </c>
      <c r="K1187" s="8" t="str">
        <f>TRIM(Dataset!K1187)</f>
        <v>6</v>
      </c>
      <c r="L1187" s="6" t="str">
        <f>Dataset!L1187</f>
        <v>SAVE10</v>
      </c>
      <c r="M1187" s="6" t="str">
        <f>TRIM(Dataset!M1187)</f>
        <v>Google</v>
      </c>
      <c r="N1187" s="10">
        <f>VALUE(TRIM(Dataset!N1187))</f>
        <v>343.31</v>
      </c>
    </row>
    <row r="1188" spans="1:14" x14ac:dyDescent="0.35">
      <c r="A1188" s="6" t="str">
        <f>TRIM(Dataset!A1188)</f>
        <v>ORD201186</v>
      </c>
      <c r="B1188" s="4">
        <f>Dataset!B1188</f>
        <v>45248</v>
      </c>
      <c r="C1188" s="6" t="str">
        <f>TRIM(Dataset!C1188)</f>
        <v>C65497</v>
      </c>
      <c r="D1188" s="6" t="str">
        <f>TRIM(Dataset!D1188)</f>
        <v>Monitor</v>
      </c>
      <c r="E1188" s="13">
        <f>VALUE(TRIM(Dataset!E1188))</f>
        <v>1</v>
      </c>
      <c r="F1188" s="10">
        <f>VALUE(TRIM(Dataset!F1188))</f>
        <v>163.32</v>
      </c>
      <c r="G1188" s="6" t="str">
        <f>TRIM(Dataset!G1188)</f>
        <v>676 Main St</v>
      </c>
      <c r="H1188" s="6" t="str">
        <f>TRIM(Dataset!H1188)</f>
        <v>Cash</v>
      </c>
      <c r="I1188" s="6" t="str">
        <f>TRIM(Dataset!I1188)</f>
        <v>Shipped</v>
      </c>
      <c r="J1188" s="6" t="str">
        <f>TRIM(Dataset!J1188)</f>
        <v>TRK83702761</v>
      </c>
      <c r="K1188" s="8" t="str">
        <f>TRIM(Dataset!K1188)</f>
        <v>6</v>
      </c>
      <c r="L1188" s="6" t="str">
        <f>Dataset!L1188</f>
        <v>WINTER15</v>
      </c>
      <c r="M1188" s="6" t="str">
        <f>TRIM(Dataset!M1188)</f>
        <v>Facebook</v>
      </c>
      <c r="N1188" s="10">
        <f>VALUE(TRIM(Dataset!N1188))</f>
        <v>163.32</v>
      </c>
    </row>
    <row r="1189" spans="1:14" x14ac:dyDescent="0.35">
      <c r="A1189" s="6" t="str">
        <f>TRIM(Dataset!A1189)</f>
        <v>ORD201187</v>
      </c>
      <c r="B1189" s="4">
        <f>Dataset!B1189</f>
        <v>45364</v>
      </c>
      <c r="C1189" s="6" t="str">
        <f>TRIM(Dataset!C1189)</f>
        <v>C26340</v>
      </c>
      <c r="D1189" s="6" t="str">
        <f>TRIM(Dataset!D1189)</f>
        <v>Desk</v>
      </c>
      <c r="E1189" s="13">
        <f>VALUE(TRIM(Dataset!E1189))</f>
        <v>2</v>
      </c>
      <c r="F1189" s="10">
        <f>VALUE(TRIM(Dataset!F1189))</f>
        <v>184.6</v>
      </c>
      <c r="G1189" s="6" t="str">
        <f>TRIM(Dataset!G1189)</f>
        <v>562 Main St</v>
      </c>
      <c r="H1189" s="6" t="str">
        <f>TRIM(Dataset!H1189)</f>
        <v>Gift Card</v>
      </c>
      <c r="I1189" s="6" t="str">
        <f>TRIM(Dataset!I1189)</f>
        <v>Delivered</v>
      </c>
      <c r="J1189" s="6" t="str">
        <f>TRIM(Dataset!J1189)</f>
        <v>TRK59962703</v>
      </c>
      <c r="K1189" s="8" t="str">
        <f>TRIM(Dataset!K1189)</f>
        <v>7</v>
      </c>
      <c r="L1189" s="6" t="str">
        <f>Dataset!L1189</f>
        <v>WINTER15</v>
      </c>
      <c r="M1189" s="6" t="str">
        <f>TRIM(Dataset!M1189)</f>
        <v>Email</v>
      </c>
      <c r="N1189" s="10">
        <f>VALUE(TRIM(Dataset!N1189))</f>
        <v>369.2</v>
      </c>
    </row>
    <row r="1190" spans="1:14" x14ac:dyDescent="0.35">
      <c r="A1190" s="6" t="str">
        <f>TRIM(Dataset!A1190)</f>
        <v>ORD201188</v>
      </c>
      <c r="B1190" s="4">
        <f>Dataset!B1190</f>
        <v>45206</v>
      </c>
      <c r="C1190" s="6" t="str">
        <f>TRIM(Dataset!C1190)</f>
        <v>C75619</v>
      </c>
      <c r="D1190" s="6" t="str">
        <f>TRIM(Dataset!D1190)</f>
        <v>Printer</v>
      </c>
      <c r="E1190" s="13">
        <f>VALUE(TRIM(Dataset!E1190))</f>
        <v>2</v>
      </c>
      <c r="F1190" s="10">
        <f>VALUE(TRIM(Dataset!F1190))</f>
        <v>371.29</v>
      </c>
      <c r="G1190" s="6" t="str">
        <f>TRIM(Dataset!G1190)</f>
        <v>924 Main St</v>
      </c>
      <c r="H1190" s="6" t="str">
        <f>TRIM(Dataset!H1190)</f>
        <v>Gift Card</v>
      </c>
      <c r="I1190" s="6" t="str">
        <f>TRIM(Dataset!I1190)</f>
        <v>Shipped</v>
      </c>
      <c r="J1190" s="6" t="str">
        <f>TRIM(Dataset!J1190)</f>
        <v>TRK23086941</v>
      </c>
      <c r="K1190" s="8" t="str">
        <f>TRIM(Dataset!K1190)</f>
        <v>5</v>
      </c>
      <c r="L1190" s="6" t="str">
        <f>Dataset!L1190</f>
        <v>WINTER15</v>
      </c>
      <c r="M1190" s="6" t="str">
        <f>TRIM(Dataset!M1190)</f>
        <v>Facebook</v>
      </c>
      <c r="N1190" s="10">
        <f>VALUE(TRIM(Dataset!N1190))</f>
        <v>742.58</v>
      </c>
    </row>
    <row r="1191" spans="1:14" x14ac:dyDescent="0.35">
      <c r="A1191" s="6" t="str">
        <f>TRIM(Dataset!A1191)</f>
        <v>ORD201189</v>
      </c>
      <c r="B1191" s="4">
        <f>Dataset!B1191</f>
        <v>45521</v>
      </c>
      <c r="C1191" s="6" t="str">
        <f>TRIM(Dataset!C1191)</f>
        <v>C96136</v>
      </c>
      <c r="D1191" s="6" t="str">
        <f>TRIM(Dataset!D1191)</f>
        <v>Tablet</v>
      </c>
      <c r="E1191" s="13">
        <f>VALUE(TRIM(Dataset!E1191))</f>
        <v>5</v>
      </c>
      <c r="F1191" s="10">
        <f>VALUE(TRIM(Dataset!F1191))</f>
        <v>389.22</v>
      </c>
      <c r="G1191" s="6" t="str">
        <f>TRIM(Dataset!G1191)</f>
        <v>149 Main St</v>
      </c>
      <c r="H1191" s="6" t="str">
        <f>TRIM(Dataset!H1191)</f>
        <v>Cash</v>
      </c>
      <c r="I1191" s="6" t="str">
        <f>TRIM(Dataset!I1191)</f>
        <v>Cancelled</v>
      </c>
      <c r="J1191" s="6" t="str">
        <f>TRIM(Dataset!J1191)</f>
        <v>TRK60856682</v>
      </c>
      <c r="K1191" s="8" t="str">
        <f>TRIM(Dataset!K1191)</f>
        <v>7</v>
      </c>
      <c r="L1191" s="6" t="s">
        <v>4284</v>
      </c>
      <c r="M1191" s="6" t="str">
        <f>TRIM(Dataset!M1191)</f>
        <v>Referral</v>
      </c>
      <c r="N1191" s="10">
        <f>VALUE(TRIM(Dataset!N1191))</f>
        <v>1946.1</v>
      </c>
    </row>
    <row r="1192" spans="1:14" x14ac:dyDescent="0.35">
      <c r="A1192" s="6" t="str">
        <f>TRIM(Dataset!A1192)</f>
        <v>ORD201190</v>
      </c>
      <c r="B1192" s="4">
        <f>Dataset!B1192</f>
        <v>45816</v>
      </c>
      <c r="C1192" s="6" t="str">
        <f>TRIM(Dataset!C1192)</f>
        <v>C46886</v>
      </c>
      <c r="D1192" s="6" t="str">
        <f>TRIM(Dataset!D1192)</f>
        <v>Desk</v>
      </c>
      <c r="E1192" s="13">
        <f>VALUE(TRIM(Dataset!E1192))</f>
        <v>3</v>
      </c>
      <c r="F1192" s="10">
        <f>VALUE(TRIM(Dataset!F1192))</f>
        <v>616.39</v>
      </c>
      <c r="G1192" s="6" t="str">
        <f>TRIM(Dataset!G1192)</f>
        <v>754 Main St</v>
      </c>
      <c r="H1192" s="6" t="str">
        <f>TRIM(Dataset!H1192)</f>
        <v>Credit Card</v>
      </c>
      <c r="I1192" s="6" t="str">
        <f>TRIM(Dataset!I1192)</f>
        <v>Shipped</v>
      </c>
      <c r="J1192" s="6" t="str">
        <f>TRIM(Dataset!J1192)</f>
        <v>TRK82791646</v>
      </c>
      <c r="K1192" s="8" t="str">
        <f>TRIM(Dataset!K1192)</f>
        <v>6</v>
      </c>
      <c r="L1192" s="6" t="str">
        <f>Dataset!L1192</f>
        <v>FREESHIP</v>
      </c>
      <c r="M1192" s="6" t="str">
        <f>TRIM(Dataset!M1192)</f>
        <v>Instagram</v>
      </c>
      <c r="N1192" s="10">
        <f>VALUE(TRIM(Dataset!N1192))</f>
        <v>1849.17</v>
      </c>
    </row>
    <row r="1193" spans="1:14" x14ac:dyDescent="0.35">
      <c r="A1193" s="6" t="str">
        <f>TRIM(Dataset!A1193)</f>
        <v>ORD201191</v>
      </c>
      <c r="B1193" s="4">
        <f>Dataset!B1193</f>
        <v>45698</v>
      </c>
      <c r="C1193" s="6" t="str">
        <f>TRIM(Dataset!C1193)</f>
        <v>C44148</v>
      </c>
      <c r="D1193" s="6" t="str">
        <f>TRIM(Dataset!D1193)</f>
        <v>Desk</v>
      </c>
      <c r="E1193" s="13">
        <f>VALUE(TRIM(Dataset!E1193))</f>
        <v>4</v>
      </c>
      <c r="F1193" s="10">
        <f>VALUE(TRIM(Dataset!F1193))</f>
        <v>376.43</v>
      </c>
      <c r="G1193" s="6" t="str">
        <f>TRIM(Dataset!G1193)</f>
        <v>809 Main St</v>
      </c>
      <c r="H1193" s="6" t="str">
        <f>TRIM(Dataset!H1193)</f>
        <v>Gift Card</v>
      </c>
      <c r="I1193" s="6" t="str">
        <f>TRIM(Dataset!I1193)</f>
        <v>Pending</v>
      </c>
      <c r="J1193" s="6" t="str">
        <f>TRIM(Dataset!J1193)</f>
        <v>TRK67872709</v>
      </c>
      <c r="K1193" s="8" t="str">
        <f>TRIM(Dataset!K1193)</f>
        <v>5</v>
      </c>
      <c r="L1193" s="6" t="str">
        <f>Dataset!L1193</f>
        <v>WINTER15</v>
      </c>
      <c r="M1193" s="6" t="str">
        <f>TRIM(Dataset!M1193)</f>
        <v>Instagram</v>
      </c>
      <c r="N1193" s="10">
        <f>VALUE(TRIM(Dataset!N1193))</f>
        <v>1505.72</v>
      </c>
    </row>
    <row r="1194" spans="1:14" x14ac:dyDescent="0.35">
      <c r="A1194" s="6" t="str">
        <f>TRIM(Dataset!A1194)</f>
        <v>ORD201192</v>
      </c>
      <c r="B1194" s="4">
        <f>Dataset!B1194</f>
        <v>45350</v>
      </c>
      <c r="C1194" s="6" t="str">
        <f>TRIM(Dataset!C1194)</f>
        <v>C72007</v>
      </c>
      <c r="D1194" s="6" t="str">
        <f>TRIM(Dataset!D1194)</f>
        <v>Chair</v>
      </c>
      <c r="E1194" s="13">
        <f>VALUE(TRIM(Dataset!E1194))</f>
        <v>3</v>
      </c>
      <c r="F1194" s="10">
        <f>VALUE(TRIM(Dataset!F1194))</f>
        <v>432.85</v>
      </c>
      <c r="G1194" s="6" t="str">
        <f>TRIM(Dataset!G1194)</f>
        <v>999 Main St</v>
      </c>
      <c r="H1194" s="6" t="str">
        <f>TRIM(Dataset!H1194)</f>
        <v>Online</v>
      </c>
      <c r="I1194" s="6" t="str">
        <f>TRIM(Dataset!I1194)</f>
        <v>Pending</v>
      </c>
      <c r="J1194" s="6" t="str">
        <f>TRIM(Dataset!J1194)</f>
        <v>TRK16240916</v>
      </c>
      <c r="K1194" s="8" t="str">
        <f>TRIM(Dataset!K1194)</f>
        <v>4</v>
      </c>
      <c r="L1194" s="6" t="s">
        <v>4284</v>
      </c>
      <c r="M1194" s="6" t="str">
        <f>TRIM(Dataset!M1194)</f>
        <v>Instagram</v>
      </c>
      <c r="N1194" s="10">
        <f>VALUE(TRIM(Dataset!N1194))</f>
        <v>1298.55</v>
      </c>
    </row>
    <row r="1195" spans="1:14" x14ac:dyDescent="0.35">
      <c r="A1195" s="6" t="str">
        <f>TRIM(Dataset!A1195)</f>
        <v>ORD201193</v>
      </c>
      <c r="B1195" s="4">
        <f>Dataset!B1195</f>
        <v>45824</v>
      </c>
      <c r="C1195" s="6" t="str">
        <f>TRIM(Dataset!C1195)</f>
        <v>C45104</v>
      </c>
      <c r="D1195" s="6" t="str">
        <f>TRIM(Dataset!D1195)</f>
        <v>Tablet</v>
      </c>
      <c r="E1195" s="13">
        <f>VALUE(TRIM(Dataset!E1195))</f>
        <v>1</v>
      </c>
      <c r="F1195" s="10">
        <f>VALUE(TRIM(Dataset!F1195))</f>
        <v>687.89</v>
      </c>
      <c r="G1195" s="6" t="str">
        <f>TRIM(Dataset!G1195)</f>
        <v>348 Main St</v>
      </c>
      <c r="H1195" s="6" t="str">
        <f>TRIM(Dataset!H1195)</f>
        <v>Cash</v>
      </c>
      <c r="I1195" s="6" t="str">
        <f>TRIM(Dataset!I1195)</f>
        <v>Returned</v>
      </c>
      <c r="J1195" s="6" t="str">
        <f>TRIM(Dataset!J1195)</f>
        <v>TRK38559816</v>
      </c>
      <c r="K1195" s="8" t="str">
        <f>TRIM(Dataset!K1195)</f>
        <v>1</v>
      </c>
      <c r="L1195" s="6" t="str">
        <f>Dataset!L1195</f>
        <v>FREESHIP</v>
      </c>
      <c r="M1195" s="6" t="str">
        <f>TRIM(Dataset!M1195)</f>
        <v>Email</v>
      </c>
      <c r="N1195" s="10">
        <f>VALUE(TRIM(Dataset!N1195))</f>
        <v>687.89</v>
      </c>
    </row>
    <row r="1196" spans="1:14" x14ac:dyDescent="0.35">
      <c r="A1196" s="6" t="str">
        <f>TRIM(Dataset!A1196)</f>
        <v>ORD201194</v>
      </c>
      <c r="B1196" s="4">
        <f>Dataset!B1196</f>
        <v>45249</v>
      </c>
      <c r="C1196" s="6" t="str">
        <f>TRIM(Dataset!C1196)</f>
        <v>C29885</v>
      </c>
      <c r="D1196" s="6" t="str">
        <f>TRIM(Dataset!D1196)</f>
        <v>Printer</v>
      </c>
      <c r="E1196" s="13">
        <f>VALUE(TRIM(Dataset!E1196))</f>
        <v>3</v>
      </c>
      <c r="F1196" s="10">
        <f>VALUE(TRIM(Dataset!F1196))</f>
        <v>189.44</v>
      </c>
      <c r="G1196" s="6" t="str">
        <f>TRIM(Dataset!G1196)</f>
        <v>725 Main St</v>
      </c>
      <c r="H1196" s="6" t="str">
        <f>TRIM(Dataset!H1196)</f>
        <v>Cash</v>
      </c>
      <c r="I1196" s="6" t="str">
        <f>TRIM(Dataset!I1196)</f>
        <v>Pending</v>
      </c>
      <c r="J1196" s="6" t="str">
        <f>TRIM(Dataset!J1196)</f>
        <v>TRK62067865</v>
      </c>
      <c r="K1196" s="8" t="str">
        <f>TRIM(Dataset!K1196)</f>
        <v>4</v>
      </c>
      <c r="L1196" s="6" t="str">
        <f>Dataset!L1196</f>
        <v>FREESHIP</v>
      </c>
      <c r="M1196" s="6" t="str">
        <f>TRIM(Dataset!M1196)</f>
        <v>Email</v>
      </c>
      <c r="N1196" s="10">
        <f>VALUE(TRIM(Dataset!N1196))</f>
        <v>568.32000000000005</v>
      </c>
    </row>
    <row r="1197" spans="1:14" x14ac:dyDescent="0.35">
      <c r="A1197" s="6" t="str">
        <f>TRIM(Dataset!A1197)</f>
        <v>ORD201195</v>
      </c>
      <c r="B1197" s="4">
        <f>Dataset!B1197</f>
        <v>45463</v>
      </c>
      <c r="C1197" s="6" t="str">
        <f>TRIM(Dataset!C1197)</f>
        <v>C21126</v>
      </c>
      <c r="D1197" s="6" t="str">
        <f>TRIM(Dataset!D1197)</f>
        <v>Desk</v>
      </c>
      <c r="E1197" s="13">
        <f>VALUE(TRIM(Dataset!E1197))</f>
        <v>1</v>
      </c>
      <c r="F1197" s="10">
        <f>VALUE(TRIM(Dataset!F1197))</f>
        <v>107.04</v>
      </c>
      <c r="G1197" s="6" t="str">
        <f>TRIM(Dataset!G1197)</f>
        <v>392 Main St</v>
      </c>
      <c r="H1197" s="6" t="str">
        <f>TRIM(Dataset!H1197)</f>
        <v>Credit Card</v>
      </c>
      <c r="I1197" s="6" t="str">
        <f>TRIM(Dataset!I1197)</f>
        <v>Cancelled</v>
      </c>
      <c r="J1197" s="6" t="str">
        <f>TRIM(Dataset!J1197)</f>
        <v>TRK38009181</v>
      </c>
      <c r="K1197" s="8" t="str">
        <f>TRIM(Dataset!K1197)</f>
        <v>6</v>
      </c>
      <c r="L1197" s="6" t="str">
        <f>Dataset!L1197</f>
        <v>FREESHIP</v>
      </c>
      <c r="M1197" s="6" t="str">
        <f>TRIM(Dataset!M1197)</f>
        <v>Google</v>
      </c>
      <c r="N1197" s="10">
        <f>VALUE(TRIM(Dataset!N1197))</f>
        <v>107.04</v>
      </c>
    </row>
    <row r="1198" spans="1:14" x14ac:dyDescent="0.35">
      <c r="A1198" s="6" t="str">
        <f>TRIM(Dataset!A1198)</f>
        <v>ORD201196</v>
      </c>
      <c r="B1198" s="4">
        <f>Dataset!B1198</f>
        <v>45355</v>
      </c>
      <c r="C1198" s="6" t="str">
        <f>TRIM(Dataset!C1198)</f>
        <v>C20095</v>
      </c>
      <c r="D1198" s="6" t="str">
        <f>TRIM(Dataset!D1198)</f>
        <v>Monitor</v>
      </c>
      <c r="E1198" s="13">
        <f>VALUE(TRIM(Dataset!E1198))</f>
        <v>2</v>
      </c>
      <c r="F1198" s="10">
        <f>VALUE(TRIM(Dataset!F1198))</f>
        <v>662.53</v>
      </c>
      <c r="G1198" s="6" t="str">
        <f>TRIM(Dataset!G1198)</f>
        <v>778 Main St</v>
      </c>
      <c r="H1198" s="6" t="str">
        <f>TRIM(Dataset!H1198)</f>
        <v>Online</v>
      </c>
      <c r="I1198" s="6" t="str">
        <f>TRIM(Dataset!I1198)</f>
        <v>Cancelled</v>
      </c>
      <c r="J1198" s="6" t="str">
        <f>TRIM(Dataset!J1198)</f>
        <v>TRK69207593</v>
      </c>
      <c r="K1198" s="8" t="str">
        <f>TRIM(Dataset!K1198)</f>
        <v>5</v>
      </c>
      <c r="L1198" s="6" t="s">
        <v>4284</v>
      </c>
      <c r="M1198" s="6" t="str">
        <f>TRIM(Dataset!M1198)</f>
        <v>Facebook</v>
      </c>
      <c r="N1198" s="10">
        <f>VALUE(TRIM(Dataset!N1198))</f>
        <v>1325.06</v>
      </c>
    </row>
    <row r="1199" spans="1:14" x14ac:dyDescent="0.35">
      <c r="A1199" s="6" t="str">
        <f>TRIM(Dataset!A1199)</f>
        <v>ORD201197</v>
      </c>
      <c r="B1199" s="4">
        <f>Dataset!B1199</f>
        <v>45120</v>
      </c>
      <c r="C1199" s="6" t="str">
        <f>TRIM(Dataset!C1199)</f>
        <v>C79674</v>
      </c>
      <c r="D1199" s="6" t="str">
        <f>TRIM(Dataset!D1199)</f>
        <v>Tablet</v>
      </c>
      <c r="E1199" s="13">
        <f>VALUE(TRIM(Dataset!E1199))</f>
        <v>2</v>
      </c>
      <c r="F1199" s="10">
        <f>VALUE(TRIM(Dataset!F1199))</f>
        <v>436.84</v>
      </c>
      <c r="G1199" s="6" t="str">
        <f>TRIM(Dataset!G1199)</f>
        <v>275 Main St</v>
      </c>
      <c r="H1199" s="6" t="str">
        <f>TRIM(Dataset!H1199)</f>
        <v>Online</v>
      </c>
      <c r="I1199" s="6" t="str">
        <f>TRIM(Dataset!I1199)</f>
        <v>Delivered</v>
      </c>
      <c r="J1199" s="6" t="str">
        <f>TRIM(Dataset!J1199)</f>
        <v>TRK88039356</v>
      </c>
      <c r="K1199" s="8" t="str">
        <f>TRIM(Dataset!K1199)</f>
        <v>2</v>
      </c>
      <c r="L1199" s="6" t="str">
        <f>Dataset!L1199</f>
        <v>FREESHIP</v>
      </c>
      <c r="M1199" s="6" t="str">
        <f>TRIM(Dataset!M1199)</f>
        <v>Instagram</v>
      </c>
      <c r="N1199" s="10">
        <f>VALUE(TRIM(Dataset!N1199))</f>
        <v>873.68</v>
      </c>
    </row>
    <row r="1200" spans="1:14" x14ac:dyDescent="0.35">
      <c r="A1200" s="6" t="str">
        <f>TRIM(Dataset!A1200)</f>
        <v>ORD201198</v>
      </c>
      <c r="B1200" s="4">
        <f>Dataset!B1200</f>
        <v>45526</v>
      </c>
      <c r="C1200" s="6" t="str">
        <f>TRIM(Dataset!C1200)</f>
        <v>C64753</v>
      </c>
      <c r="D1200" s="6" t="str">
        <f>TRIM(Dataset!D1200)</f>
        <v>Chair</v>
      </c>
      <c r="E1200" s="13">
        <f>VALUE(TRIM(Dataset!E1200))</f>
        <v>4</v>
      </c>
      <c r="F1200" s="10">
        <f>VALUE(TRIM(Dataset!F1200))</f>
        <v>262.52</v>
      </c>
      <c r="G1200" s="6" t="str">
        <f>TRIM(Dataset!G1200)</f>
        <v>509 Main St</v>
      </c>
      <c r="H1200" s="6" t="str">
        <f>TRIM(Dataset!H1200)</f>
        <v>Debit Card</v>
      </c>
      <c r="I1200" s="6" t="str">
        <f>TRIM(Dataset!I1200)</f>
        <v>Cancelled</v>
      </c>
      <c r="J1200" s="6" t="str">
        <f>TRIM(Dataset!J1200)</f>
        <v>TRK71683331</v>
      </c>
      <c r="K1200" s="8" t="str">
        <f>TRIM(Dataset!K1200)</f>
        <v>4</v>
      </c>
      <c r="L1200" s="6" t="str">
        <f>Dataset!L1200</f>
        <v>WINTER15</v>
      </c>
      <c r="M1200" s="6" t="str">
        <f>TRIM(Dataset!M1200)</f>
        <v>Instagram</v>
      </c>
      <c r="N1200" s="10">
        <f>VALUE(TRIM(Dataset!N1200))</f>
        <v>1050.08</v>
      </c>
    </row>
    <row r="1201" spans="1:14" x14ac:dyDescent="0.35">
      <c r="A1201" s="6" t="str">
        <f>TRIM(Dataset!A1201)</f>
        <v>ORD201199</v>
      </c>
      <c r="B1201" s="4">
        <f>Dataset!B1201</f>
        <v>45088</v>
      </c>
      <c r="C1201" s="6" t="str">
        <f>TRIM(Dataset!C1201)</f>
        <v>C57502</v>
      </c>
      <c r="D1201" s="6" t="str">
        <f>TRIM(Dataset!D1201)</f>
        <v>Tablet</v>
      </c>
      <c r="E1201" s="13">
        <f>VALUE(TRIM(Dataset!E1201))</f>
        <v>4</v>
      </c>
      <c r="F1201" s="10">
        <f>VALUE(TRIM(Dataset!F1201))</f>
        <v>560.58000000000004</v>
      </c>
      <c r="G1201" s="6" t="str">
        <f>TRIM(Dataset!G1201)</f>
        <v>201 Main St</v>
      </c>
      <c r="H1201" s="6" t="str">
        <f>TRIM(Dataset!H1201)</f>
        <v>Gift Card</v>
      </c>
      <c r="I1201" s="6" t="str">
        <f>TRIM(Dataset!I1201)</f>
        <v>Returned</v>
      </c>
      <c r="J1201" s="6" t="str">
        <f>TRIM(Dataset!J1201)</f>
        <v>TRK51116746</v>
      </c>
      <c r="K1201" s="8" t="str">
        <f>TRIM(Dataset!K1201)</f>
        <v>6</v>
      </c>
      <c r="L1201" s="6" t="str">
        <f>Dataset!L1201</f>
        <v>SAVE10</v>
      </c>
      <c r="M1201" s="6" t="str">
        <f>TRIM(Dataset!M1201)</f>
        <v>Referral</v>
      </c>
      <c r="N1201" s="10">
        <f>VALUE(TRIM(Dataset!N1201))</f>
        <v>2242.3200000000002</v>
      </c>
    </row>
    <row r="1202" spans="1:14" x14ac:dyDescent="0.35">
      <c r="D1202" s="6" t="s">
        <v>4286</v>
      </c>
      <c r="E1202" s="13">
        <f>MEDIAN(Table6[Quantity])</f>
        <v>3</v>
      </c>
      <c r="F1202" s="10">
        <f>AVERAGE(Table6[UnitPrice])</f>
        <v>356.41275000000007</v>
      </c>
      <c r="N1202" s="10">
        <f>AVERAGE(Table6[TotalPrice])</f>
        <v>1053.9683000000005</v>
      </c>
    </row>
    <row r="1203" spans="1:14" x14ac:dyDescent="0.35">
      <c r="D1203" s="6" t="s">
        <v>4285</v>
      </c>
      <c r="E1203" s="13">
        <f>MEDIAN(E2:E1201)</f>
        <v>3</v>
      </c>
      <c r="F1203" s="10">
        <f>MEDIAN(F2:F1201)</f>
        <v>364.21</v>
      </c>
      <c r="N1203" s="10">
        <f>MEDIAN(N2:N1201)</f>
        <v>823.61500000000001</v>
      </c>
    </row>
    <row r="1204" spans="1:14" x14ac:dyDescent="0.35">
      <c r="D1204" s="6" t="s">
        <v>4287</v>
      </c>
      <c r="E1204" s="13">
        <f>COUNT(E2:E1201)</f>
        <v>1200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4F821-4E51-4A53-BE48-1E0462B184FA}">
  <dimension ref="A1:N22"/>
  <sheetViews>
    <sheetView workbookViewId="0">
      <selection activeCell="H13" sqref="H13"/>
    </sheetView>
  </sheetViews>
  <sheetFormatPr defaultRowHeight="14.5" x14ac:dyDescent="0.35"/>
  <cols>
    <col min="1" max="1" width="17.81640625" bestFit="1" customWidth="1"/>
    <col min="2" max="2" width="11.26953125" bestFit="1" customWidth="1"/>
    <col min="4" max="4" width="13.90625" bestFit="1" customWidth="1"/>
    <col min="5" max="5" width="11.26953125" bestFit="1" customWidth="1"/>
    <col min="7" max="7" width="13.90625" bestFit="1" customWidth="1"/>
    <col min="8" max="8" width="14.54296875" bestFit="1" customWidth="1"/>
    <col min="9" max="9" width="15.54296875" bestFit="1" customWidth="1"/>
    <col min="10" max="10" width="13.90625" bestFit="1" customWidth="1"/>
    <col min="11" max="11" width="11.26953125" bestFit="1" customWidth="1"/>
  </cols>
  <sheetData>
    <row r="1" spans="1:11" x14ac:dyDescent="0.35">
      <c r="A1" s="20" t="s">
        <v>4290</v>
      </c>
      <c r="B1" s="20"/>
      <c r="D1" s="20" t="s">
        <v>4291</v>
      </c>
      <c r="E1" s="20"/>
      <c r="G1" s="20" t="s">
        <v>4296</v>
      </c>
      <c r="H1" s="20"/>
      <c r="J1" s="20" t="s">
        <v>4301</v>
      </c>
      <c r="K1" s="20"/>
    </row>
    <row r="2" spans="1:11" x14ac:dyDescent="0.35">
      <c r="A2" s="15" t="s">
        <v>3</v>
      </c>
      <c r="B2" t="s">
        <v>4295</v>
      </c>
      <c r="D2" s="15" t="s">
        <v>3</v>
      </c>
      <c r="E2" t="s">
        <v>4289</v>
      </c>
      <c r="G2" s="15" t="s">
        <v>8</v>
      </c>
      <c r="H2" t="s">
        <v>4287</v>
      </c>
      <c r="J2" s="15" t="s">
        <v>3</v>
      </c>
      <c r="K2" t="s">
        <v>4302</v>
      </c>
    </row>
    <row r="3" spans="1:11" x14ac:dyDescent="0.35">
      <c r="A3" s="16" t="s">
        <v>25</v>
      </c>
      <c r="B3" s="21">
        <v>411</v>
      </c>
      <c r="D3" s="16" t="s">
        <v>41</v>
      </c>
      <c r="E3" s="22">
        <v>195620.11000000002</v>
      </c>
      <c r="G3" s="16" t="s">
        <v>50</v>
      </c>
      <c r="H3" s="13">
        <v>231</v>
      </c>
      <c r="J3" s="16" t="s">
        <v>41</v>
      </c>
      <c r="K3" s="11">
        <v>3.1573033707865168</v>
      </c>
    </row>
    <row r="4" spans="1:11" x14ac:dyDescent="0.35">
      <c r="A4" s="16" t="s">
        <v>16</v>
      </c>
      <c r="B4" s="21">
        <v>480</v>
      </c>
      <c r="D4" s="17" t="s">
        <v>48</v>
      </c>
      <c r="E4" s="22">
        <v>195612.60999999996</v>
      </c>
      <c r="G4" s="16" t="s">
        <v>19</v>
      </c>
      <c r="H4" s="13">
        <v>235</v>
      </c>
      <c r="J4" s="16" t="s">
        <v>73</v>
      </c>
      <c r="K4" s="11">
        <v>2.9882352941176471</v>
      </c>
    </row>
    <row r="5" spans="1:11" x14ac:dyDescent="0.35">
      <c r="A5" s="16" t="s">
        <v>32</v>
      </c>
      <c r="B5" s="21">
        <v>497</v>
      </c>
      <c r="D5" s="16" t="s">
        <v>58</v>
      </c>
      <c r="E5" s="22">
        <v>192126.55999999994</v>
      </c>
      <c r="G5" s="16" t="s">
        <v>89</v>
      </c>
      <c r="H5" s="13">
        <v>237</v>
      </c>
      <c r="J5" s="16" t="s">
        <v>58</v>
      </c>
      <c r="K5" s="11">
        <v>3.0924855491329479</v>
      </c>
    </row>
    <row r="6" spans="1:11" x14ac:dyDescent="0.35">
      <c r="A6" s="16" t="s">
        <v>73</v>
      </c>
      <c r="B6" s="21">
        <v>508</v>
      </c>
      <c r="D6" s="16" t="s">
        <v>32</v>
      </c>
      <c r="E6" s="22">
        <v>186568.95000000007</v>
      </c>
      <c r="G6" s="16" t="s">
        <v>43</v>
      </c>
      <c r="H6" s="13">
        <v>247</v>
      </c>
      <c r="J6" s="16" t="s">
        <v>16</v>
      </c>
      <c r="K6" s="11">
        <v>2.9447852760736195</v>
      </c>
    </row>
    <row r="7" spans="1:11" x14ac:dyDescent="0.35">
      <c r="A7" s="16" t="s">
        <v>58</v>
      </c>
      <c r="B7" s="21">
        <v>535</v>
      </c>
      <c r="D7" s="16" t="s">
        <v>16</v>
      </c>
      <c r="E7" s="22">
        <v>175651.40999999997</v>
      </c>
      <c r="G7" s="16" t="s">
        <v>35</v>
      </c>
      <c r="H7" s="13">
        <v>250</v>
      </c>
      <c r="J7" s="16" t="s">
        <v>25</v>
      </c>
      <c r="K7" s="11">
        <v>2.6346153846153846</v>
      </c>
    </row>
    <row r="8" spans="1:11" x14ac:dyDescent="0.35">
      <c r="A8" s="16" t="s">
        <v>48</v>
      </c>
      <c r="B8" s="21">
        <v>542</v>
      </c>
      <c r="D8" s="16" t="s">
        <v>73</v>
      </c>
      <c r="E8" s="22">
        <v>167459.93</v>
      </c>
      <c r="G8" s="16" t="s">
        <v>4288</v>
      </c>
      <c r="H8" s="13">
        <v>1200</v>
      </c>
      <c r="J8" s="16" t="s">
        <v>48</v>
      </c>
      <c r="K8" s="11">
        <v>2.9944751381215471</v>
      </c>
    </row>
    <row r="9" spans="1:11" x14ac:dyDescent="0.35">
      <c r="A9" s="16" t="s">
        <v>41</v>
      </c>
      <c r="B9" s="21">
        <v>562</v>
      </c>
      <c r="D9" s="16" t="s">
        <v>25</v>
      </c>
      <c r="E9" s="22">
        <v>151722.39000000001</v>
      </c>
      <c r="J9" s="16" t="s">
        <v>32</v>
      </c>
      <c r="K9" s="11">
        <v>2.7765363128491618</v>
      </c>
    </row>
    <row r="10" spans="1:11" x14ac:dyDescent="0.35">
      <c r="A10" s="16" t="s">
        <v>4288</v>
      </c>
      <c r="B10" s="21">
        <v>3535</v>
      </c>
      <c r="D10" s="16" t="s">
        <v>4288</v>
      </c>
      <c r="E10" s="10">
        <v>1264761.96</v>
      </c>
      <c r="J10" s="16" t="s">
        <v>4288</v>
      </c>
      <c r="K10" s="11">
        <v>2.9458333333333333</v>
      </c>
    </row>
    <row r="11" spans="1:11" x14ac:dyDescent="0.35">
      <c r="A11" s="16"/>
      <c r="D11" s="16"/>
      <c r="E11" s="10"/>
    </row>
    <row r="12" spans="1:11" x14ac:dyDescent="0.35">
      <c r="A12" s="20" t="s">
        <v>4293</v>
      </c>
      <c r="B12" s="20"/>
      <c r="D12" s="20" t="s">
        <v>4294</v>
      </c>
      <c r="E12" s="20"/>
      <c r="G12" s="20" t="s">
        <v>4300</v>
      </c>
      <c r="H12" s="20"/>
      <c r="J12" s="20" t="s">
        <v>4294</v>
      </c>
      <c r="K12" s="20"/>
    </row>
    <row r="13" spans="1:11" x14ac:dyDescent="0.35">
      <c r="A13" s="15" t="s">
        <v>4292</v>
      </c>
      <c r="B13" t="s">
        <v>4287</v>
      </c>
      <c r="D13" s="15" t="s">
        <v>11</v>
      </c>
      <c r="E13" t="s">
        <v>4287</v>
      </c>
      <c r="G13" s="15" t="s">
        <v>11</v>
      </c>
      <c r="H13" t="s">
        <v>4295</v>
      </c>
      <c r="I13" t="s">
        <v>4289</v>
      </c>
      <c r="J13" s="15" t="s">
        <v>11</v>
      </c>
      <c r="K13" t="s">
        <v>4287</v>
      </c>
    </row>
    <row r="14" spans="1:11" x14ac:dyDescent="0.35">
      <c r="A14" s="16" t="s">
        <v>60</v>
      </c>
      <c r="B14" s="21">
        <v>230</v>
      </c>
      <c r="D14" s="16" t="s">
        <v>37</v>
      </c>
      <c r="E14" s="21">
        <v>313</v>
      </c>
      <c r="G14" s="16" t="s">
        <v>4297</v>
      </c>
      <c r="H14" s="21">
        <v>1524</v>
      </c>
      <c r="I14" s="21">
        <v>552643.23999999976</v>
      </c>
      <c r="J14" s="16" t="s">
        <v>37</v>
      </c>
      <c r="K14" s="18">
        <v>0.26083333333333331</v>
      </c>
    </row>
    <row r="15" spans="1:11" x14ac:dyDescent="0.35">
      <c r="A15" s="16" t="s">
        <v>18</v>
      </c>
      <c r="B15" s="21">
        <v>232</v>
      </c>
      <c r="D15" s="16" t="s">
        <v>4284</v>
      </c>
      <c r="E15" s="21">
        <v>309</v>
      </c>
      <c r="G15" s="16" t="s">
        <v>4298</v>
      </c>
      <c r="H15" s="21">
        <v>1351</v>
      </c>
      <c r="I15" s="21">
        <v>480235.87000000034</v>
      </c>
      <c r="J15" s="16" t="s">
        <v>4284</v>
      </c>
      <c r="K15" s="18">
        <v>0.25750000000000001</v>
      </c>
    </row>
    <row r="16" spans="1:11" x14ac:dyDescent="0.35">
      <c r="A16" s="16" t="s">
        <v>34</v>
      </c>
      <c r="B16" s="21">
        <v>234</v>
      </c>
      <c r="D16" s="16" t="s">
        <v>81</v>
      </c>
      <c r="E16" s="21">
        <v>292</v>
      </c>
      <c r="G16" s="16" t="s">
        <v>4299</v>
      </c>
      <c r="H16" s="21">
        <v>660</v>
      </c>
      <c r="I16" s="21">
        <v>231882.85000000006</v>
      </c>
      <c r="J16" s="16" t="s">
        <v>81</v>
      </c>
      <c r="K16" s="18">
        <v>0.24333333333333335</v>
      </c>
    </row>
    <row r="17" spans="1:14" x14ac:dyDescent="0.35">
      <c r="A17" s="16" t="s">
        <v>65</v>
      </c>
      <c r="B17" s="21">
        <v>246</v>
      </c>
      <c r="D17" s="16" t="s">
        <v>21</v>
      </c>
      <c r="E17" s="21">
        <v>286</v>
      </c>
      <c r="G17" s="16" t="s">
        <v>4288</v>
      </c>
      <c r="H17" s="21">
        <v>3535</v>
      </c>
      <c r="I17" s="21">
        <v>1264761.9600000002</v>
      </c>
      <c r="J17" s="16" t="s">
        <v>21</v>
      </c>
      <c r="K17" s="18">
        <v>0.23833333333333334</v>
      </c>
    </row>
    <row r="18" spans="1:14" x14ac:dyDescent="0.35">
      <c r="A18" s="16" t="s">
        <v>27</v>
      </c>
      <c r="B18" s="21">
        <v>258</v>
      </c>
      <c r="D18" s="16" t="s">
        <v>4288</v>
      </c>
      <c r="E18" s="21">
        <v>1200</v>
      </c>
      <c r="J18" s="16" t="s">
        <v>4288</v>
      </c>
      <c r="K18" s="18">
        <v>1</v>
      </c>
    </row>
    <row r="19" spans="1:14" x14ac:dyDescent="0.35">
      <c r="A19" s="16" t="s">
        <v>4288</v>
      </c>
      <c r="B19" s="21">
        <v>1200</v>
      </c>
      <c r="N19" t="s">
        <v>4283</v>
      </c>
    </row>
    <row r="21" spans="1:14" x14ac:dyDescent="0.35">
      <c r="A21" t="s">
        <v>4308</v>
      </c>
      <c r="B21" t="s">
        <v>4309</v>
      </c>
      <c r="D21" t="s">
        <v>4310</v>
      </c>
    </row>
    <row r="22" spans="1:14" x14ac:dyDescent="0.35">
      <c r="A22" s="22">
        <v>1264761.9600000004</v>
      </c>
      <c r="B22" s="21">
        <v>3535</v>
      </c>
      <c r="D22" s="8">
        <v>1053.9683000000005</v>
      </c>
    </row>
  </sheetData>
  <mergeCells count="8">
    <mergeCell ref="J1:K1"/>
    <mergeCell ref="J12:K12"/>
    <mergeCell ref="A1:B1"/>
    <mergeCell ref="D1:E1"/>
    <mergeCell ref="A12:B12"/>
    <mergeCell ref="D12:E12"/>
    <mergeCell ref="G1:H1"/>
    <mergeCell ref="G12:H12"/>
  </mergeCells>
  <pageMargins left="0.7" right="0.7" top="0.75" bottom="0.75" header="0.3" footer="0.3"/>
  <pageSetup paperSize="9" orientation="portrait"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C3FC0-394F-4B9B-92F7-B529E96D3AAC}">
  <dimension ref="A1"/>
  <sheetViews>
    <sheetView showGridLines="0" tabSelected="1" zoomScale="60" zoomScaleNormal="60" workbookViewId="0">
      <selection activeCell="AF15" sqref="AF1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D20AF-8915-4868-9C1A-77AABF4E2E09}">
  <dimension ref="A2:H1204"/>
  <sheetViews>
    <sheetView workbookViewId="0">
      <selection activeCell="G4" sqref="G4"/>
    </sheetView>
  </sheetViews>
  <sheetFormatPr defaultRowHeight="14.5" x14ac:dyDescent="0.35"/>
  <cols>
    <col min="1" max="2" width="10.90625" customWidth="1"/>
    <col min="4" max="4" width="17.81640625" bestFit="1" customWidth="1"/>
    <col min="5" max="5" width="18" bestFit="1" customWidth="1"/>
    <col min="7" max="7" width="17.81640625" bestFit="1" customWidth="1"/>
    <col min="8" max="8" width="14.54296875" bestFit="1" customWidth="1"/>
  </cols>
  <sheetData>
    <row r="2" spans="1:8" x14ac:dyDescent="0.35">
      <c r="A2" s="20" t="s">
        <v>4303</v>
      </c>
      <c r="B2" s="20"/>
      <c r="D2" s="20" t="s">
        <v>4306</v>
      </c>
      <c r="E2" s="20"/>
      <c r="G2" s="20" t="s">
        <v>4307</v>
      </c>
      <c r="H2" s="20"/>
    </row>
    <row r="3" spans="1:8" x14ac:dyDescent="0.35">
      <c r="A3" s="15" t="s">
        <v>0</v>
      </c>
      <c r="B3" t="s">
        <v>4304</v>
      </c>
      <c r="D3" s="15" t="s">
        <v>3</v>
      </c>
      <c r="E3" t="s">
        <v>4305</v>
      </c>
      <c r="G3" s="15" t="s">
        <v>0</v>
      </c>
      <c r="H3" t="s">
        <v>4295</v>
      </c>
    </row>
    <row r="4" spans="1:8" x14ac:dyDescent="0.35">
      <c r="A4" s="16" t="s">
        <v>2917</v>
      </c>
      <c r="B4" s="19">
        <v>3456.4</v>
      </c>
      <c r="D4" s="16" t="s">
        <v>25</v>
      </c>
      <c r="E4" s="19">
        <v>375.21756410256421</v>
      </c>
      <c r="G4" s="16" t="s">
        <v>3791</v>
      </c>
      <c r="H4">
        <v>5</v>
      </c>
    </row>
    <row r="5" spans="1:8" x14ac:dyDescent="0.35">
      <c r="A5" s="16" t="s">
        <v>4022</v>
      </c>
      <c r="B5" s="19">
        <v>3390.95</v>
      </c>
      <c r="D5" s="16" t="s">
        <v>32</v>
      </c>
      <c r="E5" s="19">
        <v>367.67910614525124</v>
      </c>
      <c r="G5" s="16" t="s">
        <v>3642</v>
      </c>
      <c r="H5">
        <v>5</v>
      </c>
    </row>
    <row r="6" spans="1:8" x14ac:dyDescent="0.35">
      <c r="A6" s="16" t="s">
        <v>2376</v>
      </c>
      <c r="B6" s="19">
        <v>3390.8</v>
      </c>
      <c r="D6" s="16" t="s">
        <v>16</v>
      </c>
      <c r="E6" s="19">
        <v>358.66361963190184</v>
      </c>
      <c r="G6" s="16" t="s">
        <v>3953</v>
      </c>
      <c r="H6">
        <v>5</v>
      </c>
    </row>
    <row r="7" spans="1:8" x14ac:dyDescent="0.35">
      <c r="A7" s="16" t="s">
        <v>1810</v>
      </c>
      <c r="B7" s="19">
        <v>3384.9</v>
      </c>
      <c r="D7" s="16" t="s">
        <v>58</v>
      </c>
      <c r="E7" s="19">
        <v>357.70705202312132</v>
      </c>
      <c r="G7" s="16" t="s">
        <v>3324</v>
      </c>
      <c r="H7">
        <v>5</v>
      </c>
    </row>
    <row r="8" spans="1:8" x14ac:dyDescent="0.35">
      <c r="A8" s="16" t="s">
        <v>1297</v>
      </c>
      <c r="B8" s="19">
        <v>3370.2</v>
      </c>
      <c r="D8" s="16" t="s">
        <v>41</v>
      </c>
      <c r="E8" s="19">
        <v>355.66028089887635</v>
      </c>
      <c r="G8" s="16" t="s">
        <v>3720</v>
      </c>
      <c r="H8">
        <v>5</v>
      </c>
    </row>
    <row r="9" spans="1:8" x14ac:dyDescent="0.35">
      <c r="A9" s="16" t="s">
        <v>460</v>
      </c>
      <c r="B9" s="19">
        <v>3353.75</v>
      </c>
      <c r="D9" s="16" t="s">
        <v>48</v>
      </c>
      <c r="E9" s="19">
        <v>351.71491712707206</v>
      </c>
      <c r="G9" s="16" t="s">
        <v>3336</v>
      </c>
      <c r="H9">
        <v>5</v>
      </c>
    </row>
    <row r="10" spans="1:8" x14ac:dyDescent="0.35">
      <c r="A10" s="16" t="s">
        <v>1291</v>
      </c>
      <c r="B10" s="19">
        <v>3352.4</v>
      </c>
      <c r="D10" s="16" t="s">
        <v>73</v>
      </c>
      <c r="E10" s="19">
        <v>329.60811764705858</v>
      </c>
      <c r="G10" s="16" t="s">
        <v>3880</v>
      </c>
      <c r="H10">
        <v>5</v>
      </c>
    </row>
    <row r="11" spans="1:8" x14ac:dyDescent="0.35">
      <c r="A11" s="16" t="s">
        <v>3836</v>
      </c>
      <c r="B11" s="19">
        <v>3334</v>
      </c>
      <c r="D11" s="16" t="s">
        <v>4288</v>
      </c>
      <c r="E11">
        <v>356.41275000000002</v>
      </c>
      <c r="G11" s="16" t="s">
        <v>3342</v>
      </c>
      <c r="H11">
        <v>5</v>
      </c>
    </row>
    <row r="12" spans="1:8" x14ac:dyDescent="0.35">
      <c r="A12" s="16" t="s">
        <v>3720</v>
      </c>
      <c r="B12" s="19">
        <v>3322.55</v>
      </c>
      <c r="G12" s="16" t="s">
        <v>4100</v>
      </c>
      <c r="H12">
        <v>5</v>
      </c>
    </row>
    <row r="13" spans="1:8" x14ac:dyDescent="0.35">
      <c r="A13" s="16" t="s">
        <v>1788</v>
      </c>
      <c r="B13" s="19">
        <v>3313.9</v>
      </c>
      <c r="G13" s="16" t="s">
        <v>3352</v>
      </c>
      <c r="H13">
        <v>5</v>
      </c>
    </row>
    <row r="14" spans="1:8" x14ac:dyDescent="0.35">
      <c r="A14" s="16" t="s">
        <v>1425</v>
      </c>
      <c r="B14" s="19">
        <v>3299.25</v>
      </c>
      <c r="G14" s="16" t="s">
        <v>3671</v>
      </c>
      <c r="H14">
        <v>5</v>
      </c>
    </row>
    <row r="15" spans="1:8" x14ac:dyDescent="0.35">
      <c r="A15" s="16" t="s">
        <v>1446</v>
      </c>
      <c r="B15" s="19">
        <v>3293.85</v>
      </c>
      <c r="G15" s="16" t="s">
        <v>3355</v>
      </c>
      <c r="H15">
        <v>5</v>
      </c>
    </row>
    <row r="16" spans="1:8" x14ac:dyDescent="0.35">
      <c r="A16" s="16" t="s">
        <v>3086</v>
      </c>
      <c r="B16" s="19">
        <v>3277.75</v>
      </c>
      <c r="G16" s="16" t="s">
        <v>3302</v>
      </c>
      <c r="H16">
        <v>5</v>
      </c>
    </row>
    <row r="17" spans="1:8" x14ac:dyDescent="0.35">
      <c r="A17" s="16" t="s">
        <v>2013</v>
      </c>
      <c r="B17" s="19">
        <v>3267.35</v>
      </c>
      <c r="G17" s="16" t="s">
        <v>3359</v>
      </c>
      <c r="H17">
        <v>5</v>
      </c>
    </row>
    <row r="18" spans="1:8" x14ac:dyDescent="0.35">
      <c r="A18" s="16" t="s">
        <v>2843</v>
      </c>
      <c r="B18" s="19">
        <v>3267.3</v>
      </c>
      <c r="G18" s="16" t="s">
        <v>3827</v>
      </c>
      <c r="H18">
        <v>5</v>
      </c>
    </row>
    <row r="19" spans="1:8" x14ac:dyDescent="0.35">
      <c r="A19" s="16" t="s">
        <v>3265</v>
      </c>
      <c r="B19" s="19">
        <v>3253.6</v>
      </c>
      <c r="G19" s="16" t="s">
        <v>3379</v>
      </c>
      <c r="H19">
        <v>5</v>
      </c>
    </row>
    <row r="20" spans="1:8" x14ac:dyDescent="0.35">
      <c r="A20" s="16" t="s">
        <v>2060</v>
      </c>
      <c r="B20" s="19">
        <v>3243.25</v>
      </c>
      <c r="G20" s="16" t="s">
        <v>3923</v>
      </c>
      <c r="H20">
        <v>5</v>
      </c>
    </row>
    <row r="21" spans="1:8" x14ac:dyDescent="0.35">
      <c r="A21" s="16" t="s">
        <v>2963</v>
      </c>
      <c r="B21" s="19">
        <v>3223.2</v>
      </c>
      <c r="G21" s="16" t="s">
        <v>3382</v>
      </c>
      <c r="H21">
        <v>5</v>
      </c>
    </row>
    <row r="22" spans="1:8" x14ac:dyDescent="0.35">
      <c r="A22" s="16" t="s">
        <v>3481</v>
      </c>
      <c r="B22" s="19">
        <v>3219.45</v>
      </c>
      <c r="G22" s="16" t="s">
        <v>4035</v>
      </c>
      <c r="H22">
        <v>5</v>
      </c>
    </row>
    <row r="23" spans="1:8" x14ac:dyDescent="0.35">
      <c r="A23" s="16" t="s">
        <v>377</v>
      </c>
      <c r="B23" s="19">
        <v>3215.15</v>
      </c>
      <c r="G23" s="16" t="s">
        <v>3433</v>
      </c>
      <c r="H23">
        <v>5</v>
      </c>
    </row>
    <row r="24" spans="1:8" x14ac:dyDescent="0.35">
      <c r="A24" s="16" t="s">
        <v>894</v>
      </c>
      <c r="B24" s="19">
        <v>3196.85</v>
      </c>
      <c r="G24" s="16" t="s">
        <v>4212</v>
      </c>
      <c r="H24">
        <v>5</v>
      </c>
    </row>
    <row r="25" spans="1:8" x14ac:dyDescent="0.35">
      <c r="A25" s="16" t="s">
        <v>3513</v>
      </c>
      <c r="B25" s="19">
        <v>3194.6</v>
      </c>
      <c r="G25" s="16" t="s">
        <v>3445</v>
      </c>
      <c r="H25">
        <v>5</v>
      </c>
    </row>
    <row r="26" spans="1:8" x14ac:dyDescent="0.35">
      <c r="A26" s="16" t="s">
        <v>1178</v>
      </c>
      <c r="B26" s="19">
        <v>3194</v>
      </c>
      <c r="G26" s="16" t="s">
        <v>3665</v>
      </c>
      <c r="H26">
        <v>5</v>
      </c>
    </row>
    <row r="27" spans="1:8" x14ac:dyDescent="0.35">
      <c r="A27" s="16" t="s">
        <v>3880</v>
      </c>
      <c r="B27" s="19">
        <v>3170</v>
      </c>
      <c r="G27" s="16" t="s">
        <v>3456</v>
      </c>
      <c r="H27">
        <v>5</v>
      </c>
    </row>
    <row r="28" spans="1:8" x14ac:dyDescent="0.35">
      <c r="A28" s="16" t="s">
        <v>1436</v>
      </c>
      <c r="B28" s="19">
        <v>3143.7</v>
      </c>
      <c r="G28" s="16" t="s">
        <v>3695</v>
      </c>
      <c r="H28">
        <v>5</v>
      </c>
    </row>
    <row r="29" spans="1:8" x14ac:dyDescent="0.35">
      <c r="A29" s="16" t="s">
        <v>2830</v>
      </c>
      <c r="B29" s="19">
        <v>3137.15</v>
      </c>
      <c r="G29" s="16" t="s">
        <v>3481</v>
      </c>
      <c r="H29">
        <v>5</v>
      </c>
    </row>
    <row r="30" spans="1:8" x14ac:dyDescent="0.35">
      <c r="A30" s="16" t="s">
        <v>77</v>
      </c>
      <c r="B30" s="19">
        <v>3129.85</v>
      </c>
      <c r="G30" s="16" t="s">
        <v>3769</v>
      </c>
      <c r="H30">
        <v>5</v>
      </c>
    </row>
    <row r="31" spans="1:8" x14ac:dyDescent="0.35">
      <c r="A31" s="16" t="s">
        <v>3027</v>
      </c>
      <c r="B31" s="19">
        <v>3119.05</v>
      </c>
      <c r="G31" s="16" t="s">
        <v>3500</v>
      </c>
      <c r="H31">
        <v>5</v>
      </c>
    </row>
    <row r="32" spans="1:8" x14ac:dyDescent="0.35">
      <c r="A32" s="16" t="s">
        <v>420</v>
      </c>
      <c r="B32" s="19">
        <v>3097.6</v>
      </c>
      <c r="G32" s="16" t="s">
        <v>3788</v>
      </c>
      <c r="H32">
        <v>5</v>
      </c>
    </row>
    <row r="33" spans="1:8" x14ac:dyDescent="0.35">
      <c r="A33" s="16" t="s">
        <v>970</v>
      </c>
      <c r="B33" s="19">
        <v>3078.35</v>
      </c>
      <c r="G33" s="16" t="s">
        <v>3503</v>
      </c>
      <c r="H33">
        <v>5</v>
      </c>
    </row>
    <row r="34" spans="1:8" x14ac:dyDescent="0.35">
      <c r="A34" s="16" t="s">
        <v>1741</v>
      </c>
      <c r="B34" s="19">
        <v>3075.5</v>
      </c>
      <c r="G34" s="16" t="s">
        <v>3824</v>
      </c>
      <c r="H34">
        <v>5</v>
      </c>
    </row>
    <row r="35" spans="1:8" x14ac:dyDescent="0.35">
      <c r="A35" s="16" t="s">
        <v>3218</v>
      </c>
      <c r="B35" s="19">
        <v>3044.55</v>
      </c>
      <c r="G35" s="16" t="s">
        <v>3509</v>
      </c>
      <c r="H35">
        <v>5</v>
      </c>
    </row>
    <row r="36" spans="1:8" x14ac:dyDescent="0.35">
      <c r="A36" s="16" t="s">
        <v>1892</v>
      </c>
      <c r="B36" s="19">
        <v>3032.6</v>
      </c>
      <c r="G36" s="16" t="s">
        <v>3836</v>
      </c>
      <c r="H36">
        <v>5</v>
      </c>
    </row>
    <row r="37" spans="1:8" x14ac:dyDescent="0.35">
      <c r="A37" s="16" t="s">
        <v>2379</v>
      </c>
      <c r="B37" s="19">
        <v>3008.6</v>
      </c>
      <c r="G37" s="16" t="s">
        <v>3513</v>
      </c>
      <c r="H37">
        <v>5</v>
      </c>
    </row>
    <row r="38" spans="1:8" x14ac:dyDescent="0.35">
      <c r="A38" s="16" t="s">
        <v>2715</v>
      </c>
      <c r="B38" s="19">
        <v>2922.3</v>
      </c>
      <c r="G38" s="16" t="s">
        <v>3883</v>
      </c>
      <c r="H38">
        <v>5</v>
      </c>
    </row>
    <row r="39" spans="1:8" x14ac:dyDescent="0.35">
      <c r="A39" s="16" t="s">
        <v>3352</v>
      </c>
      <c r="B39" s="19">
        <v>2894.15</v>
      </c>
      <c r="G39" s="16" t="s">
        <v>3535</v>
      </c>
      <c r="H39">
        <v>5</v>
      </c>
    </row>
    <row r="40" spans="1:8" x14ac:dyDescent="0.35">
      <c r="A40" s="16" t="s">
        <v>1962</v>
      </c>
      <c r="B40" s="19">
        <v>2876.2</v>
      </c>
      <c r="G40" s="16" t="s">
        <v>3942</v>
      </c>
      <c r="H40">
        <v>5</v>
      </c>
    </row>
    <row r="41" spans="1:8" x14ac:dyDescent="0.35">
      <c r="A41" s="16" t="s">
        <v>3013</v>
      </c>
      <c r="B41" s="19">
        <v>2873.95</v>
      </c>
      <c r="G41" s="16" t="s">
        <v>3538</v>
      </c>
      <c r="H41">
        <v>5</v>
      </c>
    </row>
    <row r="42" spans="1:8" x14ac:dyDescent="0.35">
      <c r="A42" s="16" t="s">
        <v>14</v>
      </c>
      <c r="B42" s="19">
        <v>2853.1</v>
      </c>
      <c r="G42" s="16" t="s">
        <v>4022</v>
      </c>
      <c r="H42">
        <v>5</v>
      </c>
    </row>
    <row r="43" spans="1:8" x14ac:dyDescent="0.35">
      <c r="A43" s="16" t="s">
        <v>2189</v>
      </c>
      <c r="B43" s="19">
        <v>2830.35</v>
      </c>
      <c r="G43" s="16" t="s">
        <v>3581</v>
      </c>
      <c r="H43">
        <v>5</v>
      </c>
    </row>
    <row r="44" spans="1:8" x14ac:dyDescent="0.35">
      <c r="A44" s="16" t="s">
        <v>3241</v>
      </c>
      <c r="B44" s="19">
        <v>2807.4</v>
      </c>
      <c r="G44" s="16" t="s">
        <v>4093</v>
      </c>
      <c r="H44">
        <v>5</v>
      </c>
    </row>
    <row r="45" spans="1:8" x14ac:dyDescent="0.35">
      <c r="A45" s="16" t="s">
        <v>3630</v>
      </c>
      <c r="B45" s="19">
        <v>2799.52</v>
      </c>
      <c r="G45" s="16" t="s">
        <v>3595</v>
      </c>
      <c r="H45">
        <v>5</v>
      </c>
    </row>
    <row r="46" spans="1:8" x14ac:dyDescent="0.35">
      <c r="A46" s="16" t="s">
        <v>2361</v>
      </c>
      <c r="B46" s="19">
        <v>2793.15</v>
      </c>
      <c r="G46" s="16" t="s">
        <v>4161</v>
      </c>
      <c r="H46">
        <v>5</v>
      </c>
    </row>
    <row r="47" spans="1:8" x14ac:dyDescent="0.35">
      <c r="A47" s="16" t="s">
        <v>1523</v>
      </c>
      <c r="B47" s="19">
        <v>2790</v>
      </c>
      <c r="G47" s="16" t="s">
        <v>3623</v>
      </c>
      <c r="H47">
        <v>5</v>
      </c>
    </row>
    <row r="48" spans="1:8" x14ac:dyDescent="0.35">
      <c r="A48" s="16" t="s">
        <v>4125</v>
      </c>
      <c r="B48" s="19">
        <v>2786.84</v>
      </c>
      <c r="G48" s="16" t="s">
        <v>4245</v>
      </c>
      <c r="H48">
        <v>5</v>
      </c>
    </row>
    <row r="49" spans="1:8" x14ac:dyDescent="0.35">
      <c r="A49" s="16" t="s">
        <v>4085</v>
      </c>
      <c r="B49" s="19">
        <v>2780.4</v>
      </c>
      <c r="G49" s="16" t="s">
        <v>3633</v>
      </c>
      <c r="H49">
        <v>5</v>
      </c>
    </row>
    <row r="50" spans="1:8" x14ac:dyDescent="0.35">
      <c r="A50" s="16" t="s">
        <v>897</v>
      </c>
      <c r="B50" s="19">
        <v>2773.44</v>
      </c>
      <c r="G50" s="16" t="s">
        <v>3785</v>
      </c>
      <c r="H50">
        <v>5</v>
      </c>
    </row>
    <row r="51" spans="1:8" x14ac:dyDescent="0.35">
      <c r="A51" s="16" t="s">
        <v>3906</v>
      </c>
      <c r="B51" s="19">
        <v>2772.28</v>
      </c>
      <c r="G51" s="16" t="s">
        <v>2917</v>
      </c>
      <c r="H51">
        <v>5</v>
      </c>
    </row>
    <row r="52" spans="1:8" x14ac:dyDescent="0.35">
      <c r="A52" s="16" t="s">
        <v>901</v>
      </c>
      <c r="B52" s="19">
        <v>2771.64</v>
      </c>
      <c r="G52" s="16" t="s">
        <v>3146</v>
      </c>
      <c r="H52">
        <v>5</v>
      </c>
    </row>
    <row r="53" spans="1:8" x14ac:dyDescent="0.35">
      <c r="A53" s="16" t="s">
        <v>4135</v>
      </c>
      <c r="B53" s="19">
        <v>2763.12</v>
      </c>
      <c r="G53" s="16" t="s">
        <v>3002</v>
      </c>
      <c r="H53">
        <v>5</v>
      </c>
    </row>
    <row r="54" spans="1:8" x14ac:dyDescent="0.35">
      <c r="A54" s="16" t="s">
        <v>1817</v>
      </c>
      <c r="B54" s="19">
        <v>2756.35</v>
      </c>
      <c r="G54" s="16" t="s">
        <v>2268</v>
      </c>
      <c r="H54">
        <v>5</v>
      </c>
    </row>
    <row r="55" spans="1:8" x14ac:dyDescent="0.35">
      <c r="A55" s="16" t="s">
        <v>30</v>
      </c>
      <c r="B55" s="19">
        <v>2753.4</v>
      </c>
      <c r="G55" s="16" t="s">
        <v>2843</v>
      </c>
      <c r="H55">
        <v>5</v>
      </c>
    </row>
    <row r="56" spans="1:8" x14ac:dyDescent="0.35">
      <c r="A56" s="16" t="s">
        <v>3871</v>
      </c>
      <c r="B56" s="19">
        <v>2746.44</v>
      </c>
      <c r="G56" s="16" t="s">
        <v>2292</v>
      </c>
      <c r="H56">
        <v>5</v>
      </c>
    </row>
    <row r="57" spans="1:8" x14ac:dyDescent="0.35">
      <c r="A57" s="16" t="s">
        <v>1644</v>
      </c>
      <c r="B57" s="19">
        <v>2740.8</v>
      </c>
      <c r="G57" s="16" t="s">
        <v>2967</v>
      </c>
      <c r="H57">
        <v>5</v>
      </c>
    </row>
    <row r="58" spans="1:8" x14ac:dyDescent="0.35">
      <c r="A58" s="16" t="s">
        <v>2292</v>
      </c>
      <c r="B58" s="19">
        <v>2715.8</v>
      </c>
      <c r="G58" s="16" t="s">
        <v>2300</v>
      </c>
      <c r="H58">
        <v>5</v>
      </c>
    </row>
    <row r="59" spans="1:8" x14ac:dyDescent="0.35">
      <c r="A59" s="16" t="s">
        <v>2847</v>
      </c>
      <c r="B59" s="19">
        <v>2714.2</v>
      </c>
      <c r="G59" s="16" t="s">
        <v>3069</v>
      </c>
      <c r="H59">
        <v>5</v>
      </c>
    </row>
    <row r="60" spans="1:8" x14ac:dyDescent="0.35">
      <c r="A60" s="16" t="s">
        <v>3178</v>
      </c>
      <c r="B60" s="19">
        <v>2709.48</v>
      </c>
      <c r="G60" s="16" t="s">
        <v>2316</v>
      </c>
      <c r="H60">
        <v>5</v>
      </c>
    </row>
    <row r="61" spans="1:8" x14ac:dyDescent="0.35">
      <c r="A61" s="16" t="s">
        <v>167</v>
      </c>
      <c r="B61" s="19">
        <v>2683.6</v>
      </c>
      <c r="G61" s="16" t="s">
        <v>3182</v>
      </c>
      <c r="H61">
        <v>5</v>
      </c>
    </row>
    <row r="62" spans="1:8" x14ac:dyDescent="0.35">
      <c r="A62" s="16" t="s">
        <v>679</v>
      </c>
      <c r="B62" s="19">
        <v>2682.9</v>
      </c>
      <c r="G62" s="16" t="s">
        <v>2338</v>
      </c>
      <c r="H62">
        <v>5</v>
      </c>
    </row>
    <row r="63" spans="1:8" x14ac:dyDescent="0.35">
      <c r="A63" s="16" t="s">
        <v>1013</v>
      </c>
      <c r="B63" s="19">
        <v>2673.44</v>
      </c>
      <c r="G63" s="16" t="s">
        <v>2889</v>
      </c>
      <c r="H63">
        <v>5</v>
      </c>
    </row>
    <row r="64" spans="1:8" x14ac:dyDescent="0.35">
      <c r="A64" s="16" t="s">
        <v>2588</v>
      </c>
      <c r="B64" s="19">
        <v>2666.08</v>
      </c>
      <c r="G64" s="16" t="s">
        <v>2341</v>
      </c>
      <c r="H64">
        <v>5</v>
      </c>
    </row>
    <row r="65" spans="1:8" x14ac:dyDescent="0.35">
      <c r="A65" s="16" t="s">
        <v>1076</v>
      </c>
      <c r="B65" s="19">
        <v>2654.68</v>
      </c>
      <c r="G65" s="16" t="s">
        <v>2950</v>
      </c>
      <c r="H65">
        <v>5</v>
      </c>
    </row>
    <row r="66" spans="1:8" x14ac:dyDescent="0.35">
      <c r="A66" s="16" t="s">
        <v>702</v>
      </c>
      <c r="B66" s="19">
        <v>2651.76</v>
      </c>
      <c r="G66" s="16" t="s">
        <v>2348</v>
      </c>
      <c r="H66">
        <v>5</v>
      </c>
    </row>
    <row r="67" spans="1:8" x14ac:dyDescent="0.35">
      <c r="A67" s="16" t="s">
        <v>3500</v>
      </c>
      <c r="B67" s="19">
        <v>2651.7</v>
      </c>
      <c r="G67" s="16" t="s">
        <v>2978</v>
      </c>
      <c r="H67">
        <v>5</v>
      </c>
    </row>
    <row r="68" spans="1:8" x14ac:dyDescent="0.35">
      <c r="A68" s="16" t="s">
        <v>1540</v>
      </c>
      <c r="B68" s="19">
        <v>2647.75</v>
      </c>
      <c r="G68" s="16" t="s">
        <v>2361</v>
      </c>
      <c r="H68">
        <v>5</v>
      </c>
    </row>
    <row r="69" spans="1:8" x14ac:dyDescent="0.35">
      <c r="A69" s="16" t="s">
        <v>2001</v>
      </c>
      <c r="B69" s="19">
        <v>2631.16</v>
      </c>
      <c r="G69" s="16" t="s">
        <v>3027</v>
      </c>
      <c r="H69">
        <v>5</v>
      </c>
    </row>
    <row r="70" spans="1:8" x14ac:dyDescent="0.35">
      <c r="A70" s="16" t="s">
        <v>2889</v>
      </c>
      <c r="B70" s="19">
        <v>2621.3000000000002</v>
      </c>
      <c r="G70" s="16" t="s">
        <v>2369</v>
      </c>
      <c r="H70">
        <v>5</v>
      </c>
    </row>
    <row r="71" spans="1:8" x14ac:dyDescent="0.35">
      <c r="A71" s="16" t="s">
        <v>1145</v>
      </c>
      <c r="B71" s="19">
        <v>2620.7199999999998</v>
      </c>
      <c r="G71" s="16" t="s">
        <v>3076</v>
      </c>
      <c r="H71">
        <v>5</v>
      </c>
    </row>
    <row r="72" spans="1:8" x14ac:dyDescent="0.35">
      <c r="A72" s="16" t="s">
        <v>1123</v>
      </c>
      <c r="B72" s="19">
        <v>2619.16</v>
      </c>
      <c r="G72" s="16" t="s">
        <v>2376</v>
      </c>
      <c r="H72">
        <v>5</v>
      </c>
    </row>
    <row r="73" spans="1:8" x14ac:dyDescent="0.35">
      <c r="A73" s="16" t="s">
        <v>3036</v>
      </c>
      <c r="B73" s="19">
        <v>2612.52</v>
      </c>
      <c r="G73" s="16" t="s">
        <v>3158</v>
      </c>
      <c r="H73">
        <v>5</v>
      </c>
    </row>
    <row r="74" spans="1:8" x14ac:dyDescent="0.35">
      <c r="A74" s="16" t="s">
        <v>2547</v>
      </c>
      <c r="B74" s="19">
        <v>2609.92</v>
      </c>
      <c r="G74" s="16" t="s">
        <v>2379</v>
      </c>
      <c r="H74">
        <v>5</v>
      </c>
    </row>
    <row r="75" spans="1:8" x14ac:dyDescent="0.35">
      <c r="A75" s="16" t="s">
        <v>1342</v>
      </c>
      <c r="B75" s="19">
        <v>2606.25</v>
      </c>
      <c r="G75" s="16" t="s">
        <v>3218</v>
      </c>
      <c r="H75">
        <v>5</v>
      </c>
    </row>
    <row r="76" spans="1:8" x14ac:dyDescent="0.35">
      <c r="A76" s="16" t="s">
        <v>2632</v>
      </c>
      <c r="B76" s="19">
        <v>2600.16</v>
      </c>
      <c r="G76" s="16" t="s">
        <v>2409</v>
      </c>
      <c r="H76">
        <v>5</v>
      </c>
    </row>
    <row r="77" spans="1:8" x14ac:dyDescent="0.35">
      <c r="A77" s="16" t="s">
        <v>3547</v>
      </c>
      <c r="B77" s="19">
        <v>2597.88</v>
      </c>
      <c r="G77" s="16" t="s">
        <v>2875</v>
      </c>
      <c r="H77">
        <v>5</v>
      </c>
    </row>
    <row r="78" spans="1:8" x14ac:dyDescent="0.35">
      <c r="A78" s="16" t="s">
        <v>3930</v>
      </c>
      <c r="B78" s="19">
        <v>2595.64</v>
      </c>
      <c r="G78" s="16" t="s">
        <v>2444</v>
      </c>
      <c r="H78">
        <v>5</v>
      </c>
    </row>
    <row r="79" spans="1:8" x14ac:dyDescent="0.35">
      <c r="A79" s="16" t="s">
        <v>4212</v>
      </c>
      <c r="B79" s="19">
        <v>2592.75</v>
      </c>
      <c r="G79" s="16" t="s">
        <v>2905</v>
      </c>
      <c r="H79">
        <v>5</v>
      </c>
    </row>
    <row r="80" spans="1:8" x14ac:dyDescent="0.35">
      <c r="A80" s="16" t="s">
        <v>3578</v>
      </c>
      <c r="B80" s="19">
        <v>2579.84</v>
      </c>
      <c r="G80" s="16" t="s">
        <v>2508</v>
      </c>
      <c r="H80">
        <v>5</v>
      </c>
    </row>
    <row r="81" spans="1:8" x14ac:dyDescent="0.35">
      <c r="A81" s="16" t="s">
        <v>2219</v>
      </c>
      <c r="B81" s="19">
        <v>2573</v>
      </c>
      <c r="G81" s="16" t="s">
        <v>2932</v>
      </c>
      <c r="H81">
        <v>5</v>
      </c>
    </row>
    <row r="82" spans="1:8" x14ac:dyDescent="0.35">
      <c r="A82" s="16" t="s">
        <v>1796</v>
      </c>
      <c r="B82" s="19">
        <v>2567.4499999999998</v>
      </c>
      <c r="G82" s="16" t="s">
        <v>2527</v>
      </c>
      <c r="H82">
        <v>5</v>
      </c>
    </row>
    <row r="83" spans="1:8" x14ac:dyDescent="0.35">
      <c r="A83" s="16" t="s">
        <v>1127</v>
      </c>
      <c r="B83" s="19">
        <v>2551.16</v>
      </c>
      <c r="G83" s="16" t="s">
        <v>2963</v>
      </c>
      <c r="H83">
        <v>5</v>
      </c>
    </row>
    <row r="84" spans="1:8" x14ac:dyDescent="0.35">
      <c r="A84" s="16" t="s">
        <v>1725</v>
      </c>
      <c r="B84" s="19">
        <v>2547.9</v>
      </c>
      <c r="G84" s="16" t="s">
        <v>2581</v>
      </c>
      <c r="H84">
        <v>5</v>
      </c>
    </row>
    <row r="85" spans="1:8" x14ac:dyDescent="0.35">
      <c r="A85" s="16" t="s">
        <v>1527</v>
      </c>
      <c r="B85" s="19">
        <v>2543.4499999999998</v>
      </c>
      <c r="G85" s="16" t="s">
        <v>2974</v>
      </c>
      <c r="H85">
        <v>5</v>
      </c>
    </row>
    <row r="86" spans="1:8" x14ac:dyDescent="0.35">
      <c r="A86" s="16" t="s">
        <v>1921</v>
      </c>
      <c r="B86" s="19">
        <v>2542.9499999999998</v>
      </c>
      <c r="G86" s="16" t="s">
        <v>2591</v>
      </c>
      <c r="H86">
        <v>5</v>
      </c>
    </row>
    <row r="87" spans="1:8" x14ac:dyDescent="0.35">
      <c r="A87" s="16" t="s">
        <v>4093</v>
      </c>
      <c r="B87" s="19">
        <v>2539.6999999999998</v>
      </c>
      <c r="G87" s="16" t="s">
        <v>2989</v>
      </c>
      <c r="H87">
        <v>5</v>
      </c>
    </row>
    <row r="88" spans="1:8" x14ac:dyDescent="0.35">
      <c r="A88" s="16" t="s">
        <v>2288</v>
      </c>
      <c r="B88" s="19">
        <v>2536.1999999999998</v>
      </c>
      <c r="G88" s="16" t="s">
        <v>2598</v>
      </c>
      <c r="H88">
        <v>5</v>
      </c>
    </row>
    <row r="89" spans="1:8" x14ac:dyDescent="0.35">
      <c r="A89" s="16" t="s">
        <v>3942</v>
      </c>
      <c r="B89" s="19">
        <v>2532.25</v>
      </c>
      <c r="G89" s="16" t="s">
        <v>3013</v>
      </c>
      <c r="H89">
        <v>5</v>
      </c>
    </row>
    <row r="90" spans="1:8" x14ac:dyDescent="0.35">
      <c r="A90" s="16" t="s">
        <v>2091</v>
      </c>
      <c r="B90" s="19">
        <v>2519.52</v>
      </c>
      <c r="G90" s="16" t="s">
        <v>2629</v>
      </c>
      <c r="H90">
        <v>5</v>
      </c>
    </row>
    <row r="91" spans="1:8" x14ac:dyDescent="0.35">
      <c r="A91" s="16" t="s">
        <v>3205</v>
      </c>
      <c r="B91" s="19">
        <v>2517.36</v>
      </c>
      <c r="G91" s="16" t="s">
        <v>3044</v>
      </c>
      <c r="H91">
        <v>5</v>
      </c>
    </row>
    <row r="92" spans="1:8" x14ac:dyDescent="0.35">
      <c r="A92" s="16" t="s">
        <v>512</v>
      </c>
      <c r="B92" s="19">
        <v>2517.36</v>
      </c>
      <c r="G92" s="16" t="s">
        <v>2642</v>
      </c>
      <c r="H92">
        <v>5</v>
      </c>
    </row>
    <row r="93" spans="1:8" x14ac:dyDescent="0.35">
      <c r="A93" s="16" t="s">
        <v>504</v>
      </c>
      <c r="B93" s="19">
        <v>2513.5500000000002</v>
      </c>
      <c r="G93" s="16" t="s">
        <v>3072</v>
      </c>
      <c r="H93">
        <v>5</v>
      </c>
    </row>
    <row r="94" spans="1:8" x14ac:dyDescent="0.35">
      <c r="A94" s="16" t="s">
        <v>2122</v>
      </c>
      <c r="B94" s="19">
        <v>2512.48</v>
      </c>
      <c r="G94" s="16" t="s">
        <v>2678</v>
      </c>
      <c r="H94">
        <v>5</v>
      </c>
    </row>
    <row r="95" spans="1:8" x14ac:dyDescent="0.35">
      <c r="A95" s="16" t="s">
        <v>3382</v>
      </c>
      <c r="B95" s="19">
        <v>2512.35</v>
      </c>
      <c r="G95" s="16" t="s">
        <v>3086</v>
      </c>
      <c r="H95">
        <v>5</v>
      </c>
    </row>
    <row r="96" spans="1:8" x14ac:dyDescent="0.35">
      <c r="A96" s="16" t="s">
        <v>1362</v>
      </c>
      <c r="B96" s="19">
        <v>2506.3000000000002</v>
      </c>
      <c r="G96" s="16" t="s">
        <v>2702</v>
      </c>
      <c r="H96">
        <v>5</v>
      </c>
    </row>
    <row r="97" spans="1:8" x14ac:dyDescent="0.35">
      <c r="A97" s="16" t="s">
        <v>46</v>
      </c>
      <c r="B97" s="19">
        <v>2504.04</v>
      </c>
      <c r="G97" s="16" t="s">
        <v>3155</v>
      </c>
      <c r="H97">
        <v>5</v>
      </c>
    </row>
    <row r="98" spans="1:8" x14ac:dyDescent="0.35">
      <c r="A98" s="16" t="s">
        <v>488</v>
      </c>
      <c r="B98" s="19">
        <v>2492.4</v>
      </c>
      <c r="G98" s="16" t="s">
        <v>2715</v>
      </c>
      <c r="H98">
        <v>5</v>
      </c>
    </row>
    <row r="99" spans="1:8" x14ac:dyDescent="0.35">
      <c r="A99" s="16" t="s">
        <v>2259</v>
      </c>
      <c r="B99" s="19">
        <v>2476.75</v>
      </c>
      <c r="G99" s="16" t="s">
        <v>3164</v>
      </c>
      <c r="H99">
        <v>5</v>
      </c>
    </row>
    <row r="100" spans="1:8" x14ac:dyDescent="0.35">
      <c r="A100" s="16" t="s">
        <v>2155</v>
      </c>
      <c r="B100" s="19">
        <v>2464.6999999999998</v>
      </c>
      <c r="G100" s="16" t="s">
        <v>2731</v>
      </c>
      <c r="H100">
        <v>5</v>
      </c>
    </row>
    <row r="101" spans="1:8" x14ac:dyDescent="0.35">
      <c r="A101" s="16" t="s">
        <v>397</v>
      </c>
      <c r="B101" s="19">
        <v>2463.75</v>
      </c>
      <c r="G101" s="16" t="s">
        <v>3215</v>
      </c>
      <c r="H101">
        <v>5</v>
      </c>
    </row>
    <row r="102" spans="1:8" x14ac:dyDescent="0.35">
      <c r="A102" s="16" t="s">
        <v>1767</v>
      </c>
      <c r="B102" s="19">
        <v>2463.3200000000002</v>
      </c>
      <c r="G102" s="16" t="s">
        <v>2748</v>
      </c>
      <c r="H102">
        <v>5</v>
      </c>
    </row>
    <row r="103" spans="1:8" x14ac:dyDescent="0.35">
      <c r="A103" s="16" t="s">
        <v>3605</v>
      </c>
      <c r="B103" s="19">
        <v>2462.6</v>
      </c>
      <c r="G103" s="16" t="s">
        <v>3241</v>
      </c>
      <c r="H103">
        <v>5</v>
      </c>
    </row>
    <row r="104" spans="1:8" x14ac:dyDescent="0.35">
      <c r="A104" s="16" t="s">
        <v>1235</v>
      </c>
      <c r="B104" s="19">
        <v>2446.85</v>
      </c>
      <c r="G104" s="16" t="s">
        <v>2830</v>
      </c>
      <c r="H104">
        <v>5</v>
      </c>
    </row>
    <row r="105" spans="1:8" x14ac:dyDescent="0.35">
      <c r="A105" s="16" t="s">
        <v>1871</v>
      </c>
      <c r="B105" s="19">
        <v>2445.04</v>
      </c>
      <c r="G105" s="16" t="s">
        <v>3265</v>
      </c>
      <c r="H105">
        <v>5</v>
      </c>
    </row>
    <row r="106" spans="1:8" x14ac:dyDescent="0.35">
      <c r="A106" s="16" t="s">
        <v>2950</v>
      </c>
      <c r="B106" s="19">
        <v>2441.75</v>
      </c>
      <c r="G106" s="16" t="s">
        <v>2179</v>
      </c>
      <c r="H106">
        <v>5</v>
      </c>
    </row>
    <row r="107" spans="1:8" x14ac:dyDescent="0.35">
      <c r="A107" s="16" t="s">
        <v>3069</v>
      </c>
      <c r="B107" s="19">
        <v>2428.5500000000002</v>
      </c>
      <c r="G107" s="16" t="s">
        <v>1889</v>
      </c>
      <c r="H107">
        <v>5</v>
      </c>
    </row>
    <row r="108" spans="1:8" x14ac:dyDescent="0.35">
      <c r="A108" s="16" t="s">
        <v>1417</v>
      </c>
      <c r="B108" s="19">
        <v>2426.2800000000002</v>
      </c>
      <c r="G108" s="16" t="s">
        <v>1741</v>
      </c>
      <c r="H108">
        <v>5</v>
      </c>
    </row>
    <row r="109" spans="1:8" x14ac:dyDescent="0.35">
      <c r="A109" s="16" t="s">
        <v>717</v>
      </c>
      <c r="B109" s="19">
        <v>2403.2399999999998</v>
      </c>
      <c r="G109" s="16" t="s">
        <v>1208</v>
      </c>
      <c r="H109">
        <v>5</v>
      </c>
    </row>
    <row r="110" spans="1:8" x14ac:dyDescent="0.35">
      <c r="A110" s="16" t="s">
        <v>3016</v>
      </c>
      <c r="B110" s="19">
        <v>2392.7600000000002</v>
      </c>
      <c r="G110" s="16" t="s">
        <v>2071</v>
      </c>
      <c r="H110">
        <v>5</v>
      </c>
    </row>
    <row r="111" spans="1:8" x14ac:dyDescent="0.35">
      <c r="A111" s="16" t="s">
        <v>2960</v>
      </c>
      <c r="B111" s="19">
        <v>2382.48</v>
      </c>
      <c r="G111" s="16" t="s">
        <v>1235</v>
      </c>
      <c r="H111">
        <v>5</v>
      </c>
    </row>
    <row r="112" spans="1:8" x14ac:dyDescent="0.35">
      <c r="A112" s="16" t="s">
        <v>2338</v>
      </c>
      <c r="B112" s="19">
        <v>2380.0500000000002</v>
      </c>
      <c r="G112" s="16" t="s">
        <v>1647</v>
      </c>
      <c r="H112">
        <v>5</v>
      </c>
    </row>
    <row r="113" spans="1:8" x14ac:dyDescent="0.35">
      <c r="A113" s="16" t="s">
        <v>3342</v>
      </c>
      <c r="B113" s="19">
        <v>2379.75</v>
      </c>
      <c r="G113" s="16" t="s">
        <v>1239</v>
      </c>
      <c r="H113">
        <v>5</v>
      </c>
    </row>
    <row r="114" spans="1:8" x14ac:dyDescent="0.35">
      <c r="A114" s="16" t="s">
        <v>271</v>
      </c>
      <c r="B114" s="19">
        <v>2373.08</v>
      </c>
      <c r="G114" s="16" t="s">
        <v>1810</v>
      </c>
      <c r="H114">
        <v>5</v>
      </c>
    </row>
    <row r="115" spans="1:8" x14ac:dyDescent="0.35">
      <c r="A115" s="16" t="s">
        <v>2567</v>
      </c>
      <c r="B115" s="19">
        <v>2372.88</v>
      </c>
      <c r="G115" s="16" t="s">
        <v>1250</v>
      </c>
      <c r="H115">
        <v>5</v>
      </c>
    </row>
    <row r="116" spans="1:8" x14ac:dyDescent="0.35">
      <c r="A116" s="16" t="s">
        <v>2974</v>
      </c>
      <c r="B116" s="19">
        <v>2360.0500000000002</v>
      </c>
      <c r="G116" s="16" t="s">
        <v>2013</v>
      </c>
      <c r="H116">
        <v>5</v>
      </c>
    </row>
    <row r="117" spans="1:8" x14ac:dyDescent="0.35">
      <c r="A117" s="16" t="s">
        <v>1421</v>
      </c>
      <c r="B117" s="19">
        <v>2358.2800000000002</v>
      </c>
      <c r="G117" s="16" t="s">
        <v>1276</v>
      </c>
      <c r="H117">
        <v>5</v>
      </c>
    </row>
    <row r="118" spans="1:8" x14ac:dyDescent="0.35">
      <c r="A118" s="16" t="s">
        <v>322</v>
      </c>
      <c r="B118" s="19">
        <v>2357.7600000000002</v>
      </c>
      <c r="G118" s="16" t="s">
        <v>2155</v>
      </c>
      <c r="H118">
        <v>5</v>
      </c>
    </row>
    <row r="119" spans="1:8" x14ac:dyDescent="0.35">
      <c r="A119" s="16" t="s">
        <v>2129</v>
      </c>
      <c r="B119" s="19">
        <v>2355.4</v>
      </c>
      <c r="G119" s="16" t="s">
        <v>1291</v>
      </c>
      <c r="H119">
        <v>5</v>
      </c>
    </row>
    <row r="120" spans="1:8" x14ac:dyDescent="0.35">
      <c r="A120" s="16" t="s">
        <v>1068</v>
      </c>
      <c r="B120" s="19">
        <v>2342.5500000000002</v>
      </c>
      <c r="G120" s="16" t="s">
        <v>2244</v>
      </c>
      <c r="H120">
        <v>5</v>
      </c>
    </row>
    <row r="121" spans="1:8" x14ac:dyDescent="0.35">
      <c r="A121" s="16" t="s">
        <v>1885</v>
      </c>
      <c r="B121" s="19">
        <v>2339.0500000000002</v>
      </c>
      <c r="G121" s="16" t="s">
        <v>1297</v>
      </c>
      <c r="H121">
        <v>5</v>
      </c>
    </row>
    <row r="122" spans="1:8" x14ac:dyDescent="0.35">
      <c r="A122" s="16" t="s">
        <v>1064</v>
      </c>
      <c r="B122" s="19">
        <v>2332.2800000000002</v>
      </c>
      <c r="G122" s="16" t="s">
        <v>1682</v>
      </c>
      <c r="H122">
        <v>5</v>
      </c>
    </row>
    <row r="123" spans="1:8" x14ac:dyDescent="0.35">
      <c r="A123" s="16" t="s">
        <v>1350</v>
      </c>
      <c r="B123" s="19">
        <v>2332.1</v>
      </c>
      <c r="G123" s="16" t="s">
        <v>1304</v>
      </c>
      <c r="H123">
        <v>5</v>
      </c>
    </row>
    <row r="124" spans="1:8" x14ac:dyDescent="0.35">
      <c r="A124" s="16" t="s">
        <v>2698</v>
      </c>
      <c r="B124" s="19">
        <v>2332.08</v>
      </c>
      <c r="G124" s="16" t="s">
        <v>1788</v>
      </c>
      <c r="H124">
        <v>5</v>
      </c>
    </row>
    <row r="125" spans="1:8" x14ac:dyDescent="0.35">
      <c r="A125" s="16" t="s">
        <v>3883</v>
      </c>
      <c r="B125" s="19">
        <v>2323.6999999999998</v>
      </c>
      <c r="G125" s="16" t="s">
        <v>1311</v>
      </c>
      <c r="H125">
        <v>5</v>
      </c>
    </row>
    <row r="126" spans="1:8" x14ac:dyDescent="0.35">
      <c r="A126" s="16" t="s">
        <v>3506</v>
      </c>
      <c r="B126" s="19">
        <v>2313.12</v>
      </c>
      <c r="G126" s="16" t="s">
        <v>1860</v>
      </c>
      <c r="H126">
        <v>5</v>
      </c>
    </row>
    <row r="127" spans="1:8" x14ac:dyDescent="0.35">
      <c r="A127" s="16" t="s">
        <v>2396</v>
      </c>
      <c r="B127" s="19">
        <v>2313.08</v>
      </c>
      <c r="G127" s="16" t="s">
        <v>1334</v>
      </c>
      <c r="H127">
        <v>5</v>
      </c>
    </row>
    <row r="128" spans="1:8" x14ac:dyDescent="0.35">
      <c r="A128" s="16" t="s">
        <v>2223</v>
      </c>
      <c r="B128" s="19">
        <v>2311.2800000000002</v>
      </c>
      <c r="G128" s="16" t="s">
        <v>1921</v>
      </c>
      <c r="H128">
        <v>5</v>
      </c>
    </row>
    <row r="129" spans="1:8" x14ac:dyDescent="0.35">
      <c r="A129" s="16" t="s">
        <v>3089</v>
      </c>
      <c r="B129" s="19">
        <v>2308.3200000000002</v>
      </c>
      <c r="G129" s="16" t="s">
        <v>1342</v>
      </c>
      <c r="H129">
        <v>5</v>
      </c>
    </row>
    <row r="130" spans="1:8" x14ac:dyDescent="0.35">
      <c r="A130" s="16" t="s">
        <v>4028</v>
      </c>
      <c r="B130" s="19">
        <v>2307.48</v>
      </c>
      <c r="G130" s="16" t="s">
        <v>2060</v>
      </c>
      <c r="H130">
        <v>5</v>
      </c>
    </row>
    <row r="131" spans="1:8" x14ac:dyDescent="0.35">
      <c r="A131" s="16" t="s">
        <v>175</v>
      </c>
      <c r="B131" s="19">
        <v>2306.08</v>
      </c>
      <c r="G131" s="16" t="s">
        <v>1350</v>
      </c>
      <c r="H131">
        <v>5</v>
      </c>
    </row>
    <row r="132" spans="1:8" x14ac:dyDescent="0.35">
      <c r="A132" s="16" t="s">
        <v>2316</v>
      </c>
      <c r="B132" s="19">
        <v>2300.6999999999998</v>
      </c>
      <c r="G132" s="16" t="s">
        <v>2144</v>
      </c>
      <c r="H132">
        <v>5</v>
      </c>
    </row>
    <row r="133" spans="1:8" x14ac:dyDescent="0.35">
      <c r="A133" s="16" t="s">
        <v>2064</v>
      </c>
      <c r="B133" s="19">
        <v>2280.3000000000002</v>
      </c>
      <c r="G133" s="16" t="s">
        <v>1362</v>
      </c>
      <c r="H133">
        <v>5</v>
      </c>
    </row>
    <row r="134" spans="1:8" x14ac:dyDescent="0.35">
      <c r="A134" s="16" t="s">
        <v>389</v>
      </c>
      <c r="B134" s="19">
        <v>2276.65</v>
      </c>
      <c r="G134" s="16" t="s">
        <v>2173</v>
      </c>
      <c r="H134">
        <v>5</v>
      </c>
    </row>
    <row r="135" spans="1:8" x14ac:dyDescent="0.35">
      <c r="A135" s="16" t="s">
        <v>2406</v>
      </c>
      <c r="B135" s="19">
        <v>2270.2800000000002</v>
      </c>
      <c r="G135" s="16" t="s">
        <v>1390</v>
      </c>
      <c r="H135">
        <v>5</v>
      </c>
    </row>
    <row r="136" spans="1:8" x14ac:dyDescent="0.35">
      <c r="A136" s="16" t="s">
        <v>361</v>
      </c>
      <c r="B136" s="19">
        <v>2260.8000000000002</v>
      </c>
      <c r="G136" s="16" t="s">
        <v>2189</v>
      </c>
      <c r="H136">
        <v>5</v>
      </c>
    </row>
    <row r="137" spans="1:8" x14ac:dyDescent="0.35">
      <c r="A137" s="16" t="s">
        <v>4279</v>
      </c>
      <c r="B137" s="19">
        <v>2242.3200000000002</v>
      </c>
      <c r="G137" s="16" t="s">
        <v>1406</v>
      </c>
      <c r="H137">
        <v>5</v>
      </c>
    </row>
    <row r="138" spans="1:8" x14ac:dyDescent="0.35">
      <c r="A138" s="16" t="s">
        <v>2179</v>
      </c>
      <c r="B138" s="19">
        <v>2240.75</v>
      </c>
      <c r="G138" s="16" t="s">
        <v>1622</v>
      </c>
      <c r="H138">
        <v>5</v>
      </c>
    </row>
    <row r="139" spans="1:8" x14ac:dyDescent="0.35">
      <c r="A139" s="16" t="s">
        <v>3756</v>
      </c>
      <c r="B139" s="19">
        <v>2235.6</v>
      </c>
      <c r="G139" s="16" t="s">
        <v>1410</v>
      </c>
      <c r="H139">
        <v>5</v>
      </c>
    </row>
    <row r="140" spans="1:8" x14ac:dyDescent="0.35">
      <c r="A140" s="16" t="s">
        <v>632</v>
      </c>
      <c r="B140" s="19">
        <v>2223.8000000000002</v>
      </c>
      <c r="G140" s="16" t="s">
        <v>1654</v>
      </c>
      <c r="H140">
        <v>5</v>
      </c>
    </row>
    <row r="141" spans="1:8" x14ac:dyDescent="0.35">
      <c r="A141" s="16" t="s">
        <v>3707</v>
      </c>
      <c r="B141" s="19">
        <v>2219.3200000000002</v>
      </c>
      <c r="G141" s="16" t="s">
        <v>1425</v>
      </c>
      <c r="H141">
        <v>5</v>
      </c>
    </row>
    <row r="142" spans="1:8" x14ac:dyDescent="0.35">
      <c r="A142" s="16" t="s">
        <v>221</v>
      </c>
      <c r="B142" s="19">
        <v>2200.56</v>
      </c>
      <c r="G142" s="16" t="s">
        <v>1725</v>
      </c>
      <c r="H142">
        <v>5</v>
      </c>
    </row>
    <row r="143" spans="1:8" x14ac:dyDescent="0.35">
      <c r="A143" s="16" t="s">
        <v>1227</v>
      </c>
      <c r="B143" s="19">
        <v>2199.04</v>
      </c>
      <c r="G143" s="16" t="s">
        <v>1433</v>
      </c>
      <c r="H143">
        <v>5</v>
      </c>
    </row>
    <row r="144" spans="1:8" x14ac:dyDescent="0.35">
      <c r="A144" s="16" t="s">
        <v>1585</v>
      </c>
      <c r="B144" s="19">
        <v>2189.2800000000002</v>
      </c>
      <c r="G144" s="16" t="s">
        <v>1764</v>
      </c>
      <c r="H144">
        <v>5</v>
      </c>
    </row>
    <row r="145" spans="1:8" x14ac:dyDescent="0.35">
      <c r="A145" s="16" t="s">
        <v>3155</v>
      </c>
      <c r="B145" s="19">
        <v>2178.3000000000002</v>
      </c>
      <c r="G145" s="16" t="s">
        <v>1436</v>
      </c>
      <c r="H145">
        <v>5</v>
      </c>
    </row>
    <row r="146" spans="1:8" x14ac:dyDescent="0.35">
      <c r="A146" s="16" t="s">
        <v>819</v>
      </c>
      <c r="B146" s="19">
        <v>2166.3000000000002</v>
      </c>
      <c r="G146" s="16" t="s">
        <v>1796</v>
      </c>
      <c r="H146">
        <v>5</v>
      </c>
    </row>
    <row r="147" spans="1:8" x14ac:dyDescent="0.35">
      <c r="A147" s="16" t="s">
        <v>365</v>
      </c>
      <c r="B147" s="19">
        <v>2161.64</v>
      </c>
      <c r="G147" s="16" t="s">
        <v>1446</v>
      </c>
      <c r="H147">
        <v>5</v>
      </c>
    </row>
    <row r="148" spans="1:8" x14ac:dyDescent="0.35">
      <c r="A148" s="16" t="s">
        <v>3777</v>
      </c>
      <c r="B148" s="19">
        <v>2161.36</v>
      </c>
      <c r="G148" s="16" t="s">
        <v>1817</v>
      </c>
      <c r="H148">
        <v>5</v>
      </c>
    </row>
    <row r="149" spans="1:8" x14ac:dyDescent="0.35">
      <c r="A149" s="16" t="s">
        <v>1131</v>
      </c>
      <c r="B149" s="19">
        <v>2161.3200000000002</v>
      </c>
      <c r="G149" s="16" t="s">
        <v>1453</v>
      </c>
      <c r="H149">
        <v>5</v>
      </c>
    </row>
    <row r="150" spans="1:8" x14ac:dyDescent="0.35">
      <c r="A150" s="16" t="s">
        <v>729</v>
      </c>
      <c r="B150" s="19">
        <v>2158.4499999999998</v>
      </c>
      <c r="G150" s="16" t="s">
        <v>1885</v>
      </c>
      <c r="H150">
        <v>5</v>
      </c>
    </row>
    <row r="151" spans="1:8" x14ac:dyDescent="0.35">
      <c r="A151" s="16" t="s">
        <v>2505</v>
      </c>
      <c r="B151" s="19">
        <v>2156.8000000000002</v>
      </c>
      <c r="G151" s="16" t="s">
        <v>1461</v>
      </c>
      <c r="H151">
        <v>5</v>
      </c>
    </row>
    <row r="152" spans="1:8" x14ac:dyDescent="0.35">
      <c r="A152" s="16" t="s">
        <v>777</v>
      </c>
      <c r="B152" s="19">
        <v>2147.25</v>
      </c>
      <c r="G152" s="16" t="s">
        <v>1892</v>
      </c>
      <c r="H152">
        <v>5</v>
      </c>
    </row>
    <row r="153" spans="1:8" x14ac:dyDescent="0.35">
      <c r="A153" s="16" t="s">
        <v>4132</v>
      </c>
      <c r="B153" s="19">
        <v>2138.2800000000002</v>
      </c>
      <c r="G153" s="16" t="s">
        <v>1479</v>
      </c>
      <c r="H153">
        <v>5</v>
      </c>
    </row>
    <row r="154" spans="1:8" x14ac:dyDescent="0.35">
      <c r="A154" s="16" t="s">
        <v>640</v>
      </c>
      <c r="B154" s="19">
        <v>2137.92</v>
      </c>
      <c r="G154" s="16" t="s">
        <v>1962</v>
      </c>
      <c r="H154">
        <v>5</v>
      </c>
    </row>
    <row r="155" spans="1:8" x14ac:dyDescent="0.35">
      <c r="A155" s="16" t="s">
        <v>2734</v>
      </c>
      <c r="B155" s="19">
        <v>2131.48</v>
      </c>
      <c r="G155" s="16" t="s">
        <v>1486</v>
      </c>
      <c r="H155">
        <v>5</v>
      </c>
    </row>
    <row r="156" spans="1:8" x14ac:dyDescent="0.35">
      <c r="A156" s="16" t="s">
        <v>2653</v>
      </c>
      <c r="B156" s="19">
        <v>2129.96</v>
      </c>
      <c r="G156" s="16" t="s">
        <v>2027</v>
      </c>
      <c r="H156">
        <v>5</v>
      </c>
    </row>
    <row r="157" spans="1:8" x14ac:dyDescent="0.35">
      <c r="A157" s="16" t="s">
        <v>1558</v>
      </c>
      <c r="B157" s="19">
        <v>2119.65</v>
      </c>
      <c r="G157" s="16" t="s">
        <v>1510</v>
      </c>
      <c r="H157">
        <v>5</v>
      </c>
    </row>
    <row r="158" spans="1:8" x14ac:dyDescent="0.35">
      <c r="A158" s="16" t="s">
        <v>4100</v>
      </c>
      <c r="B158" s="19">
        <v>2107.1999999999998</v>
      </c>
      <c r="G158" s="16" t="s">
        <v>2064</v>
      </c>
      <c r="H158">
        <v>5</v>
      </c>
    </row>
    <row r="159" spans="1:8" x14ac:dyDescent="0.35">
      <c r="A159" s="16" t="s">
        <v>2173</v>
      </c>
      <c r="B159" s="19">
        <v>2107.1</v>
      </c>
      <c r="G159" s="16" t="s">
        <v>1527</v>
      </c>
      <c r="H159">
        <v>5</v>
      </c>
    </row>
    <row r="160" spans="1:8" x14ac:dyDescent="0.35">
      <c r="A160" s="16" t="s">
        <v>3642</v>
      </c>
      <c r="B160" s="19">
        <v>2104.9</v>
      </c>
      <c r="G160" s="16" t="s">
        <v>2074</v>
      </c>
      <c r="H160">
        <v>5</v>
      </c>
    </row>
    <row r="161" spans="1:8" x14ac:dyDescent="0.35">
      <c r="A161" s="16" t="s">
        <v>1889</v>
      </c>
      <c r="B161" s="19">
        <v>2103.5</v>
      </c>
      <c r="G161" s="16" t="s">
        <v>1540</v>
      </c>
      <c r="H161">
        <v>5</v>
      </c>
    </row>
    <row r="162" spans="1:8" x14ac:dyDescent="0.35">
      <c r="A162" s="16" t="s">
        <v>2752</v>
      </c>
      <c r="B162" s="19">
        <v>2099.79</v>
      </c>
      <c r="G162" s="16" t="s">
        <v>2148</v>
      </c>
      <c r="H162">
        <v>5</v>
      </c>
    </row>
    <row r="163" spans="1:8" x14ac:dyDescent="0.35">
      <c r="A163" s="16" t="s">
        <v>2731</v>
      </c>
      <c r="B163" s="19">
        <v>2092.65</v>
      </c>
      <c r="G163" s="16" t="s">
        <v>1547</v>
      </c>
      <c r="H163">
        <v>5</v>
      </c>
    </row>
    <row r="164" spans="1:8" x14ac:dyDescent="0.35">
      <c r="A164" s="16" t="s">
        <v>3413</v>
      </c>
      <c r="B164" s="19">
        <v>2078.13</v>
      </c>
      <c r="G164" s="16" t="s">
        <v>2161</v>
      </c>
      <c r="H164">
        <v>5</v>
      </c>
    </row>
    <row r="165" spans="1:8" x14ac:dyDescent="0.35">
      <c r="A165" s="16" t="s">
        <v>2853</v>
      </c>
      <c r="B165" s="19">
        <v>2077.3200000000002</v>
      </c>
      <c r="G165" s="16" t="s">
        <v>1555</v>
      </c>
      <c r="H165">
        <v>5</v>
      </c>
    </row>
    <row r="166" spans="1:8" x14ac:dyDescent="0.35">
      <c r="A166" s="16" t="s">
        <v>4185</v>
      </c>
      <c r="B166" s="19">
        <v>2073.6</v>
      </c>
      <c r="G166" s="16" t="s">
        <v>2176</v>
      </c>
      <c r="H166">
        <v>5</v>
      </c>
    </row>
    <row r="167" spans="1:8" x14ac:dyDescent="0.35">
      <c r="A167" s="16" t="s">
        <v>3731</v>
      </c>
      <c r="B167" s="19">
        <v>2071.92</v>
      </c>
      <c r="G167" s="16" t="s">
        <v>1558</v>
      </c>
      <c r="H167">
        <v>5</v>
      </c>
    </row>
    <row r="168" spans="1:8" x14ac:dyDescent="0.35">
      <c r="A168" s="16" t="s">
        <v>2448</v>
      </c>
      <c r="B168" s="19">
        <v>2070.9</v>
      </c>
      <c r="G168" s="16" t="s">
        <v>2183</v>
      </c>
      <c r="H168">
        <v>5</v>
      </c>
    </row>
    <row r="169" spans="1:8" x14ac:dyDescent="0.35">
      <c r="A169" s="16" t="s">
        <v>3249</v>
      </c>
      <c r="B169" s="19">
        <v>2062.36</v>
      </c>
      <c r="G169" s="16" t="s">
        <v>1569</v>
      </c>
      <c r="H169">
        <v>5</v>
      </c>
    </row>
    <row r="170" spans="1:8" x14ac:dyDescent="0.35">
      <c r="A170" s="16" t="s">
        <v>1665</v>
      </c>
      <c r="B170" s="19">
        <v>2060.7600000000002</v>
      </c>
      <c r="G170" s="16" t="s">
        <v>2219</v>
      </c>
      <c r="H170">
        <v>5</v>
      </c>
    </row>
    <row r="171" spans="1:8" x14ac:dyDescent="0.35">
      <c r="A171" s="16" t="s">
        <v>593</v>
      </c>
      <c r="B171" s="19">
        <v>2052.42</v>
      </c>
      <c r="G171" s="16" t="s">
        <v>1592</v>
      </c>
      <c r="H171">
        <v>5</v>
      </c>
    </row>
    <row r="172" spans="1:8" x14ac:dyDescent="0.35">
      <c r="A172" s="16" t="s">
        <v>1149</v>
      </c>
      <c r="B172" s="19">
        <v>2051</v>
      </c>
      <c r="G172" s="16" t="s">
        <v>2259</v>
      </c>
      <c r="H172">
        <v>5</v>
      </c>
    </row>
    <row r="173" spans="1:8" x14ac:dyDescent="0.35">
      <c r="A173" s="16" t="s">
        <v>733</v>
      </c>
      <c r="B173" s="19">
        <v>2048.2399999999998</v>
      </c>
      <c r="G173" s="16" t="s">
        <v>1603</v>
      </c>
      <c r="H173">
        <v>5</v>
      </c>
    </row>
    <row r="174" spans="1:8" x14ac:dyDescent="0.35">
      <c r="A174" s="16" t="s">
        <v>1208</v>
      </c>
      <c r="B174" s="19">
        <v>2043.65</v>
      </c>
      <c r="G174" s="16" t="s">
        <v>1710</v>
      </c>
      <c r="H174">
        <v>5</v>
      </c>
    </row>
    <row r="175" spans="1:8" x14ac:dyDescent="0.35">
      <c r="A175" s="16" t="s">
        <v>1410</v>
      </c>
      <c r="B175" s="19">
        <v>2042.8</v>
      </c>
      <c r="G175" s="16" t="s">
        <v>777</v>
      </c>
      <c r="H175">
        <v>5</v>
      </c>
    </row>
    <row r="176" spans="1:8" x14ac:dyDescent="0.35">
      <c r="A176" s="16" t="s">
        <v>1771</v>
      </c>
      <c r="B176" s="19">
        <v>2042.32</v>
      </c>
      <c r="G176" s="16" t="s">
        <v>605</v>
      </c>
      <c r="H176">
        <v>5</v>
      </c>
    </row>
    <row r="177" spans="1:8" x14ac:dyDescent="0.35">
      <c r="A177" s="16" t="s">
        <v>71</v>
      </c>
      <c r="B177" s="19">
        <v>2037.52</v>
      </c>
      <c r="G177" s="16" t="s">
        <v>1045</v>
      </c>
      <c r="H177">
        <v>5</v>
      </c>
    </row>
    <row r="178" spans="1:8" x14ac:dyDescent="0.35">
      <c r="A178" s="16" t="s">
        <v>2981</v>
      </c>
      <c r="B178" s="19">
        <v>2028.63</v>
      </c>
      <c r="G178" s="16" t="s">
        <v>30</v>
      </c>
      <c r="H178">
        <v>5</v>
      </c>
    </row>
    <row r="179" spans="1:8" x14ac:dyDescent="0.35">
      <c r="A179" s="16" t="s">
        <v>3735</v>
      </c>
      <c r="B179" s="19">
        <v>2024.44</v>
      </c>
      <c r="G179" s="16" t="s">
        <v>729</v>
      </c>
      <c r="H179">
        <v>5</v>
      </c>
    </row>
    <row r="180" spans="1:8" x14ac:dyDescent="0.35">
      <c r="A180" s="16" t="s">
        <v>745</v>
      </c>
      <c r="B180" s="19">
        <v>2021.95</v>
      </c>
      <c r="G180" s="16" t="s">
        <v>62</v>
      </c>
      <c r="H180">
        <v>5</v>
      </c>
    </row>
    <row r="181" spans="1:8" x14ac:dyDescent="0.35">
      <c r="A181" s="16" t="s">
        <v>3348</v>
      </c>
      <c r="B181" s="19">
        <v>2011.96</v>
      </c>
      <c r="G181" s="16" t="s">
        <v>886</v>
      </c>
      <c r="H181">
        <v>5</v>
      </c>
    </row>
    <row r="182" spans="1:8" x14ac:dyDescent="0.35">
      <c r="A182" s="16" t="s">
        <v>3554</v>
      </c>
      <c r="B182" s="19">
        <v>2007.18</v>
      </c>
      <c r="G182" s="16" t="s">
        <v>77</v>
      </c>
      <c r="H182">
        <v>5</v>
      </c>
    </row>
    <row r="183" spans="1:8" x14ac:dyDescent="0.35">
      <c r="A183" s="16" t="s">
        <v>4067</v>
      </c>
      <c r="B183" s="19">
        <v>2004.99</v>
      </c>
      <c r="G183" s="16" t="s">
        <v>1135</v>
      </c>
      <c r="H183">
        <v>5</v>
      </c>
    </row>
    <row r="184" spans="1:8" x14ac:dyDescent="0.35">
      <c r="A184" s="16" t="s">
        <v>432</v>
      </c>
      <c r="B184" s="19">
        <v>1994.37</v>
      </c>
      <c r="G184" s="16" t="s">
        <v>115</v>
      </c>
      <c r="H184">
        <v>5</v>
      </c>
    </row>
    <row r="185" spans="1:8" x14ac:dyDescent="0.35">
      <c r="A185" s="16" t="s">
        <v>2423</v>
      </c>
      <c r="B185" s="19">
        <v>1994.04</v>
      </c>
      <c r="G185" s="16" t="s">
        <v>679</v>
      </c>
      <c r="H185">
        <v>5</v>
      </c>
    </row>
    <row r="186" spans="1:8" x14ac:dyDescent="0.35">
      <c r="A186" s="16" t="s">
        <v>713</v>
      </c>
      <c r="B186" s="19">
        <v>1993.38</v>
      </c>
      <c r="G186" s="16" t="s">
        <v>119</v>
      </c>
      <c r="H186">
        <v>5</v>
      </c>
    </row>
    <row r="187" spans="1:8" x14ac:dyDescent="0.35">
      <c r="A187" s="16" t="s">
        <v>2137</v>
      </c>
      <c r="B187" s="19">
        <v>1991.79</v>
      </c>
      <c r="G187" s="16" t="s">
        <v>745</v>
      </c>
      <c r="H187">
        <v>5</v>
      </c>
    </row>
    <row r="188" spans="1:8" x14ac:dyDescent="0.35">
      <c r="A188" s="16" t="s">
        <v>2967</v>
      </c>
      <c r="B188" s="19">
        <v>1989.05</v>
      </c>
      <c r="G188" s="16" t="s">
        <v>143</v>
      </c>
      <c r="H188">
        <v>5</v>
      </c>
    </row>
    <row r="189" spans="1:8" x14ac:dyDescent="0.35">
      <c r="A189" s="16" t="s">
        <v>2766</v>
      </c>
      <c r="B189" s="19">
        <v>1985.67</v>
      </c>
      <c r="G189" s="16" t="s">
        <v>819</v>
      </c>
      <c r="H189">
        <v>5</v>
      </c>
    </row>
    <row r="190" spans="1:8" x14ac:dyDescent="0.35">
      <c r="A190" s="16" t="s">
        <v>3336</v>
      </c>
      <c r="B190" s="19">
        <v>1984.3</v>
      </c>
      <c r="G190" s="16" t="s">
        <v>167</v>
      </c>
      <c r="H190">
        <v>5</v>
      </c>
    </row>
    <row r="191" spans="1:8" x14ac:dyDescent="0.35">
      <c r="A191" s="16" t="s">
        <v>875</v>
      </c>
      <c r="B191" s="19">
        <v>1984</v>
      </c>
      <c r="G191" s="16" t="s">
        <v>970</v>
      </c>
      <c r="H191">
        <v>5</v>
      </c>
    </row>
    <row r="192" spans="1:8" x14ac:dyDescent="0.35">
      <c r="A192" s="16" t="s">
        <v>3998</v>
      </c>
      <c r="B192" s="19">
        <v>1979.64</v>
      </c>
      <c r="G192" s="16" t="s">
        <v>263</v>
      </c>
      <c r="H192">
        <v>5</v>
      </c>
    </row>
    <row r="193" spans="1:8" x14ac:dyDescent="0.35">
      <c r="A193" s="16" t="s">
        <v>2722</v>
      </c>
      <c r="B193" s="19">
        <v>1979.36</v>
      </c>
      <c r="G193" s="16" t="s">
        <v>1107</v>
      </c>
      <c r="H193">
        <v>5</v>
      </c>
    </row>
    <row r="194" spans="1:8" x14ac:dyDescent="0.35">
      <c r="A194" s="16" t="s">
        <v>3653</v>
      </c>
      <c r="B194" s="19">
        <v>1978.71</v>
      </c>
      <c r="G194" s="16" t="s">
        <v>295</v>
      </c>
      <c r="H194">
        <v>5</v>
      </c>
    </row>
    <row r="195" spans="1:8" x14ac:dyDescent="0.35">
      <c r="A195" s="16" t="s">
        <v>1903</v>
      </c>
      <c r="B195" s="19">
        <v>1974.92</v>
      </c>
      <c r="G195" s="16" t="s">
        <v>1178</v>
      </c>
      <c r="H195">
        <v>5</v>
      </c>
    </row>
    <row r="196" spans="1:8" x14ac:dyDescent="0.35">
      <c r="A196" s="16" t="s">
        <v>3852</v>
      </c>
      <c r="B196" s="19">
        <v>1965.16</v>
      </c>
      <c r="G196" s="16" t="s">
        <v>299</v>
      </c>
      <c r="H196">
        <v>5</v>
      </c>
    </row>
    <row r="197" spans="1:8" x14ac:dyDescent="0.35">
      <c r="A197" s="16" t="s">
        <v>3272</v>
      </c>
      <c r="B197" s="19">
        <v>1963.62</v>
      </c>
      <c r="G197" s="16" t="s">
        <v>632</v>
      </c>
      <c r="H197">
        <v>5</v>
      </c>
    </row>
    <row r="198" spans="1:8" x14ac:dyDescent="0.35">
      <c r="A198" s="16" t="s">
        <v>2659</v>
      </c>
      <c r="B198" s="19">
        <v>1960.89</v>
      </c>
      <c r="G198" s="16" t="s">
        <v>329</v>
      </c>
      <c r="H198">
        <v>5</v>
      </c>
    </row>
    <row r="199" spans="1:8" x14ac:dyDescent="0.35">
      <c r="A199" s="16" t="s">
        <v>3785</v>
      </c>
      <c r="B199" s="19">
        <v>1959.3</v>
      </c>
      <c r="G199" s="16" t="s">
        <v>721</v>
      </c>
      <c r="H199">
        <v>5</v>
      </c>
    </row>
    <row r="200" spans="1:8" x14ac:dyDescent="0.35">
      <c r="A200" s="16" t="s">
        <v>248</v>
      </c>
      <c r="B200" s="19">
        <v>1955.12</v>
      </c>
      <c r="G200" s="16" t="s">
        <v>377</v>
      </c>
      <c r="H200">
        <v>5</v>
      </c>
    </row>
    <row r="201" spans="1:8" x14ac:dyDescent="0.35">
      <c r="A201" s="16" t="s">
        <v>3376</v>
      </c>
      <c r="B201" s="19">
        <v>1949.79</v>
      </c>
      <c r="G201" s="16" t="s">
        <v>741</v>
      </c>
      <c r="H201">
        <v>5</v>
      </c>
    </row>
    <row r="202" spans="1:8" x14ac:dyDescent="0.35">
      <c r="A202" s="16" t="s">
        <v>2300</v>
      </c>
      <c r="B202" s="19">
        <v>1948.1</v>
      </c>
      <c r="G202" s="16" t="s">
        <v>389</v>
      </c>
      <c r="H202">
        <v>5</v>
      </c>
    </row>
    <row r="203" spans="1:8" x14ac:dyDescent="0.35">
      <c r="A203" s="16" t="s">
        <v>4245</v>
      </c>
      <c r="B203" s="19">
        <v>1946.1</v>
      </c>
      <c r="G203" s="16" t="s">
        <v>753</v>
      </c>
      <c r="H203">
        <v>5</v>
      </c>
    </row>
    <row r="204" spans="1:8" x14ac:dyDescent="0.35">
      <c r="A204" s="16" t="s">
        <v>2038</v>
      </c>
      <c r="B204" s="19">
        <v>1945.77</v>
      </c>
      <c r="G204" s="16" t="s">
        <v>397</v>
      </c>
      <c r="H204">
        <v>5</v>
      </c>
    </row>
    <row r="205" spans="1:8" x14ac:dyDescent="0.35">
      <c r="A205" s="16" t="s">
        <v>4042</v>
      </c>
      <c r="B205" s="19">
        <v>1940.37</v>
      </c>
      <c r="G205" s="16" t="s">
        <v>808</v>
      </c>
      <c r="H205">
        <v>5</v>
      </c>
    </row>
    <row r="206" spans="1:8" x14ac:dyDescent="0.35">
      <c r="A206" s="16" t="s">
        <v>1854</v>
      </c>
      <c r="B206" s="19">
        <v>1939.4</v>
      </c>
      <c r="G206" s="16" t="s">
        <v>420</v>
      </c>
      <c r="H206">
        <v>5</v>
      </c>
    </row>
    <row r="207" spans="1:8" x14ac:dyDescent="0.35">
      <c r="A207" s="16" t="s">
        <v>2441</v>
      </c>
      <c r="B207" s="19">
        <v>1939.02</v>
      </c>
      <c r="G207" s="16" t="s">
        <v>850</v>
      </c>
      <c r="H207">
        <v>5</v>
      </c>
    </row>
    <row r="208" spans="1:8" x14ac:dyDescent="0.35">
      <c r="A208" s="16" t="s">
        <v>3293</v>
      </c>
      <c r="B208" s="19">
        <v>1925.92</v>
      </c>
      <c r="G208" s="16" t="s">
        <v>460</v>
      </c>
      <c r="H208">
        <v>5</v>
      </c>
    </row>
    <row r="209" spans="1:8" x14ac:dyDescent="0.35">
      <c r="A209" s="16" t="s">
        <v>2176</v>
      </c>
      <c r="B209" s="19">
        <v>1923.45</v>
      </c>
      <c r="G209" s="16" t="s">
        <v>894</v>
      </c>
      <c r="H209">
        <v>5</v>
      </c>
    </row>
    <row r="210" spans="1:8" x14ac:dyDescent="0.35">
      <c r="A210" s="16" t="s">
        <v>3355</v>
      </c>
      <c r="B210" s="19">
        <v>1919.1</v>
      </c>
      <c r="G210" s="16" t="s">
        <v>464</v>
      </c>
      <c r="H210">
        <v>5</v>
      </c>
    </row>
    <row r="211" spans="1:8" x14ac:dyDescent="0.35">
      <c r="A211" s="16" t="s">
        <v>3130</v>
      </c>
      <c r="B211" s="19">
        <v>1915.5</v>
      </c>
      <c r="G211" s="16" t="s">
        <v>1026</v>
      </c>
      <c r="H211">
        <v>5</v>
      </c>
    </row>
    <row r="212" spans="1:8" x14ac:dyDescent="0.35">
      <c r="A212" s="16" t="s">
        <v>1990</v>
      </c>
      <c r="B212" s="19">
        <v>1907.94</v>
      </c>
      <c r="G212" s="16" t="s">
        <v>484</v>
      </c>
      <c r="H212">
        <v>5</v>
      </c>
    </row>
    <row r="213" spans="1:8" x14ac:dyDescent="0.35">
      <c r="A213" s="16" t="s">
        <v>1520</v>
      </c>
      <c r="B213" s="19">
        <v>1901.91</v>
      </c>
      <c r="G213" s="16" t="s">
        <v>1068</v>
      </c>
      <c r="H213">
        <v>5</v>
      </c>
    </row>
    <row r="214" spans="1:8" x14ac:dyDescent="0.35">
      <c r="A214" s="16" t="s">
        <v>267</v>
      </c>
      <c r="B214" s="19">
        <v>1898.76</v>
      </c>
      <c r="G214" s="16" t="s">
        <v>488</v>
      </c>
      <c r="H214">
        <v>5</v>
      </c>
    </row>
    <row r="215" spans="1:8" x14ac:dyDescent="0.35">
      <c r="A215" s="16" t="s">
        <v>3611</v>
      </c>
      <c r="B215" s="19">
        <v>1895.44</v>
      </c>
      <c r="G215" s="16" t="s">
        <v>1111</v>
      </c>
      <c r="H215">
        <v>5</v>
      </c>
    </row>
    <row r="216" spans="1:8" x14ac:dyDescent="0.35">
      <c r="A216" s="16" t="s">
        <v>1679</v>
      </c>
      <c r="B216" s="19">
        <v>1894.92</v>
      </c>
      <c r="G216" s="16" t="s">
        <v>492</v>
      </c>
      <c r="H216">
        <v>5</v>
      </c>
    </row>
    <row r="217" spans="1:8" x14ac:dyDescent="0.35">
      <c r="A217" s="16" t="s">
        <v>3197</v>
      </c>
      <c r="B217" s="19">
        <v>1880.36</v>
      </c>
      <c r="G217" s="16" t="s">
        <v>1174</v>
      </c>
      <c r="H217">
        <v>5</v>
      </c>
    </row>
    <row r="218" spans="1:8" x14ac:dyDescent="0.35">
      <c r="A218" s="16" t="s">
        <v>1453</v>
      </c>
      <c r="B218" s="19">
        <v>1876.25</v>
      </c>
      <c r="G218" s="16" t="s">
        <v>504</v>
      </c>
      <c r="H218">
        <v>5</v>
      </c>
    </row>
    <row r="219" spans="1:8" x14ac:dyDescent="0.35">
      <c r="A219" s="16" t="s">
        <v>492</v>
      </c>
      <c r="B219" s="19">
        <v>1874.95</v>
      </c>
      <c r="G219" s="16" t="s">
        <v>597</v>
      </c>
      <c r="H219">
        <v>5</v>
      </c>
    </row>
    <row r="220" spans="1:8" x14ac:dyDescent="0.35">
      <c r="A220" s="16" t="s">
        <v>2810</v>
      </c>
      <c r="B220" s="19">
        <v>1874.52</v>
      </c>
      <c r="G220" s="16" t="s">
        <v>14</v>
      </c>
      <c r="H220">
        <v>5</v>
      </c>
    </row>
    <row r="221" spans="1:8" x14ac:dyDescent="0.35">
      <c r="A221" s="16" t="s">
        <v>1406</v>
      </c>
      <c r="B221" s="19">
        <v>1872.9</v>
      </c>
      <c r="G221" s="16" t="s">
        <v>4279</v>
      </c>
      <c r="H221">
        <v>4</v>
      </c>
    </row>
    <row r="222" spans="1:8" x14ac:dyDescent="0.35">
      <c r="A222" s="16" t="s">
        <v>1358</v>
      </c>
      <c r="B222" s="19">
        <v>1870.02</v>
      </c>
      <c r="G222" s="16" t="s">
        <v>4032</v>
      </c>
      <c r="H222">
        <v>4</v>
      </c>
    </row>
    <row r="223" spans="1:8" x14ac:dyDescent="0.35">
      <c r="A223" s="16" t="s">
        <v>4144</v>
      </c>
      <c r="B223" s="19">
        <v>1866.8</v>
      </c>
      <c r="G223" s="16" t="s">
        <v>3960</v>
      </c>
      <c r="H223">
        <v>4</v>
      </c>
    </row>
    <row r="224" spans="1:8" x14ac:dyDescent="0.35">
      <c r="A224" s="16" t="s">
        <v>3451</v>
      </c>
      <c r="B224" s="19">
        <v>1862.64</v>
      </c>
      <c r="G224" s="16" t="s">
        <v>3308</v>
      </c>
      <c r="H224">
        <v>4</v>
      </c>
    </row>
    <row r="225" spans="1:8" x14ac:dyDescent="0.35">
      <c r="A225" s="16" t="s">
        <v>800</v>
      </c>
      <c r="B225" s="19">
        <v>1857.63</v>
      </c>
      <c r="G225" s="16" t="s">
        <v>4132</v>
      </c>
      <c r="H225">
        <v>4</v>
      </c>
    </row>
    <row r="226" spans="1:8" x14ac:dyDescent="0.35">
      <c r="A226" s="16" t="s">
        <v>1986</v>
      </c>
      <c r="B226" s="19">
        <v>1857.16</v>
      </c>
      <c r="G226" s="16" t="s">
        <v>3506</v>
      </c>
      <c r="H226">
        <v>4</v>
      </c>
    </row>
    <row r="227" spans="1:8" x14ac:dyDescent="0.35">
      <c r="A227" s="16" t="s">
        <v>1166</v>
      </c>
      <c r="B227" s="19">
        <v>1852.16</v>
      </c>
      <c r="G227" s="16" t="s">
        <v>3906</v>
      </c>
      <c r="H227">
        <v>4</v>
      </c>
    </row>
    <row r="228" spans="1:8" x14ac:dyDescent="0.35">
      <c r="A228" s="16" t="s">
        <v>4249</v>
      </c>
      <c r="B228" s="19">
        <v>1849.17</v>
      </c>
      <c r="G228" s="16" t="s">
        <v>3348</v>
      </c>
      <c r="H228">
        <v>4</v>
      </c>
    </row>
    <row r="229" spans="1:8" x14ac:dyDescent="0.35">
      <c r="A229" s="16" t="s">
        <v>2604</v>
      </c>
      <c r="B229" s="19">
        <v>1842.45</v>
      </c>
      <c r="G229" s="16" t="s">
        <v>3988</v>
      </c>
      <c r="H229">
        <v>4</v>
      </c>
    </row>
    <row r="230" spans="1:8" x14ac:dyDescent="0.35">
      <c r="A230" s="16" t="s">
        <v>3359</v>
      </c>
      <c r="B230" s="19">
        <v>1841.25</v>
      </c>
      <c r="G230" s="16" t="s">
        <v>3314</v>
      </c>
      <c r="H230">
        <v>4</v>
      </c>
    </row>
    <row r="231" spans="1:8" x14ac:dyDescent="0.35">
      <c r="A231" s="16" t="s">
        <v>203</v>
      </c>
      <c r="B231" s="19">
        <v>1834.35</v>
      </c>
      <c r="G231" s="16" t="s">
        <v>4074</v>
      </c>
      <c r="H231">
        <v>4</v>
      </c>
    </row>
    <row r="232" spans="1:8" x14ac:dyDescent="0.35">
      <c r="A232" s="16" t="s">
        <v>3503</v>
      </c>
      <c r="B232" s="19">
        <v>1822.1</v>
      </c>
      <c r="G232" s="16" t="s">
        <v>3517</v>
      </c>
      <c r="H232">
        <v>4</v>
      </c>
    </row>
    <row r="233" spans="1:8" x14ac:dyDescent="0.35">
      <c r="A233" s="16" t="s">
        <v>2144</v>
      </c>
      <c r="B233" s="19">
        <v>1821.4</v>
      </c>
      <c r="G233" s="16" t="s">
        <v>4185</v>
      </c>
      <c r="H233">
        <v>4</v>
      </c>
    </row>
    <row r="234" spans="1:8" x14ac:dyDescent="0.35">
      <c r="A234" s="16" t="s">
        <v>2251</v>
      </c>
      <c r="B234" s="19">
        <v>1819.23</v>
      </c>
      <c r="G234" s="16" t="s">
        <v>3547</v>
      </c>
      <c r="H234">
        <v>4</v>
      </c>
    </row>
    <row r="235" spans="1:8" x14ac:dyDescent="0.35">
      <c r="A235" s="16" t="s">
        <v>1111</v>
      </c>
      <c r="B235" s="19">
        <v>1812.3</v>
      </c>
      <c r="G235" s="16" t="s">
        <v>3416</v>
      </c>
      <c r="H235">
        <v>4</v>
      </c>
    </row>
    <row r="236" spans="1:8" x14ac:dyDescent="0.35">
      <c r="A236" s="16" t="s">
        <v>4039</v>
      </c>
      <c r="B236" s="19">
        <v>1808.25</v>
      </c>
      <c r="G236" s="16" t="s">
        <v>3551</v>
      </c>
      <c r="H236">
        <v>4</v>
      </c>
    </row>
    <row r="237" spans="1:8" x14ac:dyDescent="0.35">
      <c r="A237" s="16" t="s">
        <v>1579</v>
      </c>
      <c r="B237" s="19">
        <v>1807.88</v>
      </c>
      <c r="G237" s="16" t="s">
        <v>3930</v>
      </c>
      <c r="H237">
        <v>4</v>
      </c>
    </row>
    <row r="238" spans="1:8" x14ac:dyDescent="0.35">
      <c r="A238" s="16" t="s">
        <v>1442</v>
      </c>
      <c r="B238" s="19">
        <v>1806.72</v>
      </c>
      <c r="G238" s="16" t="s">
        <v>3561</v>
      </c>
      <c r="H238">
        <v>4</v>
      </c>
    </row>
    <row r="239" spans="1:8" x14ac:dyDescent="0.35">
      <c r="A239" s="16" t="s">
        <v>2319</v>
      </c>
      <c r="B239" s="19">
        <v>1804.8</v>
      </c>
      <c r="G239" s="16" t="s">
        <v>3965</v>
      </c>
      <c r="H239">
        <v>4</v>
      </c>
    </row>
    <row r="240" spans="1:8" x14ac:dyDescent="0.35">
      <c r="A240" s="16" t="s">
        <v>559</v>
      </c>
      <c r="B240" s="19">
        <v>1803</v>
      </c>
      <c r="G240" s="16" t="s">
        <v>3568</v>
      </c>
      <c r="H240">
        <v>4</v>
      </c>
    </row>
    <row r="241" spans="1:8" x14ac:dyDescent="0.35">
      <c r="A241" s="16" t="s">
        <v>468</v>
      </c>
      <c r="B241" s="19">
        <v>1778.61</v>
      </c>
      <c r="G241" s="16" t="s">
        <v>3429</v>
      </c>
      <c r="H241">
        <v>4</v>
      </c>
    </row>
    <row r="242" spans="1:8" x14ac:dyDescent="0.35">
      <c r="A242" s="16" t="s">
        <v>935</v>
      </c>
      <c r="B242" s="19">
        <v>1777.76</v>
      </c>
      <c r="G242" s="16" t="s">
        <v>3578</v>
      </c>
      <c r="H242">
        <v>4</v>
      </c>
    </row>
    <row r="243" spans="1:8" x14ac:dyDescent="0.35">
      <c r="A243" s="16" t="s">
        <v>353</v>
      </c>
      <c r="B243" s="19">
        <v>1768.68</v>
      </c>
      <c r="G243" s="16" t="s">
        <v>4060</v>
      </c>
      <c r="H243">
        <v>4</v>
      </c>
    </row>
    <row r="244" spans="1:8" x14ac:dyDescent="0.35">
      <c r="A244" s="16" t="s">
        <v>3544</v>
      </c>
      <c r="B244" s="19">
        <v>1767.9</v>
      </c>
      <c r="G244" s="16" t="s">
        <v>3587</v>
      </c>
      <c r="H244">
        <v>4</v>
      </c>
    </row>
    <row r="245" spans="1:8" x14ac:dyDescent="0.35">
      <c r="A245" s="16" t="s">
        <v>2882</v>
      </c>
      <c r="B245" s="19">
        <v>1766.22</v>
      </c>
      <c r="G245" s="16" t="s">
        <v>4115</v>
      </c>
      <c r="H245">
        <v>4</v>
      </c>
    </row>
    <row r="246" spans="1:8" x14ac:dyDescent="0.35">
      <c r="A246" s="16" t="s">
        <v>4007</v>
      </c>
      <c r="B246" s="19">
        <v>1765.32</v>
      </c>
      <c r="G246" s="16" t="s">
        <v>3605</v>
      </c>
      <c r="H246">
        <v>4</v>
      </c>
    </row>
    <row r="247" spans="1:8" x14ac:dyDescent="0.35">
      <c r="A247" s="16" t="s">
        <v>912</v>
      </c>
      <c r="B247" s="19">
        <v>1764.15</v>
      </c>
      <c r="G247" s="16" t="s">
        <v>4141</v>
      </c>
      <c r="H247">
        <v>4</v>
      </c>
    </row>
    <row r="248" spans="1:8" x14ac:dyDescent="0.35">
      <c r="A248" s="16" t="s">
        <v>3710</v>
      </c>
      <c r="B248" s="19">
        <v>1761.24</v>
      </c>
      <c r="G248" s="16" t="s">
        <v>3611</v>
      </c>
      <c r="H248">
        <v>4</v>
      </c>
    </row>
    <row r="249" spans="1:8" x14ac:dyDescent="0.35">
      <c r="A249" s="16" t="s">
        <v>3598</v>
      </c>
      <c r="B249" s="19">
        <v>1758.63</v>
      </c>
      <c r="G249" s="16" t="s">
        <v>4253</v>
      </c>
      <c r="H249">
        <v>4</v>
      </c>
    </row>
    <row r="250" spans="1:8" x14ac:dyDescent="0.35">
      <c r="A250" s="16" t="s">
        <v>954</v>
      </c>
      <c r="B250" s="19">
        <v>1751.16</v>
      </c>
      <c r="G250" s="16" t="s">
        <v>3630</v>
      </c>
      <c r="H250">
        <v>4</v>
      </c>
    </row>
    <row r="251" spans="1:8" x14ac:dyDescent="0.35">
      <c r="A251" s="16" t="s">
        <v>1038</v>
      </c>
      <c r="B251" s="19">
        <v>1740.48</v>
      </c>
      <c r="G251" s="16" t="s">
        <v>3871</v>
      </c>
      <c r="H251">
        <v>4</v>
      </c>
    </row>
    <row r="252" spans="1:8" x14ac:dyDescent="0.35">
      <c r="A252" s="16" t="s">
        <v>1860</v>
      </c>
      <c r="B252" s="19">
        <v>1739.6</v>
      </c>
      <c r="G252" s="16" t="s">
        <v>3636</v>
      </c>
      <c r="H252">
        <v>4</v>
      </c>
    </row>
    <row r="253" spans="1:8" x14ac:dyDescent="0.35">
      <c r="A253" s="16" t="s">
        <v>1052</v>
      </c>
      <c r="B253" s="19">
        <v>1739.4</v>
      </c>
      <c r="G253" s="16" t="s">
        <v>3887</v>
      </c>
      <c r="H253">
        <v>4</v>
      </c>
    </row>
    <row r="254" spans="1:8" x14ac:dyDescent="0.35">
      <c r="A254" s="16" t="s">
        <v>2943</v>
      </c>
      <c r="B254" s="19">
        <v>1738.65</v>
      </c>
      <c r="G254" s="16" t="s">
        <v>3659</v>
      </c>
      <c r="H254">
        <v>4</v>
      </c>
    </row>
    <row r="255" spans="1:8" x14ac:dyDescent="0.35">
      <c r="A255" s="16" t="s">
        <v>1792</v>
      </c>
      <c r="B255" s="19">
        <v>1737.68</v>
      </c>
      <c r="G255" s="16" t="s">
        <v>3926</v>
      </c>
      <c r="H255">
        <v>4</v>
      </c>
    </row>
    <row r="256" spans="1:8" x14ac:dyDescent="0.35">
      <c r="A256" s="16" t="s">
        <v>3121</v>
      </c>
      <c r="B256" s="19">
        <v>1736.92</v>
      </c>
      <c r="G256" s="16" t="s">
        <v>3662</v>
      </c>
      <c r="H256">
        <v>4</v>
      </c>
    </row>
    <row r="257" spans="1:8" x14ac:dyDescent="0.35">
      <c r="A257" s="16" t="s">
        <v>325</v>
      </c>
      <c r="B257" s="19">
        <v>1733.8</v>
      </c>
      <c r="G257" s="16" t="s">
        <v>3946</v>
      </c>
      <c r="H257">
        <v>4</v>
      </c>
    </row>
    <row r="258" spans="1:8" x14ac:dyDescent="0.35">
      <c r="A258" s="16" t="s">
        <v>3283</v>
      </c>
      <c r="B258" s="19">
        <v>1725.03</v>
      </c>
      <c r="G258" s="16" t="s">
        <v>3707</v>
      </c>
      <c r="H258">
        <v>4</v>
      </c>
    </row>
    <row r="259" spans="1:8" x14ac:dyDescent="0.35">
      <c r="A259" s="16" t="s">
        <v>405</v>
      </c>
      <c r="B259" s="19">
        <v>1724.04</v>
      </c>
      <c r="G259" s="16" t="s">
        <v>3962</v>
      </c>
      <c r="H259">
        <v>4</v>
      </c>
    </row>
    <row r="260" spans="1:8" x14ac:dyDescent="0.35">
      <c r="A260" s="16" t="s">
        <v>725</v>
      </c>
      <c r="B260" s="19">
        <v>1723.32</v>
      </c>
      <c r="G260" s="16" t="s">
        <v>3710</v>
      </c>
      <c r="H260">
        <v>4</v>
      </c>
    </row>
    <row r="261" spans="1:8" x14ac:dyDescent="0.35">
      <c r="A261" s="16" t="s">
        <v>3890</v>
      </c>
      <c r="B261" s="19">
        <v>1719.66</v>
      </c>
      <c r="G261" s="16" t="s">
        <v>3982</v>
      </c>
      <c r="H261">
        <v>4</v>
      </c>
    </row>
    <row r="262" spans="1:8" x14ac:dyDescent="0.35">
      <c r="A262" s="16" t="s">
        <v>2789</v>
      </c>
      <c r="B262" s="19">
        <v>1717.48</v>
      </c>
      <c r="G262" s="16" t="s">
        <v>3716</v>
      </c>
      <c r="H262">
        <v>4</v>
      </c>
    </row>
    <row r="263" spans="1:8" x14ac:dyDescent="0.35">
      <c r="A263" s="16" t="s">
        <v>4097</v>
      </c>
      <c r="B263" s="19">
        <v>1714.59</v>
      </c>
      <c r="G263" s="16" t="s">
        <v>3995</v>
      </c>
      <c r="H263">
        <v>4</v>
      </c>
    </row>
    <row r="264" spans="1:8" x14ac:dyDescent="0.35">
      <c r="A264" s="16" t="s">
        <v>2348</v>
      </c>
      <c r="B264" s="19">
        <v>1709.8</v>
      </c>
      <c r="G264" s="16" t="s">
        <v>3388</v>
      </c>
      <c r="H264">
        <v>4</v>
      </c>
    </row>
    <row r="265" spans="1:8" x14ac:dyDescent="0.35">
      <c r="A265" s="16" t="s">
        <v>3009</v>
      </c>
      <c r="B265" s="19">
        <v>1709.52</v>
      </c>
      <c r="G265" s="16" t="s">
        <v>4028</v>
      </c>
      <c r="H265">
        <v>4</v>
      </c>
    </row>
    <row r="266" spans="1:8" x14ac:dyDescent="0.35">
      <c r="A266" s="16" t="s">
        <v>2444</v>
      </c>
      <c r="B266" s="19">
        <v>1709.2</v>
      </c>
      <c r="G266" s="16" t="s">
        <v>3731</v>
      </c>
      <c r="H266">
        <v>4</v>
      </c>
    </row>
    <row r="267" spans="1:8" x14ac:dyDescent="0.35">
      <c r="A267" s="16" t="s">
        <v>3136</v>
      </c>
      <c r="B267" s="19">
        <v>1704.15</v>
      </c>
      <c r="G267" s="16" t="s">
        <v>4045</v>
      </c>
      <c r="H267">
        <v>4</v>
      </c>
    </row>
    <row r="268" spans="1:8" x14ac:dyDescent="0.35">
      <c r="A268" s="16" t="s">
        <v>1965</v>
      </c>
      <c r="B268" s="19">
        <v>1704.06</v>
      </c>
      <c r="G268" s="16" t="s">
        <v>3735</v>
      </c>
      <c r="H268">
        <v>4</v>
      </c>
    </row>
    <row r="269" spans="1:8" x14ac:dyDescent="0.35">
      <c r="A269" s="16" t="s">
        <v>3887</v>
      </c>
      <c r="B269" s="19">
        <v>1702.4</v>
      </c>
      <c r="G269" s="16" t="s">
        <v>4070</v>
      </c>
      <c r="H269">
        <v>4</v>
      </c>
    </row>
    <row r="270" spans="1:8" x14ac:dyDescent="0.35">
      <c r="A270" s="16" t="s">
        <v>2101</v>
      </c>
      <c r="B270" s="19">
        <v>1700.72</v>
      </c>
      <c r="G270" s="16" t="s">
        <v>3756</v>
      </c>
      <c r="H270">
        <v>4</v>
      </c>
    </row>
    <row r="271" spans="1:8" x14ac:dyDescent="0.35">
      <c r="A271" s="16" t="s">
        <v>1928</v>
      </c>
      <c r="B271" s="19">
        <v>1695.75</v>
      </c>
      <c r="G271" s="16" t="s">
        <v>4085</v>
      </c>
      <c r="H271">
        <v>4</v>
      </c>
    </row>
    <row r="272" spans="1:8" x14ac:dyDescent="0.35">
      <c r="A272" s="16" t="s">
        <v>2615</v>
      </c>
      <c r="B272" s="19">
        <v>1687.65</v>
      </c>
      <c r="G272" s="16" t="s">
        <v>3777</v>
      </c>
      <c r="H272">
        <v>4</v>
      </c>
    </row>
    <row r="273" spans="1:8" x14ac:dyDescent="0.35">
      <c r="A273" s="16" t="s">
        <v>1569</v>
      </c>
      <c r="B273" s="19">
        <v>1686.9</v>
      </c>
      <c r="G273" s="16" t="s">
        <v>4125</v>
      </c>
      <c r="H273">
        <v>4</v>
      </c>
    </row>
    <row r="274" spans="1:8" x14ac:dyDescent="0.35">
      <c r="A274" s="16" t="s">
        <v>4045</v>
      </c>
      <c r="B274" s="19">
        <v>1674.84</v>
      </c>
      <c r="G274" s="16" t="s">
        <v>3781</v>
      </c>
      <c r="H274">
        <v>4</v>
      </c>
    </row>
    <row r="275" spans="1:8" x14ac:dyDescent="0.35">
      <c r="A275" s="16" t="s">
        <v>1220</v>
      </c>
      <c r="B275" s="19">
        <v>1672.23</v>
      </c>
      <c r="G275" s="16" t="s">
        <v>4135</v>
      </c>
      <c r="H275">
        <v>4</v>
      </c>
    </row>
    <row r="276" spans="1:8" x14ac:dyDescent="0.35">
      <c r="A276" s="16" t="s">
        <v>2921</v>
      </c>
      <c r="B276" s="19">
        <v>1671.56</v>
      </c>
      <c r="G276" s="16" t="s">
        <v>3805</v>
      </c>
      <c r="H276">
        <v>4</v>
      </c>
    </row>
    <row r="277" spans="1:8" x14ac:dyDescent="0.35">
      <c r="A277" s="16" t="s">
        <v>2262</v>
      </c>
      <c r="B277" s="19">
        <v>1670.97</v>
      </c>
      <c r="G277" s="16" t="s">
        <v>4144</v>
      </c>
      <c r="H277">
        <v>4</v>
      </c>
    </row>
    <row r="278" spans="1:8" x14ac:dyDescent="0.35">
      <c r="A278" s="16" t="s">
        <v>2748</v>
      </c>
      <c r="B278" s="19">
        <v>1663.2</v>
      </c>
      <c r="G278" s="16" t="s">
        <v>3833</v>
      </c>
      <c r="H278">
        <v>4</v>
      </c>
    </row>
    <row r="279" spans="1:8" x14ac:dyDescent="0.35">
      <c r="A279" s="16" t="s">
        <v>4024</v>
      </c>
      <c r="B279" s="19">
        <v>1662.75</v>
      </c>
      <c r="G279" s="16" t="s">
        <v>4215</v>
      </c>
      <c r="H279">
        <v>4</v>
      </c>
    </row>
    <row r="280" spans="1:8" x14ac:dyDescent="0.35">
      <c r="A280" s="16" t="s">
        <v>1506</v>
      </c>
      <c r="B280" s="19">
        <v>1660.71</v>
      </c>
      <c r="G280" s="16" t="s">
        <v>3410</v>
      </c>
      <c r="H280">
        <v>4</v>
      </c>
    </row>
    <row r="281" spans="1:8" x14ac:dyDescent="0.35">
      <c r="A281" s="16" t="s">
        <v>1974</v>
      </c>
      <c r="B281" s="19">
        <v>1660.56</v>
      </c>
      <c r="G281" s="16" t="s">
        <v>4275</v>
      </c>
      <c r="H281">
        <v>4</v>
      </c>
    </row>
    <row r="282" spans="1:8" x14ac:dyDescent="0.35">
      <c r="A282" s="16" t="s">
        <v>1017</v>
      </c>
      <c r="B282" s="19">
        <v>1654.96</v>
      </c>
      <c r="G282" s="16" t="s">
        <v>3852</v>
      </c>
      <c r="H282">
        <v>4</v>
      </c>
    </row>
    <row r="283" spans="1:8" x14ac:dyDescent="0.35">
      <c r="A283" s="16" t="s">
        <v>832</v>
      </c>
      <c r="B283" s="19">
        <v>1654.84</v>
      </c>
      <c r="G283" s="16" t="s">
        <v>3451</v>
      </c>
      <c r="H283">
        <v>4</v>
      </c>
    </row>
    <row r="284" spans="1:8" x14ac:dyDescent="0.35">
      <c r="A284" s="16" t="s">
        <v>3164</v>
      </c>
      <c r="B284" s="19">
        <v>1652.25</v>
      </c>
      <c r="G284" s="16" t="s">
        <v>3861</v>
      </c>
      <c r="H284">
        <v>4</v>
      </c>
    </row>
    <row r="285" spans="1:8" x14ac:dyDescent="0.35">
      <c r="A285" s="16" t="s">
        <v>3517</v>
      </c>
      <c r="B285" s="19">
        <v>1648.8</v>
      </c>
      <c r="G285" s="16" t="s">
        <v>3016</v>
      </c>
      <c r="H285">
        <v>4</v>
      </c>
    </row>
    <row r="286" spans="1:8" x14ac:dyDescent="0.35">
      <c r="A286" s="16" t="s">
        <v>3773</v>
      </c>
      <c r="B286" s="19">
        <v>1641.45</v>
      </c>
      <c r="G286" s="16" t="s">
        <v>2488</v>
      </c>
      <c r="H286">
        <v>4</v>
      </c>
    </row>
    <row r="287" spans="1:8" x14ac:dyDescent="0.35">
      <c r="A287" s="16" t="s">
        <v>4070</v>
      </c>
      <c r="B287" s="19">
        <v>1640.84</v>
      </c>
      <c r="G287" s="16" t="s">
        <v>2462</v>
      </c>
      <c r="H287">
        <v>4</v>
      </c>
    </row>
    <row r="288" spans="1:8" x14ac:dyDescent="0.35">
      <c r="A288" s="16" t="s">
        <v>1682</v>
      </c>
      <c r="B288" s="19">
        <v>1638.4</v>
      </c>
      <c r="G288" s="16" t="s">
        <v>2762</v>
      </c>
      <c r="H288">
        <v>4</v>
      </c>
    </row>
    <row r="289" spans="1:8" x14ac:dyDescent="0.35">
      <c r="A289" s="16" t="s">
        <v>2925</v>
      </c>
      <c r="B289" s="19">
        <v>1637.12</v>
      </c>
      <c r="G289" s="16" t="s">
        <v>3205</v>
      </c>
      <c r="H289">
        <v>4</v>
      </c>
    </row>
    <row r="290" spans="1:8" x14ac:dyDescent="0.35">
      <c r="A290" s="16" t="s">
        <v>4032</v>
      </c>
      <c r="B290" s="19">
        <v>1633.44</v>
      </c>
      <c r="G290" s="16" t="s">
        <v>3249</v>
      </c>
      <c r="H290">
        <v>4</v>
      </c>
    </row>
    <row r="291" spans="1:8" x14ac:dyDescent="0.35">
      <c r="A291" s="16" t="s">
        <v>644</v>
      </c>
      <c r="B291" s="19">
        <v>1632.84</v>
      </c>
      <c r="G291" s="16" t="s">
        <v>3036</v>
      </c>
      <c r="H291">
        <v>4</v>
      </c>
    </row>
    <row r="292" spans="1:8" x14ac:dyDescent="0.35">
      <c r="A292" s="16" t="s">
        <v>737</v>
      </c>
      <c r="B292" s="19">
        <v>1619.73</v>
      </c>
      <c r="G292" s="16" t="s">
        <v>2789</v>
      </c>
      <c r="H292">
        <v>4</v>
      </c>
    </row>
    <row r="293" spans="1:8" x14ac:dyDescent="0.35">
      <c r="A293" s="16" t="s">
        <v>1917</v>
      </c>
      <c r="B293" s="19">
        <v>1618.38</v>
      </c>
      <c r="G293" s="16" t="s">
        <v>3089</v>
      </c>
      <c r="H293">
        <v>4</v>
      </c>
    </row>
    <row r="294" spans="1:8" x14ac:dyDescent="0.35">
      <c r="A294" s="16" t="s">
        <v>3054</v>
      </c>
      <c r="B294" s="19">
        <v>1618.32</v>
      </c>
      <c r="G294" s="16" t="s">
        <v>2820</v>
      </c>
      <c r="H294">
        <v>4</v>
      </c>
    </row>
    <row r="295" spans="1:8" x14ac:dyDescent="0.35">
      <c r="A295" s="16" t="s">
        <v>962</v>
      </c>
      <c r="B295" s="19">
        <v>1616.22</v>
      </c>
      <c r="G295" s="16" t="s">
        <v>2728</v>
      </c>
      <c r="H295">
        <v>4</v>
      </c>
    </row>
    <row r="296" spans="1:8" x14ac:dyDescent="0.35">
      <c r="A296" s="16" t="s">
        <v>1983</v>
      </c>
      <c r="B296" s="19">
        <v>1614.32</v>
      </c>
      <c r="G296" s="16" t="s">
        <v>2389</v>
      </c>
      <c r="H296">
        <v>4</v>
      </c>
    </row>
    <row r="297" spans="1:8" x14ac:dyDescent="0.35">
      <c r="A297" s="16" t="s">
        <v>601</v>
      </c>
      <c r="B297" s="19">
        <v>1600.28</v>
      </c>
      <c r="G297" s="16" t="s">
        <v>2742</v>
      </c>
      <c r="H297">
        <v>4</v>
      </c>
    </row>
    <row r="298" spans="1:8" x14ac:dyDescent="0.35">
      <c r="A298" s="16" t="s">
        <v>2027</v>
      </c>
      <c r="B298" s="19">
        <v>1600.05</v>
      </c>
      <c r="G298" s="16" t="s">
        <v>2517</v>
      </c>
      <c r="H298">
        <v>4</v>
      </c>
    </row>
    <row r="299" spans="1:8" x14ac:dyDescent="0.35">
      <c r="A299" s="16" t="s">
        <v>3633</v>
      </c>
      <c r="B299" s="19">
        <v>1599.85</v>
      </c>
      <c r="G299" s="16" t="s">
        <v>2653</v>
      </c>
      <c r="H299">
        <v>4</v>
      </c>
    </row>
    <row r="300" spans="1:8" x14ac:dyDescent="0.35">
      <c r="A300" s="16" t="s">
        <v>2056</v>
      </c>
      <c r="B300" s="19">
        <v>1595.16</v>
      </c>
      <c r="G300" s="16" t="s">
        <v>2847</v>
      </c>
      <c r="H300">
        <v>4</v>
      </c>
    </row>
    <row r="301" spans="1:8" x14ac:dyDescent="0.35">
      <c r="A301" s="16" t="s">
        <v>590</v>
      </c>
      <c r="B301" s="19">
        <v>1584.42</v>
      </c>
      <c r="G301" s="16" t="s">
        <v>3054</v>
      </c>
      <c r="H301">
        <v>4</v>
      </c>
    </row>
    <row r="302" spans="1:8" x14ac:dyDescent="0.35">
      <c r="A302" s="16" t="s">
        <v>3769</v>
      </c>
      <c r="B302" s="19">
        <v>1582</v>
      </c>
      <c r="G302" s="16" t="s">
        <v>2392</v>
      </c>
      <c r="H302">
        <v>4</v>
      </c>
    </row>
    <row r="303" spans="1:8" x14ac:dyDescent="0.35">
      <c r="A303" s="16" t="s">
        <v>741</v>
      </c>
      <c r="B303" s="19">
        <v>1580.35</v>
      </c>
      <c r="G303" s="16" t="s">
        <v>2485</v>
      </c>
      <c r="H303">
        <v>4</v>
      </c>
    </row>
    <row r="304" spans="1:8" x14ac:dyDescent="0.35">
      <c r="A304" s="16" t="s">
        <v>4161</v>
      </c>
      <c r="B304" s="19">
        <v>1577.85</v>
      </c>
      <c r="G304" s="16" t="s">
        <v>2878</v>
      </c>
      <c r="H304">
        <v>4</v>
      </c>
    </row>
    <row r="305" spans="1:8" x14ac:dyDescent="0.35">
      <c r="A305" s="16" t="s">
        <v>1503</v>
      </c>
      <c r="B305" s="19">
        <v>1575.2</v>
      </c>
      <c r="G305" s="16" t="s">
        <v>3127</v>
      </c>
      <c r="H305">
        <v>4</v>
      </c>
    </row>
    <row r="306" spans="1:8" x14ac:dyDescent="0.35">
      <c r="A306" s="16" t="s">
        <v>1710</v>
      </c>
      <c r="B306" s="19">
        <v>1574.7</v>
      </c>
      <c r="G306" s="16" t="s">
        <v>2886</v>
      </c>
      <c r="H306">
        <v>4</v>
      </c>
    </row>
    <row r="307" spans="1:8" x14ac:dyDescent="0.35">
      <c r="A307" s="16" t="s">
        <v>263</v>
      </c>
      <c r="B307" s="19">
        <v>1571.35</v>
      </c>
      <c r="G307" s="16" t="s">
        <v>2725</v>
      </c>
      <c r="H307">
        <v>4</v>
      </c>
    </row>
    <row r="308" spans="1:8" x14ac:dyDescent="0.35">
      <c r="A308" s="16" t="s">
        <v>3020</v>
      </c>
      <c r="B308" s="19">
        <v>1563.36</v>
      </c>
      <c r="G308" s="16" t="s">
        <v>2547</v>
      </c>
      <c r="H308">
        <v>4</v>
      </c>
    </row>
    <row r="309" spans="1:8" x14ac:dyDescent="0.35">
      <c r="A309" s="16" t="s">
        <v>2742</v>
      </c>
      <c r="B309" s="19">
        <v>1546.92</v>
      </c>
      <c r="G309" s="16" t="s">
        <v>3190</v>
      </c>
      <c r="H309">
        <v>4</v>
      </c>
    </row>
    <row r="310" spans="1:8" x14ac:dyDescent="0.35">
      <c r="A310" s="16" t="s">
        <v>919</v>
      </c>
      <c r="B310" s="19">
        <v>1543.68</v>
      </c>
      <c r="G310" s="16" t="s">
        <v>2551</v>
      </c>
      <c r="H310">
        <v>4</v>
      </c>
    </row>
    <row r="311" spans="1:8" x14ac:dyDescent="0.35">
      <c r="A311" s="16" t="s">
        <v>2148</v>
      </c>
      <c r="B311" s="19">
        <v>1539.9</v>
      </c>
      <c r="G311" s="16" t="s">
        <v>2734</v>
      </c>
      <c r="H311">
        <v>4</v>
      </c>
    </row>
    <row r="312" spans="1:8" x14ac:dyDescent="0.35">
      <c r="A312" s="16" t="s">
        <v>2935</v>
      </c>
      <c r="B312" s="19">
        <v>1539.4</v>
      </c>
      <c r="G312" s="16" t="s">
        <v>2909</v>
      </c>
      <c r="H312">
        <v>4</v>
      </c>
    </row>
    <row r="313" spans="1:8" x14ac:dyDescent="0.35">
      <c r="A313" s="16" t="s">
        <v>1461</v>
      </c>
      <c r="B313" s="19">
        <v>1538.8</v>
      </c>
      <c r="G313" s="16" t="s">
        <v>2288</v>
      </c>
      <c r="H313">
        <v>4</v>
      </c>
    </row>
    <row r="314" spans="1:8" x14ac:dyDescent="0.35">
      <c r="A314" s="16" t="s">
        <v>958</v>
      </c>
      <c r="B314" s="19">
        <v>1537.28</v>
      </c>
      <c r="G314" s="16" t="s">
        <v>2567</v>
      </c>
      <c r="H314">
        <v>4</v>
      </c>
    </row>
    <row r="315" spans="1:8" x14ac:dyDescent="0.35">
      <c r="A315" s="16" t="s">
        <v>337</v>
      </c>
      <c r="B315" s="19">
        <v>1531.52</v>
      </c>
      <c r="G315" s="16" t="s">
        <v>3020</v>
      </c>
      <c r="H315">
        <v>4</v>
      </c>
    </row>
    <row r="316" spans="1:8" x14ac:dyDescent="0.35">
      <c r="A316" s="16" t="s">
        <v>2544</v>
      </c>
      <c r="B316" s="19">
        <v>1528.26</v>
      </c>
      <c r="G316" s="16" t="s">
        <v>2921</v>
      </c>
      <c r="H316">
        <v>4</v>
      </c>
    </row>
    <row r="317" spans="1:8" x14ac:dyDescent="0.35">
      <c r="A317" s="16" t="s">
        <v>1334</v>
      </c>
      <c r="B317" s="19">
        <v>1527.45</v>
      </c>
      <c r="G317" s="16" t="s">
        <v>3030</v>
      </c>
      <c r="H317">
        <v>4</v>
      </c>
    </row>
    <row r="318" spans="1:8" x14ac:dyDescent="0.35">
      <c r="A318" s="16" t="s">
        <v>1821</v>
      </c>
      <c r="B318" s="19">
        <v>1524.36</v>
      </c>
      <c r="G318" s="16" t="s">
        <v>2925</v>
      </c>
      <c r="H318">
        <v>4</v>
      </c>
    </row>
    <row r="319" spans="1:8" x14ac:dyDescent="0.35">
      <c r="A319" s="16" t="s">
        <v>1899</v>
      </c>
      <c r="B319" s="19">
        <v>1517.37</v>
      </c>
      <c r="G319" s="16" t="s">
        <v>2670</v>
      </c>
      <c r="H319">
        <v>4</v>
      </c>
    </row>
    <row r="320" spans="1:8" x14ac:dyDescent="0.35">
      <c r="A320" s="16" t="s">
        <v>3465</v>
      </c>
      <c r="B320" s="19">
        <v>1510.17</v>
      </c>
      <c r="G320" s="16" t="s">
        <v>2396</v>
      </c>
      <c r="H320">
        <v>4</v>
      </c>
    </row>
    <row r="321" spans="1:8" x14ac:dyDescent="0.35">
      <c r="A321" s="16" t="s">
        <v>1330</v>
      </c>
      <c r="B321" s="19">
        <v>1508.31</v>
      </c>
      <c r="G321" s="16" t="s">
        <v>3062</v>
      </c>
      <c r="H321">
        <v>4</v>
      </c>
    </row>
    <row r="322" spans="1:8" x14ac:dyDescent="0.35">
      <c r="A322" s="16" t="s">
        <v>4253</v>
      </c>
      <c r="B322" s="19">
        <v>1505.72</v>
      </c>
      <c r="G322" s="16" t="s">
        <v>2935</v>
      </c>
      <c r="H322">
        <v>4</v>
      </c>
    </row>
    <row r="323" spans="1:8" x14ac:dyDescent="0.35">
      <c r="A323" s="16" t="s">
        <v>4077</v>
      </c>
      <c r="B323" s="19">
        <v>1505.46</v>
      </c>
      <c r="G323" s="16" t="s">
        <v>2698</v>
      </c>
      <c r="H323">
        <v>4</v>
      </c>
    </row>
    <row r="324" spans="1:8" x14ac:dyDescent="0.35">
      <c r="A324" s="16" t="s">
        <v>551</v>
      </c>
      <c r="B324" s="19">
        <v>1503.9</v>
      </c>
      <c r="G324" s="16" t="s">
        <v>2939</v>
      </c>
      <c r="H324">
        <v>4</v>
      </c>
    </row>
    <row r="325" spans="1:8" x14ac:dyDescent="0.35">
      <c r="A325" s="16" t="s">
        <v>163</v>
      </c>
      <c r="B325" s="19">
        <v>1500.24</v>
      </c>
      <c r="G325" s="16" t="s">
        <v>2705</v>
      </c>
      <c r="H325">
        <v>4</v>
      </c>
    </row>
    <row r="326" spans="1:8" x14ac:dyDescent="0.35">
      <c r="A326" s="16" t="s">
        <v>210</v>
      </c>
      <c r="B326" s="19">
        <v>1497.63</v>
      </c>
      <c r="G326" s="16" t="s">
        <v>2588</v>
      </c>
      <c r="H326">
        <v>4</v>
      </c>
    </row>
    <row r="327" spans="1:8" x14ac:dyDescent="0.35">
      <c r="A327" s="16" t="s">
        <v>2358</v>
      </c>
      <c r="B327" s="19">
        <v>1496.04</v>
      </c>
      <c r="G327" s="16" t="s">
        <v>3121</v>
      </c>
      <c r="H327">
        <v>4</v>
      </c>
    </row>
    <row r="328" spans="1:8" x14ac:dyDescent="0.35">
      <c r="A328" s="16" t="s">
        <v>4082</v>
      </c>
      <c r="B328" s="19">
        <v>1495.98</v>
      </c>
      <c r="G328" s="16" t="s">
        <v>2953</v>
      </c>
      <c r="H328">
        <v>4</v>
      </c>
    </row>
    <row r="329" spans="1:8" x14ac:dyDescent="0.35">
      <c r="A329" s="16" t="s">
        <v>3324</v>
      </c>
      <c r="B329" s="19">
        <v>1491.95</v>
      </c>
      <c r="G329" s="16" t="s">
        <v>2709</v>
      </c>
      <c r="H329">
        <v>4</v>
      </c>
    </row>
    <row r="330" spans="1:8" x14ac:dyDescent="0.35">
      <c r="A330" s="16" t="s">
        <v>2389</v>
      </c>
      <c r="B330" s="19">
        <v>1484.28</v>
      </c>
      <c r="G330" s="16" t="s">
        <v>2960</v>
      </c>
      <c r="H330">
        <v>4</v>
      </c>
    </row>
    <row r="331" spans="1:8" x14ac:dyDescent="0.35">
      <c r="A331" s="16" t="s">
        <v>3910</v>
      </c>
      <c r="B331" s="19">
        <v>1474.29</v>
      </c>
      <c r="G331" s="16" t="s">
        <v>2722</v>
      </c>
      <c r="H331">
        <v>4</v>
      </c>
    </row>
    <row r="332" spans="1:8" x14ac:dyDescent="0.35">
      <c r="A332" s="16" t="s">
        <v>307</v>
      </c>
      <c r="B332" s="19">
        <v>1472.76</v>
      </c>
      <c r="G332" s="16" t="s">
        <v>2406</v>
      </c>
      <c r="H332">
        <v>4</v>
      </c>
    </row>
    <row r="333" spans="1:8" x14ac:dyDescent="0.35">
      <c r="A333" s="16" t="s">
        <v>2052</v>
      </c>
      <c r="B333" s="19">
        <v>1472.22</v>
      </c>
      <c r="G333" s="16" t="s">
        <v>3178</v>
      </c>
      <c r="H333">
        <v>4</v>
      </c>
    </row>
    <row r="334" spans="1:8" x14ac:dyDescent="0.35">
      <c r="A334" s="16" t="s">
        <v>3140</v>
      </c>
      <c r="B334" s="19">
        <v>1470.03</v>
      </c>
      <c r="G334" s="16" t="s">
        <v>2594</v>
      </c>
      <c r="H334">
        <v>4</v>
      </c>
    </row>
    <row r="335" spans="1:8" x14ac:dyDescent="0.35">
      <c r="A335" s="16" t="s">
        <v>3002</v>
      </c>
      <c r="B335" s="19">
        <v>1462.7</v>
      </c>
      <c r="G335" s="16" t="s">
        <v>3186</v>
      </c>
      <c r="H335">
        <v>4</v>
      </c>
    </row>
    <row r="336" spans="1:8" x14ac:dyDescent="0.35">
      <c r="A336" s="16" t="s">
        <v>1464</v>
      </c>
      <c r="B336" s="19">
        <v>1450.59</v>
      </c>
      <c r="G336" s="16" t="s">
        <v>2272</v>
      </c>
      <c r="H336">
        <v>4</v>
      </c>
    </row>
    <row r="337" spans="1:8" x14ac:dyDescent="0.35">
      <c r="A337" s="16" t="s">
        <v>3861</v>
      </c>
      <c r="B337" s="19">
        <v>1448.24</v>
      </c>
      <c r="G337" s="16" t="s">
        <v>3197</v>
      </c>
      <c r="H337">
        <v>4</v>
      </c>
    </row>
    <row r="338" spans="1:8" x14ac:dyDescent="0.35">
      <c r="A338" s="16" t="s">
        <v>3040</v>
      </c>
      <c r="B338" s="19">
        <v>1443.3</v>
      </c>
      <c r="G338" s="16" t="s">
        <v>2622</v>
      </c>
      <c r="H338">
        <v>4</v>
      </c>
    </row>
    <row r="339" spans="1:8" x14ac:dyDescent="0.35">
      <c r="A339" s="16" t="s">
        <v>259</v>
      </c>
      <c r="B339" s="19">
        <v>1437.63</v>
      </c>
      <c r="G339" s="16" t="s">
        <v>2492</v>
      </c>
      <c r="H339">
        <v>4</v>
      </c>
    </row>
    <row r="340" spans="1:8" x14ac:dyDescent="0.35">
      <c r="A340" s="16" t="s">
        <v>310</v>
      </c>
      <c r="B340" s="19">
        <v>1435.95</v>
      </c>
      <c r="G340" s="16" t="s">
        <v>2423</v>
      </c>
      <c r="H340">
        <v>4</v>
      </c>
    </row>
    <row r="341" spans="1:8" x14ac:dyDescent="0.35">
      <c r="A341" s="16" t="s">
        <v>1547</v>
      </c>
      <c r="B341" s="19">
        <v>1435.65</v>
      </c>
      <c r="G341" s="16" t="s">
        <v>3231</v>
      </c>
      <c r="H341">
        <v>4</v>
      </c>
    </row>
    <row r="342" spans="1:8" x14ac:dyDescent="0.35">
      <c r="A342" s="16" t="s">
        <v>2517</v>
      </c>
      <c r="B342" s="19">
        <v>1435</v>
      </c>
      <c r="G342" s="16" t="s">
        <v>2632</v>
      </c>
      <c r="H342">
        <v>4</v>
      </c>
    </row>
    <row r="343" spans="1:8" x14ac:dyDescent="0.35">
      <c r="A343" s="16" t="s">
        <v>3969</v>
      </c>
      <c r="B343" s="19">
        <v>1427.07</v>
      </c>
      <c r="G343" s="16" t="s">
        <v>2505</v>
      </c>
      <c r="H343">
        <v>4</v>
      </c>
    </row>
    <row r="344" spans="1:8" x14ac:dyDescent="0.35">
      <c r="A344" s="16" t="s">
        <v>2202</v>
      </c>
      <c r="B344" s="19">
        <v>1422.42</v>
      </c>
      <c r="G344" s="16" t="s">
        <v>3005</v>
      </c>
      <c r="H344">
        <v>4</v>
      </c>
    </row>
    <row r="345" spans="1:8" x14ac:dyDescent="0.35">
      <c r="A345" s="16" t="s">
        <v>3311</v>
      </c>
      <c r="B345" s="19">
        <v>1420.47</v>
      </c>
      <c r="G345" s="16" t="s">
        <v>2781</v>
      </c>
      <c r="H345">
        <v>4</v>
      </c>
    </row>
    <row r="346" spans="1:8" x14ac:dyDescent="0.35">
      <c r="A346" s="16" t="s">
        <v>3581</v>
      </c>
      <c r="B346" s="19">
        <v>1418.65</v>
      </c>
      <c r="G346" s="16" t="s">
        <v>3293</v>
      </c>
      <c r="H346">
        <v>4</v>
      </c>
    </row>
    <row r="347" spans="1:8" x14ac:dyDescent="0.35">
      <c r="A347" s="16" t="s">
        <v>539</v>
      </c>
      <c r="B347" s="19">
        <v>1407.96</v>
      </c>
      <c r="G347" s="16" t="s">
        <v>1475</v>
      </c>
      <c r="H347">
        <v>4</v>
      </c>
    </row>
    <row r="348" spans="1:8" x14ac:dyDescent="0.35">
      <c r="A348" s="16" t="s">
        <v>1200</v>
      </c>
      <c r="B348" s="19">
        <v>1406.22</v>
      </c>
      <c r="G348" s="16" t="s">
        <v>2208</v>
      </c>
      <c r="H348">
        <v>4</v>
      </c>
    </row>
    <row r="349" spans="1:8" x14ac:dyDescent="0.35">
      <c r="A349" s="16" t="s">
        <v>3509</v>
      </c>
      <c r="B349" s="19">
        <v>1402.6</v>
      </c>
      <c r="G349" s="16" t="s">
        <v>2101</v>
      </c>
      <c r="H349">
        <v>4</v>
      </c>
    </row>
    <row r="350" spans="1:8" x14ac:dyDescent="0.35">
      <c r="A350" s="16" t="s">
        <v>3327</v>
      </c>
      <c r="B350" s="19">
        <v>1395.86</v>
      </c>
      <c r="G350" s="16" t="s">
        <v>1579</v>
      </c>
      <c r="H350">
        <v>4</v>
      </c>
    </row>
    <row r="351" spans="1:8" x14ac:dyDescent="0.35">
      <c r="A351" s="16" t="s">
        <v>456</v>
      </c>
      <c r="B351" s="19">
        <v>1395.15</v>
      </c>
      <c r="G351" s="16" t="s">
        <v>1980</v>
      </c>
      <c r="H351">
        <v>4</v>
      </c>
    </row>
    <row r="352" spans="1:8" x14ac:dyDescent="0.35">
      <c r="A352" s="16" t="s">
        <v>4182</v>
      </c>
      <c r="B352" s="19">
        <v>1394.38</v>
      </c>
      <c r="G352" s="16" t="s">
        <v>1582</v>
      </c>
      <c r="H352">
        <v>4</v>
      </c>
    </row>
    <row r="353" spans="1:8" x14ac:dyDescent="0.35">
      <c r="A353" s="16" t="s">
        <v>3048</v>
      </c>
      <c r="B353" s="19">
        <v>1391.43</v>
      </c>
      <c r="G353" s="16" t="s">
        <v>1493</v>
      </c>
      <c r="H353">
        <v>4</v>
      </c>
    </row>
    <row r="354" spans="1:8" x14ac:dyDescent="0.35">
      <c r="A354" s="16" t="s">
        <v>4111</v>
      </c>
      <c r="B354" s="19">
        <v>1390.58</v>
      </c>
      <c r="G354" s="16" t="s">
        <v>1585</v>
      </c>
      <c r="H354">
        <v>4</v>
      </c>
    </row>
    <row r="355" spans="1:8" x14ac:dyDescent="0.35">
      <c r="A355" s="16" t="s">
        <v>2536</v>
      </c>
      <c r="B355" s="19">
        <v>1390.17</v>
      </c>
      <c r="G355" s="16" t="s">
        <v>2151</v>
      </c>
      <c r="H355">
        <v>4</v>
      </c>
    </row>
    <row r="356" spans="1:8" x14ac:dyDescent="0.35">
      <c r="A356" s="16" t="s">
        <v>3960</v>
      </c>
      <c r="B356" s="19">
        <v>1388.68</v>
      </c>
      <c r="G356" s="16" t="s">
        <v>1370</v>
      </c>
      <c r="H356">
        <v>4</v>
      </c>
    </row>
    <row r="357" spans="1:8" x14ac:dyDescent="0.35">
      <c r="A357" s="16" t="s">
        <v>3445</v>
      </c>
      <c r="B357" s="19">
        <v>1382.2</v>
      </c>
      <c r="G357" s="16" t="s">
        <v>1562</v>
      </c>
      <c r="H357">
        <v>4</v>
      </c>
    </row>
    <row r="358" spans="1:8" x14ac:dyDescent="0.35">
      <c r="A358" s="16" t="s">
        <v>1695</v>
      </c>
      <c r="B358" s="19">
        <v>1378.02</v>
      </c>
      <c r="G358" s="16" t="s">
        <v>1273</v>
      </c>
      <c r="H358">
        <v>4</v>
      </c>
    </row>
    <row r="359" spans="1:8" x14ac:dyDescent="0.35">
      <c r="A359" s="16" t="s">
        <v>123</v>
      </c>
      <c r="B359" s="19">
        <v>1371.8</v>
      </c>
      <c r="G359" s="16" t="s">
        <v>1986</v>
      </c>
      <c r="H359">
        <v>4</v>
      </c>
    </row>
    <row r="360" spans="1:8" x14ac:dyDescent="0.35">
      <c r="A360" s="16" t="s">
        <v>597</v>
      </c>
      <c r="B360" s="19">
        <v>1363.85</v>
      </c>
      <c r="G360" s="16" t="s">
        <v>1641</v>
      </c>
      <c r="H360">
        <v>4</v>
      </c>
    </row>
    <row r="361" spans="1:8" x14ac:dyDescent="0.35">
      <c r="A361" s="16" t="s">
        <v>2663</v>
      </c>
      <c r="B361" s="19">
        <v>1362.87</v>
      </c>
      <c r="G361" s="16" t="s">
        <v>1212</v>
      </c>
      <c r="H361">
        <v>4</v>
      </c>
    </row>
    <row r="362" spans="1:8" x14ac:dyDescent="0.35">
      <c r="A362" s="16" t="s">
        <v>2674</v>
      </c>
      <c r="B362" s="19">
        <v>1362.12</v>
      </c>
      <c r="G362" s="16" t="s">
        <v>1644</v>
      </c>
      <c r="H362">
        <v>4</v>
      </c>
    </row>
    <row r="363" spans="1:8" x14ac:dyDescent="0.35">
      <c r="A363" s="16" t="s">
        <v>3675</v>
      </c>
      <c r="B363" s="19">
        <v>1361.7</v>
      </c>
      <c r="G363" s="16" t="s">
        <v>2091</v>
      </c>
      <c r="H363">
        <v>4</v>
      </c>
    </row>
    <row r="364" spans="1:8" x14ac:dyDescent="0.35">
      <c r="A364" s="16" t="s">
        <v>812</v>
      </c>
      <c r="B364" s="19">
        <v>1361.2</v>
      </c>
      <c r="G364" s="16" t="s">
        <v>1662</v>
      </c>
      <c r="H364">
        <v>4</v>
      </c>
    </row>
    <row r="365" spans="1:8" x14ac:dyDescent="0.35">
      <c r="A365" s="16" t="s">
        <v>3044</v>
      </c>
      <c r="B365" s="19">
        <v>1358.45</v>
      </c>
      <c r="G365" s="16" t="s">
        <v>2129</v>
      </c>
      <c r="H365">
        <v>4</v>
      </c>
    </row>
    <row r="366" spans="1:8" x14ac:dyDescent="0.35">
      <c r="A366" s="16" t="s">
        <v>3692</v>
      </c>
      <c r="B366" s="19">
        <v>1352.94</v>
      </c>
      <c r="G366" s="16" t="s">
        <v>1665</v>
      </c>
      <c r="H366">
        <v>4</v>
      </c>
    </row>
    <row r="367" spans="1:8" x14ac:dyDescent="0.35">
      <c r="A367" s="16" t="s">
        <v>2019</v>
      </c>
      <c r="B367" s="19">
        <v>1350.2</v>
      </c>
      <c r="G367" s="16" t="s">
        <v>1246</v>
      </c>
      <c r="H367">
        <v>4</v>
      </c>
    </row>
    <row r="368" spans="1:8" x14ac:dyDescent="0.35">
      <c r="A368" s="16" t="s">
        <v>822</v>
      </c>
      <c r="B368" s="19">
        <v>1349.8</v>
      </c>
      <c r="G368" s="16" t="s">
        <v>1688</v>
      </c>
      <c r="H368">
        <v>4</v>
      </c>
    </row>
    <row r="369" spans="1:8" x14ac:dyDescent="0.35">
      <c r="A369" s="16" t="s">
        <v>2071</v>
      </c>
      <c r="B369" s="19">
        <v>1349.3</v>
      </c>
      <c r="G369" s="16" t="s">
        <v>1254</v>
      </c>
      <c r="H369">
        <v>4</v>
      </c>
    </row>
    <row r="370" spans="1:8" x14ac:dyDescent="0.35">
      <c r="A370" s="16" t="s">
        <v>2296</v>
      </c>
      <c r="B370" s="19">
        <v>1347.39</v>
      </c>
      <c r="G370" s="16" t="s">
        <v>1703</v>
      </c>
      <c r="H370">
        <v>4</v>
      </c>
    </row>
    <row r="371" spans="1:8" x14ac:dyDescent="0.35">
      <c r="A371" s="16" t="s">
        <v>1224</v>
      </c>
      <c r="B371" s="19">
        <v>1346.7</v>
      </c>
      <c r="G371" s="16" t="s">
        <v>1914</v>
      </c>
      <c r="H371">
        <v>4</v>
      </c>
    </row>
    <row r="372" spans="1:8" x14ac:dyDescent="0.35">
      <c r="A372" s="16" t="s">
        <v>3671</v>
      </c>
      <c r="B372" s="19">
        <v>1343.9</v>
      </c>
      <c r="G372" s="16" t="s">
        <v>1417</v>
      </c>
      <c r="H372">
        <v>4</v>
      </c>
    </row>
    <row r="373" spans="1:8" x14ac:dyDescent="0.35">
      <c r="A373" s="16" t="s">
        <v>3379</v>
      </c>
      <c r="B373" s="19">
        <v>1342.15</v>
      </c>
      <c r="G373" s="16" t="s">
        <v>1983</v>
      </c>
      <c r="H373">
        <v>4</v>
      </c>
    </row>
    <row r="374" spans="1:8" x14ac:dyDescent="0.35">
      <c r="A374" s="16" t="s">
        <v>2306</v>
      </c>
      <c r="B374" s="19">
        <v>1335.36</v>
      </c>
      <c r="G374" s="16" t="s">
        <v>1421</v>
      </c>
      <c r="H374">
        <v>4</v>
      </c>
    </row>
    <row r="375" spans="1:8" x14ac:dyDescent="0.35">
      <c r="A375" s="16" t="s">
        <v>3614</v>
      </c>
      <c r="B375" s="19">
        <v>1334.25</v>
      </c>
      <c r="G375" s="16" t="s">
        <v>2001</v>
      </c>
      <c r="H375">
        <v>4</v>
      </c>
    </row>
    <row r="376" spans="1:8" x14ac:dyDescent="0.35">
      <c r="A376" s="16" t="s">
        <v>3538</v>
      </c>
      <c r="B376" s="19">
        <v>1333.9</v>
      </c>
      <c r="G376" s="16" t="s">
        <v>1767</v>
      </c>
      <c r="H376">
        <v>4</v>
      </c>
    </row>
    <row r="377" spans="1:8" x14ac:dyDescent="0.35">
      <c r="A377" s="16" t="s">
        <v>3472</v>
      </c>
      <c r="B377" s="19">
        <v>1330.32</v>
      </c>
      <c r="G377" s="16" t="s">
        <v>2023</v>
      </c>
      <c r="H377">
        <v>4</v>
      </c>
    </row>
    <row r="378" spans="1:8" x14ac:dyDescent="0.35">
      <c r="A378" s="16" t="s">
        <v>1493</v>
      </c>
      <c r="B378" s="19">
        <v>1327.6</v>
      </c>
      <c r="G378" s="16" t="s">
        <v>1771</v>
      </c>
      <c r="H378">
        <v>4</v>
      </c>
    </row>
    <row r="379" spans="1:8" x14ac:dyDescent="0.35">
      <c r="A379" s="16" t="s">
        <v>4269</v>
      </c>
      <c r="B379" s="19">
        <v>1325.06</v>
      </c>
      <c r="G379" s="16" t="s">
        <v>1319</v>
      </c>
      <c r="H379">
        <v>4</v>
      </c>
    </row>
    <row r="380" spans="1:8" x14ac:dyDescent="0.35">
      <c r="A380" s="16" t="s">
        <v>3269</v>
      </c>
      <c r="B380" s="19">
        <v>1318.59</v>
      </c>
      <c r="G380" s="16" t="s">
        <v>1429</v>
      </c>
      <c r="H380">
        <v>4</v>
      </c>
    </row>
    <row r="381" spans="1:8" x14ac:dyDescent="0.35">
      <c r="A381" s="16" t="s">
        <v>2478</v>
      </c>
      <c r="B381" s="19">
        <v>1316.67</v>
      </c>
      <c r="G381" s="16" t="s">
        <v>1499</v>
      </c>
      <c r="H381">
        <v>4</v>
      </c>
    </row>
    <row r="382" spans="1:8" x14ac:dyDescent="0.35">
      <c r="A382" s="16" t="s">
        <v>2355</v>
      </c>
      <c r="B382" s="19">
        <v>1314.96</v>
      </c>
      <c r="G382" s="16" t="s">
        <v>1792</v>
      </c>
      <c r="H382">
        <v>4</v>
      </c>
    </row>
    <row r="383" spans="1:8" x14ac:dyDescent="0.35">
      <c r="A383" s="16" t="s">
        <v>2953</v>
      </c>
      <c r="B383" s="19">
        <v>1314.24</v>
      </c>
      <c r="G383" s="16" t="s">
        <v>2095</v>
      </c>
      <c r="H383">
        <v>4</v>
      </c>
    </row>
    <row r="384" spans="1:8" x14ac:dyDescent="0.35">
      <c r="A384" s="16" t="s">
        <v>2492</v>
      </c>
      <c r="B384" s="19">
        <v>1308.48</v>
      </c>
      <c r="G384" s="16" t="s">
        <v>1227</v>
      </c>
      <c r="H384">
        <v>4</v>
      </c>
    </row>
    <row r="385" spans="1:8" x14ac:dyDescent="0.35">
      <c r="A385" s="16" t="s">
        <v>3158</v>
      </c>
      <c r="B385" s="19">
        <v>1306.6500000000001</v>
      </c>
      <c r="G385" s="16" t="s">
        <v>2122</v>
      </c>
      <c r="H385">
        <v>4</v>
      </c>
    </row>
    <row r="386" spans="1:8" x14ac:dyDescent="0.35">
      <c r="A386" s="16" t="s">
        <v>3623</v>
      </c>
      <c r="B386" s="19">
        <v>1304.6500000000001</v>
      </c>
      <c r="G386" s="16" t="s">
        <v>1813</v>
      </c>
      <c r="H386">
        <v>4</v>
      </c>
    </row>
    <row r="387" spans="1:8" x14ac:dyDescent="0.35">
      <c r="A387" s="16" t="s">
        <v>318</v>
      </c>
      <c r="B387" s="19">
        <v>1303.3499999999999</v>
      </c>
      <c r="G387" s="16" t="s">
        <v>1503</v>
      </c>
      <c r="H387">
        <v>4</v>
      </c>
    </row>
    <row r="388" spans="1:8" x14ac:dyDescent="0.35">
      <c r="A388" s="16" t="s">
        <v>2471</v>
      </c>
      <c r="B388" s="19">
        <v>1303.1400000000001</v>
      </c>
      <c r="G388" s="16" t="s">
        <v>1847</v>
      </c>
      <c r="H388">
        <v>4</v>
      </c>
    </row>
    <row r="389" spans="1:8" x14ac:dyDescent="0.35">
      <c r="A389" s="16" t="s">
        <v>2705</v>
      </c>
      <c r="B389" s="19">
        <v>1303.04</v>
      </c>
      <c r="G389" s="16" t="s">
        <v>1523</v>
      </c>
      <c r="H389">
        <v>4</v>
      </c>
    </row>
    <row r="390" spans="1:8" x14ac:dyDescent="0.35">
      <c r="A390" s="16" t="s">
        <v>1304</v>
      </c>
      <c r="B390" s="19">
        <v>1302.6500000000001</v>
      </c>
      <c r="G390" s="16" t="s">
        <v>1854</v>
      </c>
      <c r="H390">
        <v>4</v>
      </c>
    </row>
    <row r="391" spans="1:8" x14ac:dyDescent="0.35">
      <c r="A391" s="16" t="s">
        <v>3917</v>
      </c>
      <c r="B391" s="19">
        <v>1300.5</v>
      </c>
      <c r="G391" s="16" t="s">
        <v>2186</v>
      </c>
      <c r="H391">
        <v>4</v>
      </c>
    </row>
    <row r="392" spans="1:8" x14ac:dyDescent="0.35">
      <c r="A392" s="16" t="s">
        <v>1402</v>
      </c>
      <c r="B392" s="19">
        <v>1299.99</v>
      </c>
      <c r="G392" s="16" t="s">
        <v>1301</v>
      </c>
      <c r="H392">
        <v>4</v>
      </c>
    </row>
    <row r="393" spans="1:8" x14ac:dyDescent="0.35">
      <c r="A393" s="16" t="s">
        <v>4256</v>
      </c>
      <c r="B393" s="19">
        <v>1298.55</v>
      </c>
      <c r="G393" s="16" t="s">
        <v>2212</v>
      </c>
      <c r="H393">
        <v>4</v>
      </c>
    </row>
    <row r="394" spans="1:8" x14ac:dyDescent="0.35">
      <c r="A394" s="16" t="s">
        <v>3899</v>
      </c>
      <c r="B394" s="19">
        <v>1293.3800000000001</v>
      </c>
      <c r="G394" s="16" t="s">
        <v>1864</v>
      </c>
      <c r="H394">
        <v>4</v>
      </c>
    </row>
    <row r="395" spans="1:8" x14ac:dyDescent="0.35">
      <c r="A395" s="16" t="s">
        <v>3124</v>
      </c>
      <c r="B395" s="19">
        <v>1291.7</v>
      </c>
      <c r="G395" s="16" t="s">
        <v>2223</v>
      </c>
      <c r="H395">
        <v>4</v>
      </c>
    </row>
    <row r="396" spans="1:8" x14ac:dyDescent="0.35">
      <c r="A396" s="16" t="s">
        <v>3105</v>
      </c>
      <c r="B396" s="19">
        <v>1290.18</v>
      </c>
      <c r="G396" s="16" t="s">
        <v>1871</v>
      </c>
      <c r="H396">
        <v>4</v>
      </c>
    </row>
    <row r="397" spans="1:8" x14ac:dyDescent="0.35">
      <c r="A397" s="16" t="s">
        <v>1618</v>
      </c>
      <c r="B397" s="19">
        <v>1288.0999999999999</v>
      </c>
      <c r="G397" s="16" t="s">
        <v>1903</v>
      </c>
      <c r="H397">
        <v>4</v>
      </c>
    </row>
    <row r="398" spans="1:8" x14ac:dyDescent="0.35">
      <c r="A398" s="16" t="s">
        <v>3811</v>
      </c>
      <c r="B398" s="19">
        <v>1286.6400000000001</v>
      </c>
      <c r="G398" s="16" t="s">
        <v>1925</v>
      </c>
      <c r="H398">
        <v>4</v>
      </c>
    </row>
    <row r="399" spans="1:8" x14ac:dyDescent="0.35">
      <c r="A399" s="16" t="s">
        <v>878</v>
      </c>
      <c r="B399" s="19">
        <v>1286.04</v>
      </c>
      <c r="G399" s="16" t="s">
        <v>1052</v>
      </c>
      <c r="H399">
        <v>4</v>
      </c>
    </row>
    <row r="400" spans="1:8" x14ac:dyDescent="0.35">
      <c r="A400" s="16" t="s">
        <v>2434</v>
      </c>
      <c r="B400" s="19">
        <v>1285.96</v>
      </c>
      <c r="G400" s="16" t="s">
        <v>875</v>
      </c>
      <c r="H400">
        <v>4</v>
      </c>
    </row>
    <row r="401" spans="1:8" x14ac:dyDescent="0.35">
      <c r="A401" s="16" t="s">
        <v>2468</v>
      </c>
      <c r="B401" s="19">
        <v>1284.08</v>
      </c>
      <c r="G401" s="16" t="s">
        <v>151</v>
      </c>
      <c r="H401">
        <v>4</v>
      </c>
    </row>
    <row r="402" spans="1:8" x14ac:dyDescent="0.35">
      <c r="A402" s="16" t="s">
        <v>3051</v>
      </c>
      <c r="B402" s="19">
        <v>1279.76</v>
      </c>
      <c r="G402" s="16" t="s">
        <v>248</v>
      </c>
      <c r="H402">
        <v>4</v>
      </c>
    </row>
    <row r="403" spans="1:8" x14ac:dyDescent="0.35">
      <c r="A403" s="16" t="s">
        <v>2088</v>
      </c>
      <c r="B403" s="19">
        <v>1278.3599999999999</v>
      </c>
      <c r="G403" s="16" t="s">
        <v>935</v>
      </c>
      <c r="H403">
        <v>4</v>
      </c>
    </row>
    <row r="404" spans="1:8" x14ac:dyDescent="0.35">
      <c r="A404" s="16" t="s">
        <v>2474</v>
      </c>
      <c r="B404" s="19">
        <v>1274.67</v>
      </c>
      <c r="G404" s="16" t="s">
        <v>267</v>
      </c>
      <c r="H404">
        <v>4</v>
      </c>
    </row>
    <row r="405" spans="1:8" x14ac:dyDescent="0.35">
      <c r="A405" s="16" t="s">
        <v>155</v>
      </c>
      <c r="B405" s="19">
        <v>1270.5899999999999</v>
      </c>
      <c r="G405" s="16" t="s">
        <v>1149</v>
      </c>
      <c r="H405">
        <v>4</v>
      </c>
    </row>
    <row r="406" spans="1:8" x14ac:dyDescent="0.35">
      <c r="A406" s="16" t="s">
        <v>2978</v>
      </c>
      <c r="B406" s="19">
        <v>1268.75</v>
      </c>
      <c r="G406" s="16" t="s">
        <v>271</v>
      </c>
      <c r="H406">
        <v>4</v>
      </c>
    </row>
    <row r="407" spans="1:8" x14ac:dyDescent="0.35">
      <c r="A407" s="16" t="s">
        <v>1308</v>
      </c>
      <c r="B407" s="19">
        <v>1266.3900000000001</v>
      </c>
      <c r="G407" s="16" t="s">
        <v>832</v>
      </c>
      <c r="H407">
        <v>4</v>
      </c>
    </row>
    <row r="408" spans="1:8" x14ac:dyDescent="0.35">
      <c r="A408" s="16" t="s">
        <v>3190</v>
      </c>
      <c r="B408" s="19">
        <v>1265.28</v>
      </c>
      <c r="G408" s="16" t="s">
        <v>279</v>
      </c>
      <c r="H408">
        <v>4</v>
      </c>
    </row>
    <row r="409" spans="1:8" x14ac:dyDescent="0.35">
      <c r="A409" s="16" t="s">
        <v>3584</v>
      </c>
      <c r="B409" s="19">
        <v>1259.1199999999999</v>
      </c>
      <c r="G409" s="16" t="s">
        <v>904</v>
      </c>
      <c r="H409">
        <v>4</v>
      </c>
    </row>
    <row r="410" spans="1:8" x14ac:dyDescent="0.35">
      <c r="A410" s="16" t="s">
        <v>3965</v>
      </c>
      <c r="B410" s="19">
        <v>1259.04</v>
      </c>
      <c r="G410" s="16" t="s">
        <v>71</v>
      </c>
      <c r="H410">
        <v>4</v>
      </c>
    </row>
    <row r="411" spans="1:8" x14ac:dyDescent="0.35">
      <c r="A411" s="16" t="s">
        <v>2161</v>
      </c>
      <c r="B411" s="19">
        <v>1253.4000000000001</v>
      </c>
      <c r="G411" s="16" t="s">
        <v>1013</v>
      </c>
      <c r="H411">
        <v>4</v>
      </c>
    </row>
    <row r="412" spans="1:8" x14ac:dyDescent="0.35">
      <c r="A412" s="16" t="s">
        <v>2868</v>
      </c>
      <c r="B412" s="19">
        <v>1250.44</v>
      </c>
      <c r="G412" s="16" t="s">
        <v>303</v>
      </c>
      <c r="H412">
        <v>4</v>
      </c>
    </row>
    <row r="413" spans="1:8" x14ac:dyDescent="0.35">
      <c r="A413" s="16" t="s">
        <v>2511</v>
      </c>
      <c r="B413" s="19">
        <v>1248.32</v>
      </c>
      <c r="G413" s="16" t="s">
        <v>1123</v>
      </c>
      <c r="H413">
        <v>4</v>
      </c>
    </row>
    <row r="414" spans="1:8" x14ac:dyDescent="0.35">
      <c r="A414" s="16" t="s">
        <v>2369</v>
      </c>
      <c r="B414" s="19">
        <v>1244.2</v>
      </c>
      <c r="G414" s="16" t="s">
        <v>322</v>
      </c>
      <c r="H414">
        <v>4</v>
      </c>
    </row>
    <row r="415" spans="1:8" x14ac:dyDescent="0.35">
      <c r="A415" s="16" t="s">
        <v>3739</v>
      </c>
      <c r="B415" s="19">
        <v>1241.49</v>
      </c>
      <c r="G415" s="16" t="s">
        <v>725</v>
      </c>
      <c r="H415">
        <v>4</v>
      </c>
    </row>
    <row r="416" spans="1:8" x14ac:dyDescent="0.35">
      <c r="A416" s="16" t="s">
        <v>1079</v>
      </c>
      <c r="B416" s="19">
        <v>1239.6400000000001</v>
      </c>
      <c r="G416" s="16" t="s">
        <v>325</v>
      </c>
      <c r="H416">
        <v>4</v>
      </c>
    </row>
    <row r="417" spans="1:8" x14ac:dyDescent="0.35">
      <c r="A417" s="16" t="s">
        <v>1588</v>
      </c>
      <c r="B417" s="19">
        <v>1237.5899999999999</v>
      </c>
      <c r="G417" s="16" t="s">
        <v>804</v>
      </c>
      <c r="H417">
        <v>4</v>
      </c>
    </row>
    <row r="418" spans="1:8" x14ac:dyDescent="0.35">
      <c r="A418" s="16" t="s">
        <v>3095</v>
      </c>
      <c r="B418" s="19">
        <v>1235.8499999999999</v>
      </c>
      <c r="G418" s="16" t="s">
        <v>337</v>
      </c>
      <c r="H418">
        <v>4</v>
      </c>
    </row>
    <row r="419" spans="1:8" x14ac:dyDescent="0.35">
      <c r="A419" s="16" t="s">
        <v>3647</v>
      </c>
      <c r="B419" s="19">
        <v>1232.6400000000001</v>
      </c>
      <c r="G419" s="16" t="s">
        <v>175</v>
      </c>
      <c r="H419">
        <v>4</v>
      </c>
    </row>
    <row r="420" spans="1:8" x14ac:dyDescent="0.35">
      <c r="A420" s="16" t="s">
        <v>2392</v>
      </c>
      <c r="B420" s="19">
        <v>1225.4000000000001</v>
      </c>
      <c r="G420" s="16" t="s">
        <v>345</v>
      </c>
      <c r="H420">
        <v>4</v>
      </c>
    </row>
    <row r="421" spans="1:8" x14ac:dyDescent="0.35">
      <c r="A421" s="16" t="s">
        <v>868</v>
      </c>
      <c r="B421" s="19">
        <v>1222.8800000000001</v>
      </c>
      <c r="G421" s="16" t="s">
        <v>897</v>
      </c>
      <c r="H421">
        <v>4</v>
      </c>
    </row>
    <row r="422" spans="1:8" x14ac:dyDescent="0.35">
      <c r="A422" s="16" t="s">
        <v>3429</v>
      </c>
      <c r="B422" s="19">
        <v>1221.28</v>
      </c>
      <c r="G422" s="16" t="s">
        <v>361</v>
      </c>
      <c r="H422">
        <v>4</v>
      </c>
    </row>
    <row r="423" spans="1:8" x14ac:dyDescent="0.35">
      <c r="A423" s="16" t="s">
        <v>4118</v>
      </c>
      <c r="B423" s="19">
        <v>1216.08</v>
      </c>
      <c r="G423" s="16" t="s">
        <v>927</v>
      </c>
      <c r="H423">
        <v>4</v>
      </c>
    </row>
    <row r="424" spans="1:8" x14ac:dyDescent="0.35">
      <c r="A424" s="16" t="s">
        <v>1867</v>
      </c>
      <c r="B424" s="19">
        <v>1214.3699999999999</v>
      </c>
      <c r="G424" s="16" t="s">
        <v>365</v>
      </c>
      <c r="H424">
        <v>4</v>
      </c>
    </row>
    <row r="425" spans="1:8" x14ac:dyDescent="0.35">
      <c r="A425" s="16" t="s">
        <v>1119</v>
      </c>
      <c r="B425" s="19">
        <v>1213.8599999999999</v>
      </c>
      <c r="G425" s="16" t="s">
        <v>958</v>
      </c>
      <c r="H425">
        <v>4</v>
      </c>
    </row>
    <row r="426" spans="1:8" x14ac:dyDescent="0.35">
      <c r="A426" s="16" t="s">
        <v>4115</v>
      </c>
      <c r="B426" s="19">
        <v>1210.5999999999999</v>
      </c>
      <c r="G426" s="16" t="s">
        <v>393</v>
      </c>
      <c r="H426">
        <v>4</v>
      </c>
    </row>
    <row r="427" spans="1:8" x14ac:dyDescent="0.35">
      <c r="A427" s="16" t="s">
        <v>3528</v>
      </c>
      <c r="B427" s="19">
        <v>1210.52</v>
      </c>
      <c r="G427" s="16" t="s">
        <v>1038</v>
      </c>
      <c r="H427">
        <v>4</v>
      </c>
    </row>
    <row r="428" spans="1:8" x14ac:dyDescent="0.35">
      <c r="A428" s="16" t="s">
        <v>563</v>
      </c>
      <c r="B428" s="19">
        <v>1208.2</v>
      </c>
      <c r="G428" s="16" t="s">
        <v>401</v>
      </c>
      <c r="H428">
        <v>4</v>
      </c>
    </row>
    <row r="429" spans="1:8" x14ac:dyDescent="0.35">
      <c r="A429" s="16" t="s">
        <v>1185</v>
      </c>
      <c r="B429" s="19">
        <v>1204.68</v>
      </c>
      <c r="G429" s="16" t="s">
        <v>1076</v>
      </c>
      <c r="H429">
        <v>4</v>
      </c>
    </row>
    <row r="430" spans="1:8" x14ac:dyDescent="0.35">
      <c r="A430" s="16" t="s">
        <v>3146</v>
      </c>
      <c r="B430" s="19">
        <v>1203.05</v>
      </c>
      <c r="G430" s="16" t="s">
        <v>405</v>
      </c>
      <c r="H430">
        <v>4</v>
      </c>
    </row>
    <row r="431" spans="1:8" x14ac:dyDescent="0.35">
      <c r="A431" s="16" t="s">
        <v>2913</v>
      </c>
      <c r="B431" s="19">
        <v>1202.8599999999999</v>
      </c>
      <c r="G431" s="16" t="s">
        <v>1131</v>
      </c>
      <c r="H431">
        <v>4</v>
      </c>
    </row>
    <row r="432" spans="1:8" x14ac:dyDescent="0.35">
      <c r="A432" s="16" t="s">
        <v>3662</v>
      </c>
      <c r="B432" s="19">
        <v>1202.24</v>
      </c>
      <c r="G432" s="16" t="s">
        <v>413</v>
      </c>
      <c r="H432">
        <v>4</v>
      </c>
    </row>
    <row r="433" spans="1:8" x14ac:dyDescent="0.35">
      <c r="A433" s="16" t="s">
        <v>1103</v>
      </c>
      <c r="B433" s="19">
        <v>1201.1400000000001</v>
      </c>
      <c r="G433" s="16" t="s">
        <v>717</v>
      </c>
      <c r="H433">
        <v>4</v>
      </c>
    </row>
    <row r="434" spans="1:8" x14ac:dyDescent="0.35">
      <c r="A434" s="16" t="s">
        <v>2785</v>
      </c>
      <c r="B434" s="19">
        <v>1199.72</v>
      </c>
      <c r="G434" s="16" t="s">
        <v>444</v>
      </c>
      <c r="H434">
        <v>4</v>
      </c>
    </row>
    <row r="435" spans="1:8" x14ac:dyDescent="0.35">
      <c r="A435" s="16" t="s">
        <v>3914</v>
      </c>
      <c r="B435" s="19">
        <v>1199.48</v>
      </c>
      <c r="G435" s="16" t="s">
        <v>733</v>
      </c>
      <c r="H435">
        <v>4</v>
      </c>
    </row>
    <row r="436" spans="1:8" x14ac:dyDescent="0.35">
      <c r="A436" s="16" t="s">
        <v>333</v>
      </c>
      <c r="B436" s="19">
        <v>1194.51</v>
      </c>
      <c r="G436" s="16" t="s">
        <v>46</v>
      </c>
      <c r="H436">
        <v>4</v>
      </c>
    </row>
    <row r="437" spans="1:8" x14ac:dyDescent="0.35">
      <c r="A437" s="16" t="s">
        <v>4215</v>
      </c>
      <c r="B437" s="19">
        <v>1193.44</v>
      </c>
      <c r="G437" s="16" t="s">
        <v>757</v>
      </c>
      <c r="H437">
        <v>4</v>
      </c>
    </row>
    <row r="438" spans="1:8" x14ac:dyDescent="0.35">
      <c r="A438" s="16" t="s">
        <v>3454</v>
      </c>
      <c r="B438" s="19">
        <v>1188.1400000000001</v>
      </c>
      <c r="G438" s="16" t="s">
        <v>496</v>
      </c>
      <c r="H438">
        <v>4</v>
      </c>
    </row>
    <row r="439" spans="1:8" x14ac:dyDescent="0.35">
      <c r="A439" s="16" t="s">
        <v>2344</v>
      </c>
      <c r="B439" s="19">
        <v>1188</v>
      </c>
      <c r="G439" s="16" t="s">
        <v>812</v>
      </c>
      <c r="H439">
        <v>4</v>
      </c>
    </row>
    <row r="440" spans="1:8" x14ac:dyDescent="0.35">
      <c r="A440" s="16" t="s">
        <v>3568</v>
      </c>
      <c r="B440" s="19">
        <v>1185.1199999999999</v>
      </c>
      <c r="G440" s="16" t="s">
        <v>123</v>
      </c>
      <c r="H440">
        <v>4</v>
      </c>
    </row>
    <row r="441" spans="1:8" x14ac:dyDescent="0.35">
      <c r="A441" s="16" t="s">
        <v>2341</v>
      </c>
      <c r="B441" s="19">
        <v>1181.9000000000001</v>
      </c>
      <c r="G441" s="16" t="s">
        <v>839</v>
      </c>
      <c r="H441">
        <v>4</v>
      </c>
    </row>
    <row r="442" spans="1:8" x14ac:dyDescent="0.35">
      <c r="A442" s="16" t="s">
        <v>3639</v>
      </c>
      <c r="B442" s="19">
        <v>1178.55</v>
      </c>
      <c r="G442" s="16" t="s">
        <v>512</v>
      </c>
      <c r="H442">
        <v>4</v>
      </c>
    </row>
    <row r="443" spans="1:8" x14ac:dyDescent="0.35">
      <c r="A443" s="16" t="s">
        <v>4074</v>
      </c>
      <c r="B443" s="19">
        <v>1177.6400000000001</v>
      </c>
      <c r="G443" s="16" t="s">
        <v>868</v>
      </c>
      <c r="H443">
        <v>4</v>
      </c>
    </row>
    <row r="444" spans="1:8" x14ac:dyDescent="0.35">
      <c r="A444" s="16" t="s">
        <v>4103</v>
      </c>
      <c r="B444" s="19">
        <v>1176.5999999999999</v>
      </c>
      <c r="G444" s="16" t="s">
        <v>527</v>
      </c>
      <c r="H444">
        <v>4</v>
      </c>
    </row>
    <row r="445" spans="1:8" x14ac:dyDescent="0.35">
      <c r="A445" s="16" t="s">
        <v>2403</v>
      </c>
      <c r="B445" s="19">
        <v>1174.98</v>
      </c>
      <c r="G445" s="16" t="s">
        <v>878</v>
      </c>
      <c r="H445">
        <v>4</v>
      </c>
    </row>
    <row r="446" spans="1:8" x14ac:dyDescent="0.35">
      <c r="A446" s="16" t="s">
        <v>3695</v>
      </c>
      <c r="B446" s="19">
        <v>1168.3499999999999</v>
      </c>
      <c r="G446" s="16" t="s">
        <v>535</v>
      </c>
      <c r="H446">
        <v>4</v>
      </c>
    </row>
    <row r="447" spans="1:8" x14ac:dyDescent="0.35">
      <c r="A447" s="16" t="s">
        <v>496</v>
      </c>
      <c r="B447" s="19">
        <v>1165.4000000000001</v>
      </c>
      <c r="G447" s="16" t="s">
        <v>901</v>
      </c>
      <c r="H447">
        <v>4</v>
      </c>
    </row>
    <row r="448" spans="1:8" x14ac:dyDescent="0.35">
      <c r="A448" s="16" t="s">
        <v>1276</v>
      </c>
      <c r="B448" s="19">
        <v>1159.0999999999999</v>
      </c>
      <c r="G448" s="16" t="s">
        <v>543</v>
      </c>
      <c r="H448">
        <v>4</v>
      </c>
    </row>
    <row r="449" spans="1:8" x14ac:dyDescent="0.35">
      <c r="A449" s="16" t="s">
        <v>3535</v>
      </c>
      <c r="B449" s="19">
        <v>1153.8499999999999</v>
      </c>
      <c r="G449" s="16" t="s">
        <v>919</v>
      </c>
      <c r="H449">
        <v>4</v>
      </c>
    </row>
    <row r="450" spans="1:8" x14ac:dyDescent="0.35">
      <c r="A450" s="16" t="s">
        <v>2430</v>
      </c>
      <c r="B450" s="19">
        <v>1151.6600000000001</v>
      </c>
      <c r="G450" s="16" t="s">
        <v>547</v>
      </c>
      <c r="H450">
        <v>4</v>
      </c>
    </row>
    <row r="451" spans="1:8" x14ac:dyDescent="0.35">
      <c r="A451" s="16" t="s">
        <v>2451</v>
      </c>
      <c r="B451" s="19">
        <v>1147.1099999999999</v>
      </c>
      <c r="G451" s="16" t="s">
        <v>931</v>
      </c>
      <c r="H451">
        <v>4</v>
      </c>
    </row>
    <row r="452" spans="1:8" x14ac:dyDescent="0.35">
      <c r="A452" s="16" t="s">
        <v>1857</v>
      </c>
      <c r="B452" s="19">
        <v>1144.23</v>
      </c>
      <c r="G452" s="16" t="s">
        <v>559</v>
      </c>
      <c r="H452">
        <v>4</v>
      </c>
    </row>
    <row r="453" spans="1:8" x14ac:dyDescent="0.35">
      <c r="A453" s="16" t="s">
        <v>2629</v>
      </c>
      <c r="B453" s="19">
        <v>1140.45</v>
      </c>
      <c r="G453" s="16" t="s">
        <v>942</v>
      </c>
      <c r="H453">
        <v>4</v>
      </c>
    </row>
    <row r="454" spans="1:8" x14ac:dyDescent="0.35">
      <c r="A454" s="16" t="s">
        <v>3491</v>
      </c>
      <c r="B454" s="19">
        <v>1137.21</v>
      </c>
      <c r="G454" s="16" t="s">
        <v>563</v>
      </c>
      <c r="H454">
        <v>4</v>
      </c>
    </row>
    <row r="455" spans="1:8" x14ac:dyDescent="0.35">
      <c r="A455" s="16" t="s">
        <v>527</v>
      </c>
      <c r="B455" s="19">
        <v>1135.1600000000001</v>
      </c>
      <c r="G455" s="16" t="s">
        <v>1009</v>
      </c>
      <c r="H455">
        <v>4</v>
      </c>
    </row>
    <row r="456" spans="1:8" x14ac:dyDescent="0.35">
      <c r="A456" s="16" t="s">
        <v>1301</v>
      </c>
      <c r="B456" s="19">
        <v>1132.6400000000001</v>
      </c>
      <c r="G456" s="16" t="s">
        <v>601</v>
      </c>
      <c r="H456">
        <v>4</v>
      </c>
    </row>
    <row r="457" spans="1:8" x14ac:dyDescent="0.35">
      <c r="A457" s="16" t="s">
        <v>3665</v>
      </c>
      <c r="B457" s="19">
        <v>1132.25</v>
      </c>
      <c r="G457" s="16" t="s">
        <v>1017</v>
      </c>
      <c r="H457">
        <v>4</v>
      </c>
    </row>
    <row r="458" spans="1:8" x14ac:dyDescent="0.35">
      <c r="A458" s="16" t="s">
        <v>654</v>
      </c>
      <c r="B458" s="19">
        <v>1129.1600000000001</v>
      </c>
      <c r="G458" s="16" t="s">
        <v>131</v>
      </c>
      <c r="H458">
        <v>4</v>
      </c>
    </row>
    <row r="459" spans="1:8" x14ac:dyDescent="0.35">
      <c r="A459" s="16" t="s">
        <v>3372</v>
      </c>
      <c r="B459" s="19">
        <v>1127.6400000000001</v>
      </c>
      <c r="G459" s="16" t="s">
        <v>1049</v>
      </c>
      <c r="H459">
        <v>4</v>
      </c>
    </row>
    <row r="460" spans="1:8" x14ac:dyDescent="0.35">
      <c r="A460" s="16" t="s">
        <v>1265</v>
      </c>
      <c r="B460" s="19">
        <v>1126.1199999999999</v>
      </c>
      <c r="G460" s="16" t="s">
        <v>640</v>
      </c>
      <c r="H460">
        <v>4</v>
      </c>
    </row>
    <row r="461" spans="1:8" x14ac:dyDescent="0.35">
      <c r="A461" s="16" t="s">
        <v>115</v>
      </c>
      <c r="B461" s="19">
        <v>1120</v>
      </c>
      <c r="G461" s="16" t="s">
        <v>1064</v>
      </c>
      <c r="H461">
        <v>4</v>
      </c>
    </row>
    <row r="462" spans="1:8" x14ac:dyDescent="0.35">
      <c r="A462" s="16" t="s">
        <v>3143</v>
      </c>
      <c r="B462" s="19">
        <v>1117.8</v>
      </c>
      <c r="G462" s="16" t="s">
        <v>644</v>
      </c>
      <c r="H462">
        <v>4</v>
      </c>
    </row>
    <row r="463" spans="1:8" x14ac:dyDescent="0.35">
      <c r="A463" s="16" t="s">
        <v>808</v>
      </c>
      <c r="B463" s="19">
        <v>1107.55</v>
      </c>
      <c r="G463" s="16" t="s">
        <v>1079</v>
      </c>
      <c r="H463">
        <v>4</v>
      </c>
    </row>
    <row r="464" spans="1:8" x14ac:dyDescent="0.35">
      <c r="A464" s="16" t="s">
        <v>4079</v>
      </c>
      <c r="B464" s="19">
        <v>1105.6600000000001</v>
      </c>
      <c r="G464" s="16" t="s">
        <v>665</v>
      </c>
      <c r="H464">
        <v>4</v>
      </c>
    </row>
    <row r="465" spans="1:8" x14ac:dyDescent="0.35">
      <c r="A465" s="16" t="s">
        <v>3962</v>
      </c>
      <c r="B465" s="19">
        <v>1105.28</v>
      </c>
      <c r="G465" s="16" t="s">
        <v>1127</v>
      </c>
      <c r="H465">
        <v>4</v>
      </c>
    </row>
    <row r="466" spans="1:8" x14ac:dyDescent="0.35">
      <c r="A466" s="16" t="s">
        <v>3868</v>
      </c>
      <c r="B466" s="19">
        <v>1105.26</v>
      </c>
      <c r="G466" s="16" t="s">
        <v>702</v>
      </c>
      <c r="H466">
        <v>4</v>
      </c>
    </row>
    <row r="467" spans="1:8" x14ac:dyDescent="0.35">
      <c r="A467" s="16" t="s">
        <v>3698</v>
      </c>
      <c r="B467" s="19">
        <v>1103.25</v>
      </c>
      <c r="G467" s="16" t="s">
        <v>1145</v>
      </c>
      <c r="H467">
        <v>4</v>
      </c>
    </row>
    <row r="468" spans="1:8" x14ac:dyDescent="0.35">
      <c r="A468" s="16" t="s">
        <v>535</v>
      </c>
      <c r="B468" s="19">
        <v>1102</v>
      </c>
      <c r="G468" s="16" t="s">
        <v>1185</v>
      </c>
      <c r="H468">
        <v>4</v>
      </c>
    </row>
    <row r="469" spans="1:8" x14ac:dyDescent="0.35">
      <c r="A469" s="16" t="s">
        <v>1254</v>
      </c>
      <c r="B469" s="19">
        <v>1101.1199999999999</v>
      </c>
      <c r="G469" s="16" t="s">
        <v>1153</v>
      </c>
      <c r="H469">
        <v>4</v>
      </c>
    </row>
    <row r="470" spans="1:8" x14ac:dyDescent="0.35">
      <c r="A470" s="16" t="s">
        <v>214</v>
      </c>
      <c r="B470" s="19">
        <v>1100.3599999999999</v>
      </c>
      <c r="G470" s="16" t="s">
        <v>1166</v>
      </c>
      <c r="H470">
        <v>4</v>
      </c>
    </row>
    <row r="471" spans="1:8" x14ac:dyDescent="0.35">
      <c r="A471" s="16" t="s">
        <v>3805</v>
      </c>
      <c r="B471" s="19">
        <v>1099.28</v>
      </c>
      <c r="G471" s="16" t="s">
        <v>221</v>
      </c>
      <c r="H471">
        <v>4</v>
      </c>
    </row>
    <row r="472" spans="1:8" x14ac:dyDescent="0.35">
      <c r="A472" s="16" t="s">
        <v>605</v>
      </c>
      <c r="B472" s="19">
        <v>1098.9000000000001</v>
      </c>
      <c r="G472" s="16" t="s">
        <v>3601</v>
      </c>
      <c r="H472">
        <v>3</v>
      </c>
    </row>
    <row r="473" spans="1:8" x14ac:dyDescent="0.35">
      <c r="A473" s="16" t="s">
        <v>3228</v>
      </c>
      <c r="B473" s="19">
        <v>1095.3399999999999</v>
      </c>
      <c r="G473" s="16" t="s">
        <v>3376</v>
      </c>
      <c r="H473">
        <v>3</v>
      </c>
    </row>
    <row r="474" spans="1:8" x14ac:dyDescent="0.35">
      <c r="A474" s="16" t="s">
        <v>131</v>
      </c>
      <c r="B474" s="19">
        <v>1093</v>
      </c>
      <c r="G474" s="16" t="s">
        <v>4097</v>
      </c>
      <c r="H474">
        <v>3</v>
      </c>
    </row>
    <row r="475" spans="1:8" x14ac:dyDescent="0.35">
      <c r="A475" s="16" t="s">
        <v>3102</v>
      </c>
      <c r="B475" s="19">
        <v>1092.42</v>
      </c>
      <c r="G475" s="16" t="s">
        <v>3311</v>
      </c>
      <c r="H475">
        <v>3</v>
      </c>
    </row>
    <row r="476" spans="1:8" x14ac:dyDescent="0.35">
      <c r="A476" s="16" t="s">
        <v>3745</v>
      </c>
      <c r="B476" s="19">
        <v>1087.5899999999999</v>
      </c>
      <c r="G476" s="16" t="s">
        <v>4256</v>
      </c>
      <c r="H476">
        <v>3</v>
      </c>
    </row>
    <row r="477" spans="1:8" x14ac:dyDescent="0.35">
      <c r="A477" s="16" t="s">
        <v>2989</v>
      </c>
      <c r="B477" s="19">
        <v>1087.1500000000001</v>
      </c>
      <c r="G477" s="16" t="s">
        <v>3679</v>
      </c>
      <c r="H477">
        <v>3</v>
      </c>
    </row>
    <row r="478" spans="1:8" x14ac:dyDescent="0.35">
      <c r="A478" s="16" t="s">
        <v>1287</v>
      </c>
      <c r="B478" s="19">
        <v>1084.17</v>
      </c>
      <c r="G478" s="16" t="s">
        <v>4067</v>
      </c>
      <c r="H478">
        <v>3</v>
      </c>
    </row>
    <row r="479" spans="1:8" x14ac:dyDescent="0.35">
      <c r="A479" s="16" t="s">
        <v>2533</v>
      </c>
      <c r="B479" s="19">
        <v>1081.98</v>
      </c>
      <c r="G479" s="16" t="s">
        <v>3689</v>
      </c>
      <c r="H479">
        <v>3</v>
      </c>
    </row>
    <row r="480" spans="1:8" x14ac:dyDescent="0.35">
      <c r="A480" s="16" t="s">
        <v>1374</v>
      </c>
      <c r="B480" s="19">
        <v>1079.19</v>
      </c>
      <c r="G480" s="16" t="s">
        <v>3639</v>
      </c>
      <c r="H480">
        <v>3</v>
      </c>
    </row>
    <row r="481" spans="1:8" x14ac:dyDescent="0.35">
      <c r="A481" s="16" t="s">
        <v>853</v>
      </c>
      <c r="B481" s="19">
        <v>1075.44</v>
      </c>
      <c r="G481" s="16" t="s">
        <v>3692</v>
      </c>
      <c r="H481">
        <v>3</v>
      </c>
    </row>
    <row r="482" spans="1:8" x14ac:dyDescent="0.35">
      <c r="A482" s="16" t="s">
        <v>3394</v>
      </c>
      <c r="B482" s="19">
        <v>1072.5</v>
      </c>
      <c r="G482" s="16" t="s">
        <v>3333</v>
      </c>
      <c r="H482">
        <v>3</v>
      </c>
    </row>
    <row r="483" spans="1:8" x14ac:dyDescent="0.35">
      <c r="A483" s="16" t="s">
        <v>828</v>
      </c>
      <c r="B483" s="19">
        <v>1070.52</v>
      </c>
      <c r="G483" s="16" t="s">
        <v>3698</v>
      </c>
      <c r="H483">
        <v>3</v>
      </c>
    </row>
    <row r="484" spans="1:8" x14ac:dyDescent="0.35">
      <c r="A484" s="16" t="s">
        <v>2833</v>
      </c>
      <c r="B484" s="19">
        <v>1069.82</v>
      </c>
      <c r="G484" s="16" t="s">
        <v>3598</v>
      </c>
      <c r="H484">
        <v>3</v>
      </c>
    </row>
    <row r="485" spans="1:8" x14ac:dyDescent="0.35">
      <c r="A485" s="16" t="s">
        <v>508</v>
      </c>
      <c r="B485" s="19">
        <v>1069.3399999999999</v>
      </c>
      <c r="G485" s="16" t="s">
        <v>3465</v>
      </c>
      <c r="H485">
        <v>3</v>
      </c>
    </row>
    <row r="486" spans="1:8" x14ac:dyDescent="0.35">
      <c r="A486" s="16" t="s">
        <v>183</v>
      </c>
      <c r="B486" s="19">
        <v>1068.8599999999999</v>
      </c>
      <c r="G486" s="16" t="s">
        <v>4042</v>
      </c>
      <c r="H486">
        <v>3</v>
      </c>
    </row>
    <row r="487" spans="1:8" x14ac:dyDescent="0.35">
      <c r="A487" s="16" t="s">
        <v>3194</v>
      </c>
      <c r="B487" s="19">
        <v>1067.9000000000001</v>
      </c>
      <c r="G487" s="16" t="s">
        <v>3739</v>
      </c>
      <c r="H487">
        <v>3</v>
      </c>
    </row>
    <row r="488" spans="1:8" x14ac:dyDescent="0.35">
      <c r="A488" s="16" t="s">
        <v>103</v>
      </c>
      <c r="B488" s="19">
        <v>1067.6199999999999</v>
      </c>
      <c r="G488" s="16" t="s">
        <v>4077</v>
      </c>
      <c r="H488">
        <v>3</v>
      </c>
    </row>
    <row r="489" spans="1:8" x14ac:dyDescent="0.35">
      <c r="A489" s="16" t="s">
        <v>519</v>
      </c>
      <c r="B489" s="19">
        <v>1066.04</v>
      </c>
      <c r="G489" s="16" t="s">
        <v>3745</v>
      </c>
      <c r="H489">
        <v>3</v>
      </c>
    </row>
    <row r="490" spans="1:8" x14ac:dyDescent="0.35">
      <c r="A490" s="16" t="s">
        <v>4004</v>
      </c>
      <c r="B490" s="19">
        <v>1062.98</v>
      </c>
      <c r="G490" s="16" t="s">
        <v>4129</v>
      </c>
      <c r="H490">
        <v>3</v>
      </c>
    </row>
    <row r="491" spans="1:8" x14ac:dyDescent="0.35">
      <c r="A491" s="16" t="s">
        <v>1370</v>
      </c>
      <c r="B491" s="19">
        <v>1059.1600000000001</v>
      </c>
      <c r="G491" s="16" t="s">
        <v>3391</v>
      </c>
      <c r="H491">
        <v>3</v>
      </c>
    </row>
    <row r="492" spans="1:8" x14ac:dyDescent="0.35">
      <c r="A492" s="16" t="s">
        <v>547</v>
      </c>
      <c r="B492" s="19">
        <v>1055.72</v>
      </c>
      <c r="G492" s="16" t="s">
        <v>4164</v>
      </c>
      <c r="H492">
        <v>3</v>
      </c>
    </row>
    <row r="493" spans="1:8" x14ac:dyDescent="0.35">
      <c r="A493" s="16" t="s">
        <v>1530</v>
      </c>
      <c r="B493" s="19">
        <v>1054.92</v>
      </c>
      <c r="G493" s="16" t="s">
        <v>3773</v>
      </c>
      <c r="H493">
        <v>3</v>
      </c>
    </row>
    <row r="494" spans="1:8" x14ac:dyDescent="0.35">
      <c r="A494" s="16" t="s">
        <v>1813</v>
      </c>
      <c r="B494" s="19">
        <v>1054.48</v>
      </c>
      <c r="G494" s="16" t="s">
        <v>4195</v>
      </c>
      <c r="H494">
        <v>3</v>
      </c>
    </row>
    <row r="495" spans="1:8" x14ac:dyDescent="0.35">
      <c r="A495" s="16" t="s">
        <v>1499</v>
      </c>
      <c r="B495" s="19">
        <v>1052.3599999999999</v>
      </c>
      <c r="G495" s="16" t="s">
        <v>3811</v>
      </c>
      <c r="H495">
        <v>3</v>
      </c>
    </row>
    <row r="496" spans="1:8" x14ac:dyDescent="0.35">
      <c r="A496" s="16" t="s">
        <v>1662</v>
      </c>
      <c r="B496" s="19">
        <v>1050.32</v>
      </c>
      <c r="G496" s="16" t="s">
        <v>4249</v>
      </c>
      <c r="H496">
        <v>3</v>
      </c>
    </row>
    <row r="497" spans="1:8" x14ac:dyDescent="0.35">
      <c r="A497" s="16" t="s">
        <v>4275</v>
      </c>
      <c r="B497" s="19">
        <v>1050.08</v>
      </c>
      <c r="G497" s="16" t="s">
        <v>3544</v>
      </c>
      <c r="H497">
        <v>3</v>
      </c>
    </row>
    <row r="498" spans="1:8" x14ac:dyDescent="0.35">
      <c r="A498" s="16" t="s">
        <v>3923</v>
      </c>
      <c r="B498" s="19">
        <v>1046</v>
      </c>
      <c r="G498" s="16" t="s">
        <v>3653</v>
      </c>
      <c r="H498">
        <v>3</v>
      </c>
    </row>
    <row r="499" spans="1:8" x14ac:dyDescent="0.35">
      <c r="A499" s="16" t="s">
        <v>3425</v>
      </c>
      <c r="B499" s="19">
        <v>1042.8</v>
      </c>
      <c r="G499" s="16" t="s">
        <v>3472</v>
      </c>
      <c r="H499">
        <v>3</v>
      </c>
    </row>
    <row r="500" spans="1:8" x14ac:dyDescent="0.35">
      <c r="A500" s="16" t="s">
        <v>1135</v>
      </c>
      <c r="B500" s="19">
        <v>1040.8499999999999</v>
      </c>
      <c r="G500" s="16" t="s">
        <v>4024</v>
      </c>
      <c r="H500">
        <v>3</v>
      </c>
    </row>
    <row r="501" spans="1:8" x14ac:dyDescent="0.35">
      <c r="A501" s="16" t="s">
        <v>1874</v>
      </c>
      <c r="B501" s="19">
        <v>1039.56</v>
      </c>
      <c r="G501" s="16" t="s">
        <v>3554</v>
      </c>
      <c r="H501">
        <v>3</v>
      </c>
    </row>
    <row r="502" spans="1:8" x14ac:dyDescent="0.35">
      <c r="A502" s="16" t="s">
        <v>1596</v>
      </c>
      <c r="B502" s="19">
        <v>1036.46</v>
      </c>
      <c r="G502" s="16" t="s">
        <v>4039</v>
      </c>
      <c r="H502">
        <v>3</v>
      </c>
    </row>
    <row r="503" spans="1:8" x14ac:dyDescent="0.35">
      <c r="A503" s="16" t="s">
        <v>255</v>
      </c>
      <c r="B503" s="19">
        <v>1033.2</v>
      </c>
      <c r="G503" s="16" t="s">
        <v>3874</v>
      </c>
      <c r="H503">
        <v>3</v>
      </c>
    </row>
    <row r="504" spans="1:8" x14ac:dyDescent="0.35">
      <c r="A504" s="16" t="s">
        <v>1836</v>
      </c>
      <c r="B504" s="19">
        <v>1027.18</v>
      </c>
      <c r="G504" s="16" t="s">
        <v>3491</v>
      </c>
      <c r="H504">
        <v>3</v>
      </c>
    </row>
    <row r="505" spans="1:8" x14ac:dyDescent="0.35">
      <c r="A505" s="16" t="s">
        <v>3902</v>
      </c>
      <c r="B505" s="19">
        <v>1026.8399999999999</v>
      </c>
      <c r="G505" s="16" t="s">
        <v>3413</v>
      </c>
      <c r="H505">
        <v>3</v>
      </c>
    </row>
    <row r="506" spans="1:8" x14ac:dyDescent="0.35">
      <c r="A506" s="16" t="s">
        <v>2521</v>
      </c>
      <c r="B506" s="19">
        <v>1026.06</v>
      </c>
      <c r="G506" s="16" t="s">
        <v>3614</v>
      </c>
      <c r="H506">
        <v>3</v>
      </c>
    </row>
    <row r="507" spans="1:8" x14ac:dyDescent="0.35">
      <c r="A507" s="16" t="s">
        <v>531</v>
      </c>
      <c r="B507" s="19">
        <v>1025.3</v>
      </c>
      <c r="G507" s="16" t="s">
        <v>3557</v>
      </c>
      <c r="H507">
        <v>3</v>
      </c>
    </row>
    <row r="508" spans="1:8" x14ac:dyDescent="0.35">
      <c r="A508" s="16" t="s">
        <v>2860</v>
      </c>
      <c r="B508" s="19">
        <v>1024.6600000000001</v>
      </c>
      <c r="G508" s="16" t="s">
        <v>4082</v>
      </c>
      <c r="H508">
        <v>3</v>
      </c>
    </row>
    <row r="509" spans="1:8" x14ac:dyDescent="0.35">
      <c r="A509" s="16" t="s">
        <v>1468</v>
      </c>
      <c r="B509" s="19">
        <v>1023.45</v>
      </c>
      <c r="G509" s="16" t="s">
        <v>3890</v>
      </c>
      <c r="H509">
        <v>3</v>
      </c>
    </row>
    <row r="510" spans="1:8" x14ac:dyDescent="0.35">
      <c r="A510" s="16" t="s">
        <v>3946</v>
      </c>
      <c r="B510" s="19">
        <v>1023.44</v>
      </c>
      <c r="G510" s="16" t="s">
        <v>3438</v>
      </c>
      <c r="H510">
        <v>3</v>
      </c>
    </row>
    <row r="511" spans="1:8" x14ac:dyDescent="0.35">
      <c r="A511" s="16" t="s">
        <v>2427</v>
      </c>
      <c r="B511" s="19">
        <v>1018.17</v>
      </c>
      <c r="G511" s="16" t="s">
        <v>3910</v>
      </c>
      <c r="H511">
        <v>3</v>
      </c>
    </row>
    <row r="512" spans="1:8" x14ac:dyDescent="0.35">
      <c r="A512" s="16" t="s">
        <v>2800</v>
      </c>
      <c r="B512" s="19">
        <v>1010.13</v>
      </c>
      <c r="G512" s="16" t="s">
        <v>4138</v>
      </c>
      <c r="H512">
        <v>3</v>
      </c>
    </row>
    <row r="513" spans="1:8" x14ac:dyDescent="0.35">
      <c r="A513" s="16" t="s">
        <v>1479</v>
      </c>
      <c r="B513" s="19">
        <v>1006.1</v>
      </c>
      <c r="G513" s="16" t="s">
        <v>3920</v>
      </c>
      <c r="H513">
        <v>3</v>
      </c>
    </row>
    <row r="514" spans="1:8" x14ac:dyDescent="0.35">
      <c r="A514" s="16" t="s">
        <v>2226</v>
      </c>
      <c r="B514" s="19">
        <v>1001.6</v>
      </c>
      <c r="G514" s="16" t="s">
        <v>4157</v>
      </c>
      <c r="H514">
        <v>3</v>
      </c>
    </row>
    <row r="515" spans="1:8" x14ac:dyDescent="0.35">
      <c r="A515" s="16" t="s">
        <v>683</v>
      </c>
      <c r="B515" s="19">
        <v>1000.58</v>
      </c>
      <c r="G515" s="16" t="s">
        <v>3422</v>
      </c>
      <c r="H515">
        <v>3</v>
      </c>
    </row>
    <row r="516" spans="1:8" x14ac:dyDescent="0.35">
      <c r="A516" s="16" t="s">
        <v>1049</v>
      </c>
      <c r="B516" s="19">
        <v>996.28</v>
      </c>
      <c r="G516" s="16" t="s">
        <v>4168</v>
      </c>
      <c r="H516">
        <v>3</v>
      </c>
    </row>
    <row r="517" spans="1:8" x14ac:dyDescent="0.35">
      <c r="A517" s="16" t="s">
        <v>3422</v>
      </c>
      <c r="B517" s="19">
        <v>994.38</v>
      </c>
      <c r="G517" s="16" t="s">
        <v>3957</v>
      </c>
      <c r="H517">
        <v>3</v>
      </c>
    </row>
    <row r="518" spans="1:8" x14ac:dyDescent="0.35">
      <c r="A518" s="16" t="s">
        <v>3799</v>
      </c>
      <c r="B518" s="19">
        <v>993.24</v>
      </c>
      <c r="G518" s="16" t="s">
        <v>4189</v>
      </c>
      <c r="H518">
        <v>3</v>
      </c>
    </row>
    <row r="519" spans="1:8" x14ac:dyDescent="0.35">
      <c r="A519" s="16" t="s">
        <v>2133</v>
      </c>
      <c r="B519" s="19">
        <v>989.56</v>
      </c>
      <c r="G519" s="16" t="s">
        <v>3485</v>
      </c>
      <c r="H519">
        <v>3</v>
      </c>
    </row>
    <row r="520" spans="1:8" x14ac:dyDescent="0.35">
      <c r="A520" s="16" t="s">
        <v>1181</v>
      </c>
      <c r="B520" s="19">
        <v>987.76</v>
      </c>
      <c r="G520" s="16" t="s">
        <v>4199</v>
      </c>
      <c r="H520">
        <v>3</v>
      </c>
    </row>
    <row r="521" spans="1:8" x14ac:dyDescent="0.35">
      <c r="A521" s="16" t="s">
        <v>3636</v>
      </c>
      <c r="B521" s="19">
        <v>987.64</v>
      </c>
      <c r="G521" s="16" t="s">
        <v>3985</v>
      </c>
      <c r="H521">
        <v>3</v>
      </c>
    </row>
    <row r="522" spans="1:8" x14ac:dyDescent="0.35">
      <c r="A522" s="16" t="s">
        <v>2878</v>
      </c>
      <c r="B522" s="19">
        <v>987.4</v>
      </c>
      <c r="G522" s="16" t="s">
        <v>4218</v>
      </c>
      <c r="H522">
        <v>3</v>
      </c>
    </row>
    <row r="523" spans="1:8" x14ac:dyDescent="0.35">
      <c r="A523" s="16" t="s">
        <v>2892</v>
      </c>
      <c r="B523" s="19">
        <v>987.26</v>
      </c>
      <c r="G523" s="16" t="s">
        <v>3998</v>
      </c>
      <c r="H523">
        <v>3</v>
      </c>
    </row>
    <row r="524" spans="1:8" x14ac:dyDescent="0.35">
      <c r="A524" s="16" t="s">
        <v>2108</v>
      </c>
      <c r="B524" s="19">
        <v>985.8</v>
      </c>
      <c r="G524" s="16" t="s">
        <v>3647</v>
      </c>
      <c r="H524">
        <v>3</v>
      </c>
    </row>
    <row r="525" spans="1:8" x14ac:dyDescent="0.35">
      <c r="A525" s="16" t="s">
        <v>3587</v>
      </c>
      <c r="B525" s="19">
        <v>984.44</v>
      </c>
      <c r="G525" s="16" t="s">
        <v>4007</v>
      </c>
      <c r="H525">
        <v>3</v>
      </c>
    </row>
    <row r="526" spans="1:8" x14ac:dyDescent="0.35">
      <c r="A526" s="16" t="s">
        <v>2581</v>
      </c>
      <c r="B526" s="19">
        <v>984.2</v>
      </c>
      <c r="G526" s="16" t="s">
        <v>4262</v>
      </c>
      <c r="H526">
        <v>3</v>
      </c>
    </row>
    <row r="527" spans="1:8" x14ac:dyDescent="0.35">
      <c r="A527" s="16" t="s">
        <v>3716</v>
      </c>
      <c r="B527" s="19">
        <v>981.12</v>
      </c>
      <c r="G527" s="16" t="s">
        <v>4010</v>
      </c>
      <c r="H527">
        <v>3</v>
      </c>
    </row>
    <row r="528" spans="1:8" x14ac:dyDescent="0.35">
      <c r="A528" s="16" t="s">
        <v>3212</v>
      </c>
      <c r="B528" s="19">
        <v>977.8</v>
      </c>
      <c r="G528" s="16" t="s">
        <v>4019</v>
      </c>
      <c r="H528">
        <v>3</v>
      </c>
    </row>
    <row r="529" spans="1:8" x14ac:dyDescent="0.35">
      <c r="A529" s="16" t="s">
        <v>785</v>
      </c>
      <c r="B529" s="19">
        <v>977.74</v>
      </c>
      <c r="G529" s="16" t="s">
        <v>3969</v>
      </c>
      <c r="H529">
        <v>3</v>
      </c>
    </row>
    <row r="530" spans="1:8" x14ac:dyDescent="0.35">
      <c r="A530" s="16" t="s">
        <v>4168</v>
      </c>
      <c r="B530" s="19">
        <v>973.41</v>
      </c>
      <c r="G530" s="16" t="s">
        <v>2334</v>
      </c>
      <c r="H530">
        <v>3</v>
      </c>
    </row>
    <row r="531" spans="1:8" x14ac:dyDescent="0.35">
      <c r="A531" s="16" t="s">
        <v>3201</v>
      </c>
      <c r="B531" s="19">
        <v>972.9</v>
      </c>
      <c r="G531" s="16" t="s">
        <v>2864</v>
      </c>
      <c r="H531">
        <v>3</v>
      </c>
    </row>
    <row r="532" spans="1:8" x14ac:dyDescent="0.35">
      <c r="A532" s="16" t="s">
        <v>3808</v>
      </c>
      <c r="B532" s="19">
        <v>972.7</v>
      </c>
      <c r="G532" s="16" t="s">
        <v>3130</v>
      </c>
      <c r="H532">
        <v>3</v>
      </c>
    </row>
    <row r="533" spans="1:8" x14ac:dyDescent="0.35">
      <c r="A533" s="16" t="s">
        <v>2738</v>
      </c>
      <c r="B533" s="19">
        <v>970.74</v>
      </c>
      <c r="G533" s="16" t="s">
        <v>2943</v>
      </c>
      <c r="H533">
        <v>3</v>
      </c>
    </row>
    <row r="534" spans="1:8" x14ac:dyDescent="0.35">
      <c r="A534" s="16" t="s">
        <v>1510</v>
      </c>
      <c r="B534" s="19">
        <v>958.15</v>
      </c>
      <c r="G534" s="16" t="s">
        <v>2478</v>
      </c>
      <c r="H534">
        <v>3</v>
      </c>
    </row>
    <row r="535" spans="1:8" x14ac:dyDescent="0.35">
      <c r="A535" s="16" t="s">
        <v>3656</v>
      </c>
      <c r="B535" s="19">
        <v>956.72</v>
      </c>
      <c r="G535" s="16" t="s">
        <v>2689</v>
      </c>
      <c r="H535">
        <v>3</v>
      </c>
    </row>
    <row r="536" spans="1:8" x14ac:dyDescent="0.35">
      <c r="A536" s="16" t="s">
        <v>2646</v>
      </c>
      <c r="B536" s="19">
        <v>951.56</v>
      </c>
      <c r="G536" s="16" t="s">
        <v>3105</v>
      </c>
      <c r="H536">
        <v>3</v>
      </c>
    </row>
    <row r="537" spans="1:8" x14ac:dyDescent="0.35">
      <c r="A537" s="16" t="s">
        <v>4035</v>
      </c>
      <c r="B537" s="19">
        <v>950.55</v>
      </c>
      <c r="G537" s="16" t="s">
        <v>2692</v>
      </c>
      <c r="H537">
        <v>3</v>
      </c>
    </row>
    <row r="538" spans="1:8" x14ac:dyDescent="0.35">
      <c r="A538" s="16" t="s">
        <v>484</v>
      </c>
      <c r="B538" s="19">
        <v>950.4</v>
      </c>
      <c r="G538" s="16" t="s">
        <v>2451</v>
      </c>
      <c r="H538">
        <v>3</v>
      </c>
    </row>
    <row r="539" spans="1:8" x14ac:dyDescent="0.35">
      <c r="A539" s="16" t="s">
        <v>3314</v>
      </c>
      <c r="B539" s="19">
        <v>949.72</v>
      </c>
      <c r="G539" s="16" t="s">
        <v>2296</v>
      </c>
      <c r="H539">
        <v>3</v>
      </c>
    </row>
    <row r="540" spans="1:8" x14ac:dyDescent="0.35">
      <c r="A540" s="16" t="s">
        <v>3182</v>
      </c>
      <c r="B540" s="19">
        <v>946.25</v>
      </c>
      <c r="G540" s="16" t="s">
        <v>2882</v>
      </c>
      <c r="H540">
        <v>3</v>
      </c>
    </row>
    <row r="541" spans="1:8" x14ac:dyDescent="0.35">
      <c r="A541" s="16" t="s">
        <v>3689</v>
      </c>
      <c r="B541" s="19">
        <v>945.81</v>
      </c>
      <c r="G541" s="16" t="s">
        <v>2278</v>
      </c>
      <c r="H541">
        <v>3</v>
      </c>
    </row>
    <row r="542" spans="1:8" x14ac:dyDescent="0.35">
      <c r="A542" s="16" t="s">
        <v>942</v>
      </c>
      <c r="B542" s="19">
        <v>945.64</v>
      </c>
      <c r="G542" s="16" t="s">
        <v>2659</v>
      </c>
      <c r="H542">
        <v>3</v>
      </c>
    </row>
    <row r="543" spans="1:8" x14ac:dyDescent="0.35">
      <c r="A543" s="16" t="s">
        <v>850</v>
      </c>
      <c r="B543" s="19">
        <v>939.85</v>
      </c>
      <c r="G543" s="16" t="s">
        <v>2521</v>
      </c>
      <c r="H543">
        <v>3</v>
      </c>
    </row>
    <row r="544" spans="1:8" x14ac:dyDescent="0.35">
      <c r="A544" s="16" t="s">
        <v>3988</v>
      </c>
      <c r="B544" s="19">
        <v>937.8</v>
      </c>
      <c r="G544" s="16" t="s">
        <v>3286</v>
      </c>
      <c r="H544">
        <v>3</v>
      </c>
    </row>
    <row r="545" spans="1:8" x14ac:dyDescent="0.35">
      <c r="A545" s="16" t="s">
        <v>4057</v>
      </c>
      <c r="B545" s="19">
        <v>935.82</v>
      </c>
      <c r="G545" s="16" t="s">
        <v>2970</v>
      </c>
      <c r="H545">
        <v>3</v>
      </c>
    </row>
    <row r="546" spans="1:8" x14ac:dyDescent="0.35">
      <c r="A546" s="16" t="s">
        <v>3231</v>
      </c>
      <c r="B546" s="19">
        <v>934.8</v>
      </c>
      <c r="G546" s="16" t="s">
        <v>2824</v>
      </c>
      <c r="H546">
        <v>3</v>
      </c>
    </row>
    <row r="547" spans="1:8" x14ac:dyDescent="0.35">
      <c r="A547" s="16" t="s">
        <v>939</v>
      </c>
      <c r="B547" s="19">
        <v>933.99</v>
      </c>
      <c r="G547" s="16" t="s">
        <v>2344</v>
      </c>
      <c r="H547">
        <v>3</v>
      </c>
    </row>
    <row r="548" spans="1:8" x14ac:dyDescent="0.35">
      <c r="A548" s="16" t="s">
        <v>753</v>
      </c>
      <c r="B548" s="19">
        <v>931.4</v>
      </c>
      <c r="G548" s="16" t="s">
        <v>3140</v>
      </c>
      <c r="H548">
        <v>3</v>
      </c>
    </row>
    <row r="549" spans="1:8" x14ac:dyDescent="0.35">
      <c r="A549" s="16" t="s">
        <v>616</v>
      </c>
      <c r="B549" s="19">
        <v>930.36</v>
      </c>
      <c r="G549" s="16" t="s">
        <v>2530</v>
      </c>
      <c r="H549">
        <v>3</v>
      </c>
    </row>
    <row r="550" spans="1:8" x14ac:dyDescent="0.35">
      <c r="A550" s="16" t="s">
        <v>179</v>
      </c>
      <c r="B550" s="19">
        <v>930.3</v>
      </c>
      <c r="G550" s="16" t="s">
        <v>2604</v>
      </c>
      <c r="H550">
        <v>3</v>
      </c>
    </row>
    <row r="551" spans="1:8" x14ac:dyDescent="0.35">
      <c r="A551" s="16" t="s">
        <v>3938</v>
      </c>
      <c r="B551" s="19">
        <v>929.84</v>
      </c>
      <c r="G551" s="16" t="s">
        <v>2981</v>
      </c>
      <c r="H551">
        <v>3</v>
      </c>
    </row>
    <row r="552" spans="1:8" x14ac:dyDescent="0.35">
      <c r="A552" s="16" t="s">
        <v>1936</v>
      </c>
      <c r="B552" s="19">
        <v>929</v>
      </c>
      <c r="G552" s="16" t="s">
        <v>2612</v>
      </c>
      <c r="H552">
        <v>3</v>
      </c>
    </row>
    <row r="553" spans="1:8" x14ac:dyDescent="0.35">
      <c r="A553" s="16" t="s">
        <v>476</v>
      </c>
      <c r="B553" s="19">
        <v>927.66</v>
      </c>
      <c r="G553" s="16" t="s">
        <v>2985</v>
      </c>
      <c r="H553">
        <v>3</v>
      </c>
    </row>
    <row r="554" spans="1:8" x14ac:dyDescent="0.35">
      <c r="A554" s="16" t="s">
        <v>3333</v>
      </c>
      <c r="B554" s="19">
        <v>926.94</v>
      </c>
      <c r="G554" s="16" t="s">
        <v>2474</v>
      </c>
      <c r="H554">
        <v>3</v>
      </c>
    </row>
    <row r="555" spans="1:8" x14ac:dyDescent="0.35">
      <c r="A555" s="16" t="s">
        <v>2488</v>
      </c>
      <c r="B555" s="19">
        <v>925.04</v>
      </c>
      <c r="G555" s="16" t="s">
        <v>2533</v>
      </c>
      <c r="H555">
        <v>3</v>
      </c>
    </row>
    <row r="556" spans="1:8" x14ac:dyDescent="0.35">
      <c r="A556" s="16" t="s">
        <v>2813</v>
      </c>
      <c r="B556" s="19">
        <v>924.03</v>
      </c>
      <c r="G556" s="16" t="s">
        <v>2373</v>
      </c>
      <c r="H556">
        <v>3</v>
      </c>
    </row>
    <row r="557" spans="1:8" x14ac:dyDescent="0.35">
      <c r="A557" s="16" t="s">
        <v>2758</v>
      </c>
      <c r="B557" s="19">
        <v>922.74</v>
      </c>
      <c r="G557" s="16" t="s">
        <v>2536</v>
      </c>
      <c r="H557">
        <v>3</v>
      </c>
    </row>
    <row r="558" spans="1:8" x14ac:dyDescent="0.35">
      <c r="A558" s="16" t="s">
        <v>2230</v>
      </c>
      <c r="B558" s="19">
        <v>922.26</v>
      </c>
      <c r="G558" s="16" t="s">
        <v>2666</v>
      </c>
      <c r="H558">
        <v>3</v>
      </c>
    </row>
    <row r="559" spans="1:8" x14ac:dyDescent="0.35">
      <c r="A559" s="16" t="s">
        <v>4157</v>
      </c>
      <c r="B559" s="19">
        <v>918.87</v>
      </c>
      <c r="G559" s="16" t="s">
        <v>2544</v>
      </c>
      <c r="H559">
        <v>3</v>
      </c>
    </row>
    <row r="560" spans="1:8" x14ac:dyDescent="0.35">
      <c r="A560" s="16" t="s">
        <v>839</v>
      </c>
      <c r="B560" s="19">
        <v>916.4</v>
      </c>
      <c r="G560" s="16" t="s">
        <v>3272</v>
      </c>
      <c r="H560">
        <v>3</v>
      </c>
    </row>
    <row r="561" spans="1:8" x14ac:dyDescent="0.35">
      <c r="A561" s="16" t="s">
        <v>2095</v>
      </c>
      <c r="B561" s="19">
        <v>915.64</v>
      </c>
      <c r="G561" s="16" t="s">
        <v>3009</v>
      </c>
      <c r="H561">
        <v>3</v>
      </c>
    </row>
    <row r="562" spans="1:8" x14ac:dyDescent="0.35">
      <c r="A562" s="16" t="s">
        <v>3874</v>
      </c>
      <c r="B562" s="19">
        <v>915.48</v>
      </c>
      <c r="G562" s="16" t="s">
        <v>3102</v>
      </c>
      <c r="H562">
        <v>3</v>
      </c>
    </row>
    <row r="563" spans="1:8" x14ac:dyDescent="0.35">
      <c r="A563" s="16" t="s">
        <v>1971</v>
      </c>
      <c r="B563" s="19">
        <v>912.45</v>
      </c>
      <c r="G563" s="16" t="s">
        <v>2306</v>
      </c>
      <c r="H563">
        <v>3</v>
      </c>
    </row>
    <row r="564" spans="1:8" x14ac:dyDescent="0.35">
      <c r="A564" s="16" t="s">
        <v>3397</v>
      </c>
      <c r="B564" s="19">
        <v>912.08</v>
      </c>
      <c r="G564" s="16" t="s">
        <v>3113</v>
      </c>
      <c r="H564">
        <v>3</v>
      </c>
    </row>
    <row r="565" spans="1:8" x14ac:dyDescent="0.35">
      <c r="A565" s="16" t="s">
        <v>4138</v>
      </c>
      <c r="B565" s="19">
        <v>904.65</v>
      </c>
      <c r="G565" s="16" t="s">
        <v>2358</v>
      </c>
      <c r="H565">
        <v>3</v>
      </c>
    </row>
    <row r="566" spans="1:8" x14ac:dyDescent="0.35">
      <c r="A566" s="16" t="s">
        <v>2796</v>
      </c>
      <c r="B566" s="19">
        <v>904.1</v>
      </c>
      <c r="G566" s="16" t="s">
        <v>2448</v>
      </c>
      <c r="H566">
        <v>3</v>
      </c>
    </row>
    <row r="567" spans="1:8" x14ac:dyDescent="0.35">
      <c r="A567" s="16" t="s">
        <v>1319</v>
      </c>
      <c r="B567" s="19">
        <v>899</v>
      </c>
      <c r="G567" s="16" t="s">
        <v>2559</v>
      </c>
      <c r="H567">
        <v>3</v>
      </c>
    </row>
    <row r="568" spans="1:8" x14ac:dyDescent="0.35">
      <c r="A568" s="16" t="s">
        <v>2725</v>
      </c>
      <c r="B568" s="19">
        <v>898.44</v>
      </c>
      <c r="G568" s="16" t="s">
        <v>3136</v>
      </c>
      <c r="H568">
        <v>3</v>
      </c>
    </row>
    <row r="569" spans="1:8" x14ac:dyDescent="0.35">
      <c r="A569" s="16" t="s">
        <v>3234</v>
      </c>
      <c r="B569" s="19">
        <v>897.7</v>
      </c>
      <c r="G569" s="16" t="s">
        <v>2285</v>
      </c>
      <c r="H569">
        <v>3</v>
      </c>
    </row>
    <row r="570" spans="1:8" x14ac:dyDescent="0.35">
      <c r="A570" s="16" t="s">
        <v>1490</v>
      </c>
      <c r="B570" s="19">
        <v>893.01</v>
      </c>
      <c r="G570" s="16" t="s">
        <v>3143</v>
      </c>
      <c r="H570">
        <v>3</v>
      </c>
    </row>
    <row r="571" spans="1:8" x14ac:dyDescent="0.35">
      <c r="A571" s="16" t="s">
        <v>2570</v>
      </c>
      <c r="B571" s="19">
        <v>889.68</v>
      </c>
      <c r="G571" s="16" t="s">
        <v>2752</v>
      </c>
      <c r="H571">
        <v>3</v>
      </c>
    </row>
    <row r="572" spans="1:8" x14ac:dyDescent="0.35">
      <c r="A572" s="16" t="s">
        <v>2909</v>
      </c>
      <c r="B572" s="19">
        <v>887.84</v>
      </c>
      <c r="G572" s="16" t="s">
        <v>3152</v>
      </c>
      <c r="H572">
        <v>3</v>
      </c>
    </row>
    <row r="573" spans="1:8" x14ac:dyDescent="0.35">
      <c r="A573" s="16" t="s">
        <v>3098</v>
      </c>
      <c r="B573" s="19">
        <v>886.44</v>
      </c>
      <c r="G573" s="16" t="s">
        <v>2577</v>
      </c>
      <c r="H573">
        <v>3</v>
      </c>
    </row>
    <row r="574" spans="1:8" x14ac:dyDescent="0.35">
      <c r="A574" s="16" t="s">
        <v>1688</v>
      </c>
      <c r="B574" s="19">
        <v>885.32</v>
      </c>
      <c r="G574" s="16" t="s">
        <v>2853</v>
      </c>
      <c r="H574">
        <v>3</v>
      </c>
    </row>
    <row r="575" spans="1:8" x14ac:dyDescent="0.35">
      <c r="A575" s="16" t="s">
        <v>3934</v>
      </c>
      <c r="B575" s="19">
        <v>883.08</v>
      </c>
      <c r="G575" s="16" t="s">
        <v>3040</v>
      </c>
      <c r="H575">
        <v>3</v>
      </c>
    </row>
    <row r="576" spans="1:8" x14ac:dyDescent="0.35">
      <c r="A576" s="16" t="s">
        <v>2946</v>
      </c>
      <c r="B576" s="19">
        <v>877.52</v>
      </c>
      <c r="G576" s="16" t="s">
        <v>3168</v>
      </c>
      <c r="H576">
        <v>3</v>
      </c>
    </row>
    <row r="577" spans="1:8" x14ac:dyDescent="0.35">
      <c r="A577" s="16" t="s">
        <v>1832</v>
      </c>
      <c r="B577" s="19">
        <v>877.24</v>
      </c>
      <c r="G577" s="16" t="s">
        <v>2766</v>
      </c>
      <c r="H577">
        <v>3</v>
      </c>
    </row>
    <row r="578" spans="1:8" x14ac:dyDescent="0.35">
      <c r="A578" s="16" t="s">
        <v>444</v>
      </c>
      <c r="B578" s="19">
        <v>873.72</v>
      </c>
      <c r="G578" s="16" t="s">
        <v>2615</v>
      </c>
      <c r="H578">
        <v>3</v>
      </c>
    </row>
    <row r="579" spans="1:8" x14ac:dyDescent="0.35">
      <c r="A579" s="16" t="s">
        <v>4272</v>
      </c>
      <c r="B579" s="19">
        <v>873.68</v>
      </c>
      <c r="G579" s="16" t="s">
        <v>3048</v>
      </c>
      <c r="H579">
        <v>3</v>
      </c>
    </row>
    <row r="580" spans="1:8" x14ac:dyDescent="0.35">
      <c r="A580" s="16" t="s">
        <v>1940</v>
      </c>
      <c r="B580" s="19">
        <v>869.94</v>
      </c>
      <c r="G580" s="16" t="s">
        <v>2319</v>
      </c>
      <c r="H580">
        <v>3</v>
      </c>
    </row>
    <row r="581" spans="1:8" x14ac:dyDescent="0.35">
      <c r="A581" s="16" t="s">
        <v>1390</v>
      </c>
      <c r="B581" s="19">
        <v>869.8</v>
      </c>
      <c r="G581" s="16" t="s">
        <v>3290</v>
      </c>
      <c r="H581">
        <v>3</v>
      </c>
    </row>
    <row r="582" spans="1:8" x14ac:dyDescent="0.35">
      <c r="A582" s="16" t="s">
        <v>1242</v>
      </c>
      <c r="B582" s="19">
        <v>868.6</v>
      </c>
      <c r="G582" s="16" t="s">
        <v>3201</v>
      </c>
      <c r="H582">
        <v>3</v>
      </c>
    </row>
    <row r="583" spans="1:8" x14ac:dyDescent="0.35">
      <c r="A583" s="16" t="s">
        <v>804</v>
      </c>
      <c r="B583" s="19">
        <v>868.52</v>
      </c>
      <c r="G583" s="16" t="s">
        <v>2427</v>
      </c>
      <c r="H583">
        <v>3</v>
      </c>
    </row>
    <row r="584" spans="1:8" x14ac:dyDescent="0.35">
      <c r="A584" s="16" t="s">
        <v>1045</v>
      </c>
      <c r="B584" s="19">
        <v>868.25</v>
      </c>
      <c r="G584" s="16" t="s">
        <v>3208</v>
      </c>
      <c r="H584">
        <v>3</v>
      </c>
    </row>
    <row r="585" spans="1:8" x14ac:dyDescent="0.35">
      <c r="A585" s="16" t="s">
        <v>757</v>
      </c>
      <c r="B585" s="19">
        <v>858.16</v>
      </c>
      <c r="G585" s="16" t="s">
        <v>2441</v>
      </c>
      <c r="H585">
        <v>3</v>
      </c>
    </row>
    <row r="586" spans="1:8" x14ac:dyDescent="0.35">
      <c r="A586" s="16" t="s">
        <v>3127</v>
      </c>
      <c r="B586" s="19">
        <v>857.4</v>
      </c>
      <c r="G586" s="16" t="s">
        <v>2323</v>
      </c>
      <c r="H586">
        <v>3</v>
      </c>
    </row>
    <row r="587" spans="1:8" x14ac:dyDescent="0.35">
      <c r="A587" s="16" t="s">
        <v>3365</v>
      </c>
      <c r="B587" s="19">
        <v>856.18</v>
      </c>
      <c r="G587" s="16" t="s">
        <v>2800</v>
      </c>
      <c r="H587">
        <v>3</v>
      </c>
    </row>
    <row r="588" spans="1:8" x14ac:dyDescent="0.35">
      <c r="A588" s="16" t="s">
        <v>159</v>
      </c>
      <c r="B588" s="19">
        <v>853.4</v>
      </c>
      <c r="G588" s="16" t="s">
        <v>2663</v>
      </c>
      <c r="H588">
        <v>3</v>
      </c>
    </row>
    <row r="589" spans="1:8" x14ac:dyDescent="0.35">
      <c r="A589" s="16" t="s">
        <v>3442</v>
      </c>
      <c r="B589" s="19">
        <v>852.44</v>
      </c>
      <c r="G589" s="16" t="s">
        <v>2810</v>
      </c>
      <c r="H589">
        <v>3</v>
      </c>
    </row>
    <row r="590" spans="1:8" x14ac:dyDescent="0.35">
      <c r="A590" s="16" t="s">
        <v>2932</v>
      </c>
      <c r="B590" s="19">
        <v>851.1</v>
      </c>
      <c r="G590" s="16" t="s">
        <v>3257</v>
      </c>
      <c r="H590">
        <v>3</v>
      </c>
    </row>
    <row r="591" spans="1:8" x14ac:dyDescent="0.35">
      <c r="A591" s="16" t="s">
        <v>1954</v>
      </c>
      <c r="B591" s="19">
        <v>850.06</v>
      </c>
      <c r="G591" s="16" t="s">
        <v>2813</v>
      </c>
      <c r="H591">
        <v>3</v>
      </c>
    </row>
    <row r="592" spans="1:8" x14ac:dyDescent="0.35">
      <c r="A592" s="16" t="s">
        <v>1675</v>
      </c>
      <c r="B592" s="19">
        <v>848.64</v>
      </c>
      <c r="G592" s="16" t="s">
        <v>3269</v>
      </c>
      <c r="H592">
        <v>3</v>
      </c>
    </row>
    <row r="593" spans="1:8" x14ac:dyDescent="0.35">
      <c r="A593" s="16" t="s">
        <v>1072</v>
      </c>
      <c r="B593" s="19">
        <v>847.76</v>
      </c>
      <c r="G593" s="16" t="s">
        <v>2365</v>
      </c>
      <c r="H593">
        <v>3</v>
      </c>
    </row>
    <row r="594" spans="1:8" x14ac:dyDescent="0.35">
      <c r="A594" s="16" t="s">
        <v>2524</v>
      </c>
      <c r="B594" s="19">
        <v>844.68</v>
      </c>
      <c r="G594" s="16" t="s">
        <v>3283</v>
      </c>
      <c r="H594">
        <v>3</v>
      </c>
    </row>
    <row r="595" spans="1:8" x14ac:dyDescent="0.35">
      <c r="A595" s="16" t="s">
        <v>4221</v>
      </c>
      <c r="B595" s="19">
        <v>840.58</v>
      </c>
      <c r="G595" s="16" t="s">
        <v>3092</v>
      </c>
      <c r="H595">
        <v>3</v>
      </c>
    </row>
    <row r="596" spans="1:8" x14ac:dyDescent="0.35">
      <c r="A596" s="16" t="s">
        <v>3995</v>
      </c>
      <c r="B596" s="19">
        <v>839.96</v>
      </c>
      <c r="G596" s="16" t="s">
        <v>2386</v>
      </c>
      <c r="H596">
        <v>3</v>
      </c>
    </row>
    <row r="597" spans="1:8" x14ac:dyDescent="0.35">
      <c r="A597" s="16" t="s">
        <v>3591</v>
      </c>
      <c r="B597" s="19">
        <v>836.52</v>
      </c>
      <c r="G597" s="16" t="s">
        <v>3095</v>
      </c>
      <c r="H597">
        <v>3</v>
      </c>
    </row>
    <row r="598" spans="1:8" x14ac:dyDescent="0.35">
      <c r="A598" s="16" t="s">
        <v>523</v>
      </c>
      <c r="B598" s="19">
        <v>834.12</v>
      </c>
      <c r="G598" s="16" t="s">
        <v>3296</v>
      </c>
      <c r="H598">
        <v>3</v>
      </c>
    </row>
    <row r="599" spans="1:8" x14ac:dyDescent="0.35">
      <c r="A599" s="16" t="s">
        <v>1729</v>
      </c>
      <c r="B599" s="19">
        <v>833.62</v>
      </c>
      <c r="G599" s="16" t="s">
        <v>2774</v>
      </c>
      <c r="H599">
        <v>3</v>
      </c>
    </row>
    <row r="600" spans="1:8" x14ac:dyDescent="0.35">
      <c r="A600" s="16" t="s">
        <v>1429</v>
      </c>
      <c r="B600" s="19">
        <v>827.36</v>
      </c>
      <c r="G600" s="16" t="s">
        <v>1283</v>
      </c>
      <c r="H600">
        <v>3</v>
      </c>
    </row>
    <row r="601" spans="1:8" x14ac:dyDescent="0.35">
      <c r="A601" s="16" t="s">
        <v>1641</v>
      </c>
      <c r="B601" s="19">
        <v>826.4</v>
      </c>
      <c r="G601" s="16" t="s">
        <v>2205</v>
      </c>
      <c r="H601">
        <v>3</v>
      </c>
    </row>
    <row r="602" spans="1:8" x14ac:dyDescent="0.35">
      <c r="A602" s="16" t="s">
        <v>3814</v>
      </c>
      <c r="B602" s="19">
        <v>824.28</v>
      </c>
      <c r="G602" s="16" t="s">
        <v>1520</v>
      </c>
      <c r="H602">
        <v>3</v>
      </c>
    </row>
    <row r="603" spans="1:8" x14ac:dyDescent="0.35">
      <c r="A603" s="16" t="s">
        <v>2285</v>
      </c>
      <c r="B603" s="19">
        <v>824.25</v>
      </c>
      <c r="G603" s="16" t="s">
        <v>1262</v>
      </c>
      <c r="H603">
        <v>3</v>
      </c>
    </row>
    <row r="604" spans="1:8" x14ac:dyDescent="0.35">
      <c r="A604" s="16" t="s">
        <v>612</v>
      </c>
      <c r="B604" s="19">
        <v>822.98</v>
      </c>
      <c r="G604" s="16" t="s">
        <v>1917</v>
      </c>
      <c r="H604">
        <v>3</v>
      </c>
    </row>
    <row r="605" spans="1:8" x14ac:dyDescent="0.35">
      <c r="A605" s="16" t="s">
        <v>908</v>
      </c>
      <c r="B605" s="19">
        <v>821.88</v>
      </c>
      <c r="G605" s="16" t="s">
        <v>1928</v>
      </c>
      <c r="H605">
        <v>3</v>
      </c>
    </row>
    <row r="606" spans="1:8" x14ac:dyDescent="0.35">
      <c r="A606" s="16" t="s">
        <v>3759</v>
      </c>
      <c r="B606" s="19">
        <v>819.5</v>
      </c>
      <c r="G606" s="16" t="s">
        <v>1882</v>
      </c>
      <c r="H606">
        <v>3</v>
      </c>
    </row>
    <row r="607" spans="1:8" x14ac:dyDescent="0.35">
      <c r="A607" s="16" t="s">
        <v>847</v>
      </c>
      <c r="B607" s="19">
        <v>816.64</v>
      </c>
      <c r="G607" s="16" t="s">
        <v>1932</v>
      </c>
      <c r="H607">
        <v>3</v>
      </c>
    </row>
    <row r="608" spans="1:8" x14ac:dyDescent="0.35">
      <c r="A608" s="16" t="s">
        <v>1041</v>
      </c>
      <c r="B608" s="19">
        <v>815.58</v>
      </c>
      <c r="G608" s="16" t="s">
        <v>1544</v>
      </c>
      <c r="H608">
        <v>3</v>
      </c>
    </row>
    <row r="609" spans="1:8" x14ac:dyDescent="0.35">
      <c r="A609" s="16" t="s">
        <v>1925</v>
      </c>
      <c r="B609" s="19">
        <v>813.84</v>
      </c>
      <c r="G609" s="16" t="s">
        <v>1468</v>
      </c>
      <c r="H609">
        <v>3</v>
      </c>
    </row>
    <row r="610" spans="1:8" x14ac:dyDescent="0.35">
      <c r="A610" s="16" t="s">
        <v>1449</v>
      </c>
      <c r="B610" s="19">
        <v>813.06</v>
      </c>
      <c r="G610" s="16" t="s">
        <v>1695</v>
      </c>
      <c r="H610">
        <v>3</v>
      </c>
    </row>
    <row r="611" spans="1:8" x14ac:dyDescent="0.35">
      <c r="A611" s="16" t="s">
        <v>3448</v>
      </c>
      <c r="B611" s="19">
        <v>809.92</v>
      </c>
      <c r="G611" s="16" t="s">
        <v>1965</v>
      </c>
      <c r="H611">
        <v>3</v>
      </c>
    </row>
    <row r="612" spans="1:8" x14ac:dyDescent="0.35">
      <c r="A612" s="16" t="s">
        <v>3601</v>
      </c>
      <c r="B612" s="19">
        <v>802.35</v>
      </c>
      <c r="G612" s="16" t="s">
        <v>1679</v>
      </c>
      <c r="H612">
        <v>3</v>
      </c>
    </row>
    <row r="613" spans="1:8" x14ac:dyDescent="0.35">
      <c r="A613" s="16" t="s">
        <v>1087</v>
      </c>
      <c r="B613" s="19">
        <v>798.64</v>
      </c>
      <c r="G613" s="16" t="s">
        <v>1968</v>
      </c>
      <c r="H613">
        <v>3</v>
      </c>
    </row>
    <row r="614" spans="1:8" x14ac:dyDescent="0.35">
      <c r="A614" s="16" t="s">
        <v>636</v>
      </c>
      <c r="B614" s="19">
        <v>798.08</v>
      </c>
      <c r="G614" s="16" t="s">
        <v>1874</v>
      </c>
      <c r="H614">
        <v>3</v>
      </c>
    </row>
    <row r="615" spans="1:8" x14ac:dyDescent="0.35">
      <c r="A615" s="16" t="s">
        <v>3023</v>
      </c>
      <c r="B615" s="19">
        <v>796.9</v>
      </c>
      <c r="G615" s="16" t="s">
        <v>1971</v>
      </c>
      <c r="H615">
        <v>3</v>
      </c>
    </row>
    <row r="616" spans="1:8" x14ac:dyDescent="0.35">
      <c r="A616" s="16" t="s">
        <v>3833</v>
      </c>
      <c r="B616" s="19">
        <v>795.24</v>
      </c>
      <c r="G616" s="16" t="s">
        <v>1449</v>
      </c>
      <c r="H616">
        <v>3</v>
      </c>
    </row>
    <row r="617" spans="1:8" x14ac:dyDescent="0.35">
      <c r="A617" s="16" t="s">
        <v>1980</v>
      </c>
      <c r="B617" s="19">
        <v>793.4</v>
      </c>
      <c r="G617" s="16" t="s">
        <v>1974</v>
      </c>
      <c r="H617">
        <v>3</v>
      </c>
    </row>
    <row r="618" spans="1:8" x14ac:dyDescent="0.35">
      <c r="A618" s="16" t="s">
        <v>1020</v>
      </c>
      <c r="B618" s="19">
        <v>789.57</v>
      </c>
      <c r="G618" s="16" t="s">
        <v>1330</v>
      </c>
      <c r="H618">
        <v>3</v>
      </c>
    </row>
    <row r="619" spans="1:8" x14ac:dyDescent="0.35">
      <c r="A619" s="16" t="s">
        <v>3926</v>
      </c>
      <c r="B619" s="19">
        <v>789.44</v>
      </c>
      <c r="G619" s="16" t="s">
        <v>1977</v>
      </c>
      <c r="H619">
        <v>3</v>
      </c>
    </row>
    <row r="620" spans="1:8" x14ac:dyDescent="0.35">
      <c r="A620" s="16" t="s">
        <v>357</v>
      </c>
      <c r="B620" s="19">
        <v>788.6</v>
      </c>
      <c r="G620" s="16" t="s">
        <v>1220</v>
      </c>
      <c r="H620">
        <v>3</v>
      </c>
    </row>
    <row r="621" spans="1:8" x14ac:dyDescent="0.35">
      <c r="A621" s="16" t="s">
        <v>3407</v>
      </c>
      <c r="B621" s="19">
        <v>788.32</v>
      </c>
      <c r="G621" s="16" t="s">
        <v>1224</v>
      </c>
      <c r="H621">
        <v>3</v>
      </c>
    </row>
    <row r="622" spans="1:8" x14ac:dyDescent="0.35">
      <c r="A622" s="16" t="s">
        <v>95</v>
      </c>
      <c r="B622" s="19">
        <v>786.66</v>
      </c>
      <c r="G622" s="16" t="s">
        <v>1906</v>
      </c>
      <c r="H622">
        <v>3</v>
      </c>
    </row>
    <row r="623" spans="1:8" x14ac:dyDescent="0.35">
      <c r="A623" s="16" t="s">
        <v>2485</v>
      </c>
      <c r="B623" s="19">
        <v>779</v>
      </c>
      <c r="G623" s="16" t="s">
        <v>1231</v>
      </c>
      <c r="H623">
        <v>3</v>
      </c>
    </row>
    <row r="624" spans="1:8" x14ac:dyDescent="0.35">
      <c r="A624" s="16" t="s">
        <v>2601</v>
      </c>
      <c r="B624" s="19">
        <v>776.44</v>
      </c>
      <c r="G624" s="16" t="s">
        <v>1358</v>
      </c>
      <c r="H624">
        <v>3</v>
      </c>
    </row>
    <row r="625" spans="1:8" x14ac:dyDescent="0.35">
      <c r="A625" s="16" t="s">
        <v>3152</v>
      </c>
      <c r="B625" s="19">
        <v>773.52</v>
      </c>
      <c r="G625" s="16" t="s">
        <v>2262</v>
      </c>
      <c r="H625">
        <v>3</v>
      </c>
    </row>
    <row r="626" spans="1:8" x14ac:dyDescent="0.35">
      <c r="A626" s="16" t="s">
        <v>2247</v>
      </c>
      <c r="B626" s="19">
        <v>770.32</v>
      </c>
      <c r="G626" s="16" t="s">
        <v>1287</v>
      </c>
      <c r="H626">
        <v>3</v>
      </c>
    </row>
    <row r="627" spans="1:8" x14ac:dyDescent="0.35">
      <c r="A627" s="16" t="s">
        <v>195</v>
      </c>
      <c r="B627" s="19">
        <v>769.38</v>
      </c>
      <c r="G627" s="16" t="s">
        <v>1990</v>
      </c>
      <c r="H627">
        <v>3</v>
      </c>
    </row>
    <row r="628" spans="1:8" x14ac:dyDescent="0.35">
      <c r="A628" s="16" t="s">
        <v>690</v>
      </c>
      <c r="B628" s="19">
        <v>768.28</v>
      </c>
      <c r="G628" s="16" t="s">
        <v>1867</v>
      </c>
      <c r="H628">
        <v>3</v>
      </c>
    </row>
    <row r="629" spans="1:8" x14ac:dyDescent="0.35">
      <c r="A629" s="16" t="s">
        <v>3062</v>
      </c>
      <c r="B629" s="19">
        <v>762.56</v>
      </c>
      <c r="G629" s="16" t="s">
        <v>1442</v>
      </c>
      <c r="H629">
        <v>3</v>
      </c>
    </row>
    <row r="630" spans="1:8" x14ac:dyDescent="0.35">
      <c r="A630" s="16" t="s">
        <v>825</v>
      </c>
      <c r="B630" s="19">
        <v>761.94</v>
      </c>
      <c r="G630" s="16" t="s">
        <v>2126</v>
      </c>
      <c r="H630">
        <v>3</v>
      </c>
    </row>
    <row r="631" spans="1:8" x14ac:dyDescent="0.35">
      <c r="A631" s="16" t="s">
        <v>1737</v>
      </c>
      <c r="B631" s="19">
        <v>759.15</v>
      </c>
      <c r="G631" s="16" t="s">
        <v>1821</v>
      </c>
      <c r="H631">
        <v>3</v>
      </c>
    </row>
    <row r="632" spans="1:8" x14ac:dyDescent="0.35">
      <c r="A632" s="16" t="s">
        <v>2745</v>
      </c>
      <c r="B632" s="19">
        <v>754.94</v>
      </c>
      <c r="G632" s="16" t="s">
        <v>2137</v>
      </c>
      <c r="H632">
        <v>3</v>
      </c>
    </row>
    <row r="633" spans="1:8" x14ac:dyDescent="0.35">
      <c r="A633" s="16" t="s">
        <v>4010</v>
      </c>
      <c r="B633" s="19">
        <v>754.44</v>
      </c>
      <c r="G633" s="16" t="s">
        <v>1829</v>
      </c>
      <c r="H633">
        <v>3</v>
      </c>
    </row>
    <row r="634" spans="1:8" x14ac:dyDescent="0.35">
      <c r="A634" s="16" t="s">
        <v>3362</v>
      </c>
      <c r="B634" s="19">
        <v>749.2</v>
      </c>
      <c r="G634" s="16" t="s">
        <v>1506</v>
      </c>
      <c r="H634">
        <v>3</v>
      </c>
    </row>
    <row r="635" spans="1:8" x14ac:dyDescent="0.35">
      <c r="A635" s="16" t="s">
        <v>62</v>
      </c>
      <c r="B635" s="19">
        <v>747.75</v>
      </c>
      <c r="G635" s="16" t="s">
        <v>1844</v>
      </c>
      <c r="H635">
        <v>3</v>
      </c>
    </row>
    <row r="636" spans="1:8" x14ac:dyDescent="0.35">
      <c r="A636" s="16" t="s">
        <v>890</v>
      </c>
      <c r="B636" s="19">
        <v>746.34</v>
      </c>
      <c r="G636" s="16" t="s">
        <v>1323</v>
      </c>
      <c r="H636">
        <v>3</v>
      </c>
    </row>
    <row r="637" spans="1:8" x14ac:dyDescent="0.35">
      <c r="A637" s="16" t="s">
        <v>2514</v>
      </c>
      <c r="B637" s="19">
        <v>745.84</v>
      </c>
      <c r="G637" s="16" t="s">
        <v>2038</v>
      </c>
      <c r="H637">
        <v>3</v>
      </c>
    </row>
    <row r="638" spans="1:8" x14ac:dyDescent="0.35">
      <c r="A638" s="16" t="s">
        <v>2709</v>
      </c>
      <c r="B638" s="19">
        <v>745.64</v>
      </c>
      <c r="G638" s="16" t="s">
        <v>1200</v>
      </c>
      <c r="H638">
        <v>3</v>
      </c>
    </row>
    <row r="639" spans="1:8" x14ac:dyDescent="0.35">
      <c r="A639" s="16" t="s">
        <v>2437</v>
      </c>
      <c r="B639" s="19">
        <v>744.46</v>
      </c>
      <c r="G639" s="16" t="s">
        <v>2042</v>
      </c>
      <c r="H639">
        <v>3</v>
      </c>
    </row>
    <row r="640" spans="1:8" x14ac:dyDescent="0.35">
      <c r="A640" s="16" t="s">
        <v>4241</v>
      </c>
      <c r="B640" s="19">
        <v>742.58</v>
      </c>
      <c r="G640" s="16" t="s">
        <v>1308</v>
      </c>
      <c r="H640">
        <v>3</v>
      </c>
    </row>
    <row r="641" spans="1:8" x14ac:dyDescent="0.35">
      <c r="A641" s="16" t="s">
        <v>2049</v>
      </c>
      <c r="B641" s="19">
        <v>742.41</v>
      </c>
      <c r="G641" s="16" t="s">
        <v>2049</v>
      </c>
      <c r="H641">
        <v>3</v>
      </c>
    </row>
    <row r="642" spans="1:8" x14ac:dyDescent="0.35">
      <c r="A642" s="16" t="s">
        <v>2186</v>
      </c>
      <c r="B642" s="19">
        <v>741.64</v>
      </c>
      <c r="G642" s="16" t="s">
        <v>1899</v>
      </c>
      <c r="H642">
        <v>3</v>
      </c>
    </row>
    <row r="643" spans="1:8" x14ac:dyDescent="0.35">
      <c r="A643" s="16" t="s">
        <v>3391</v>
      </c>
      <c r="B643" s="19">
        <v>741.33</v>
      </c>
      <c r="G643" s="16" t="s">
        <v>2052</v>
      </c>
      <c r="H643">
        <v>3</v>
      </c>
    </row>
    <row r="644" spans="1:8" x14ac:dyDescent="0.35">
      <c r="A644" s="16" t="s">
        <v>2886</v>
      </c>
      <c r="B644" s="19">
        <v>737.92</v>
      </c>
      <c r="G644" s="16" t="s">
        <v>2202</v>
      </c>
      <c r="H644">
        <v>3</v>
      </c>
    </row>
    <row r="645" spans="1:8" x14ac:dyDescent="0.35">
      <c r="A645" s="16" t="s">
        <v>2416</v>
      </c>
      <c r="B645" s="19">
        <v>732.46</v>
      </c>
      <c r="G645" s="16" t="s">
        <v>2056</v>
      </c>
      <c r="H645">
        <v>3</v>
      </c>
    </row>
    <row r="646" spans="1:8" x14ac:dyDescent="0.35">
      <c r="A646" s="16" t="s">
        <v>916</v>
      </c>
      <c r="B646" s="19">
        <v>730.34</v>
      </c>
      <c r="G646" s="16" t="s">
        <v>1402</v>
      </c>
      <c r="H646">
        <v>3</v>
      </c>
    </row>
    <row r="647" spans="1:8" x14ac:dyDescent="0.35">
      <c r="A647" s="16" t="s">
        <v>393</v>
      </c>
      <c r="B647" s="19">
        <v>728.32</v>
      </c>
      <c r="G647" s="16" t="s">
        <v>1374</v>
      </c>
      <c r="H647">
        <v>3</v>
      </c>
    </row>
    <row r="648" spans="1:8" x14ac:dyDescent="0.35">
      <c r="A648" s="16" t="s">
        <v>773</v>
      </c>
      <c r="B648" s="19">
        <v>727.82</v>
      </c>
      <c r="G648" s="16" t="s">
        <v>1910</v>
      </c>
      <c r="H648">
        <v>3</v>
      </c>
    </row>
    <row r="649" spans="1:8" x14ac:dyDescent="0.35">
      <c r="A649" s="16" t="s">
        <v>2164</v>
      </c>
      <c r="B649" s="19">
        <v>724.28</v>
      </c>
      <c r="G649" s="16" t="s">
        <v>1490</v>
      </c>
      <c r="H649">
        <v>3</v>
      </c>
    </row>
    <row r="650" spans="1:8" x14ac:dyDescent="0.35">
      <c r="A650" s="16" t="s">
        <v>3308</v>
      </c>
      <c r="B650" s="19">
        <v>721</v>
      </c>
      <c r="G650" s="16" t="s">
        <v>2238</v>
      </c>
      <c r="H650">
        <v>3</v>
      </c>
    </row>
    <row r="651" spans="1:8" x14ac:dyDescent="0.35">
      <c r="A651" s="16" t="s">
        <v>3117</v>
      </c>
      <c r="B651" s="19">
        <v>719.72</v>
      </c>
      <c r="G651" s="16" t="s">
        <v>1588</v>
      </c>
      <c r="H651">
        <v>3</v>
      </c>
    </row>
    <row r="652" spans="1:8" x14ac:dyDescent="0.35">
      <c r="A652" s="16" t="s">
        <v>2577</v>
      </c>
      <c r="B652" s="19">
        <v>717.24</v>
      </c>
      <c r="G652" s="16" t="s">
        <v>2251</v>
      </c>
      <c r="H652">
        <v>3</v>
      </c>
    </row>
    <row r="653" spans="1:8" x14ac:dyDescent="0.35">
      <c r="A653" s="16" t="s">
        <v>2928</v>
      </c>
      <c r="B653" s="19">
        <v>712.7</v>
      </c>
      <c r="G653" s="16" t="s">
        <v>1857</v>
      </c>
      <c r="H653">
        <v>3</v>
      </c>
    </row>
    <row r="654" spans="1:8" x14ac:dyDescent="0.35">
      <c r="A654" s="16" t="s">
        <v>2970</v>
      </c>
      <c r="B654" s="19">
        <v>709.5</v>
      </c>
      <c r="G654" s="16" t="s">
        <v>1464</v>
      </c>
      <c r="H654">
        <v>3</v>
      </c>
    </row>
    <row r="655" spans="1:8" x14ac:dyDescent="0.35">
      <c r="A655" s="16" t="s">
        <v>345</v>
      </c>
      <c r="B655" s="19">
        <v>701.44</v>
      </c>
      <c r="G655" s="16" t="s">
        <v>2088</v>
      </c>
      <c r="H655">
        <v>3</v>
      </c>
    </row>
    <row r="656" spans="1:8" x14ac:dyDescent="0.35">
      <c r="A656" s="16" t="s">
        <v>3668</v>
      </c>
      <c r="B656" s="19">
        <v>698.8</v>
      </c>
      <c r="G656" s="16" t="s">
        <v>1737</v>
      </c>
      <c r="H656">
        <v>3</v>
      </c>
    </row>
    <row r="657" spans="1:8" x14ac:dyDescent="0.35">
      <c r="A657" s="16" t="s">
        <v>3030</v>
      </c>
      <c r="B657" s="19">
        <v>697.96</v>
      </c>
      <c r="G657" s="16" t="s">
        <v>1020</v>
      </c>
      <c r="H657">
        <v>3</v>
      </c>
    </row>
    <row r="658" spans="1:8" x14ac:dyDescent="0.35">
      <c r="A658" s="16" t="s">
        <v>4051</v>
      </c>
      <c r="B658" s="19">
        <v>694.5</v>
      </c>
      <c r="G658" s="16" t="s">
        <v>781</v>
      </c>
      <c r="H658">
        <v>3</v>
      </c>
    </row>
    <row r="659" spans="1:8" x14ac:dyDescent="0.35">
      <c r="A659" s="16" t="s">
        <v>1398</v>
      </c>
      <c r="B659" s="19">
        <v>693.41</v>
      </c>
      <c r="G659" s="16" t="s">
        <v>203</v>
      </c>
      <c r="H659">
        <v>3</v>
      </c>
    </row>
    <row r="660" spans="1:8" x14ac:dyDescent="0.35">
      <c r="A660" s="16" t="s">
        <v>1159</v>
      </c>
      <c r="B660" s="19">
        <v>690.02</v>
      </c>
      <c r="G660" s="16" t="s">
        <v>825</v>
      </c>
      <c r="H660">
        <v>3</v>
      </c>
    </row>
    <row r="661" spans="1:8" x14ac:dyDescent="0.35">
      <c r="A661" s="16" t="s">
        <v>4122</v>
      </c>
      <c r="B661" s="19">
        <v>688.36</v>
      </c>
      <c r="G661" s="16" t="s">
        <v>1006</v>
      </c>
      <c r="H661">
        <v>3</v>
      </c>
    </row>
    <row r="662" spans="1:8" x14ac:dyDescent="0.35">
      <c r="A662" s="16" t="s">
        <v>199</v>
      </c>
      <c r="B662" s="19">
        <v>688.04</v>
      </c>
      <c r="G662" s="16" t="s">
        <v>828</v>
      </c>
      <c r="H662">
        <v>3</v>
      </c>
    </row>
    <row r="663" spans="1:8" x14ac:dyDescent="0.35">
      <c r="A663" s="16" t="s">
        <v>1829</v>
      </c>
      <c r="B663" s="19">
        <v>688.02</v>
      </c>
      <c r="G663" s="16" t="s">
        <v>353</v>
      </c>
      <c r="H663">
        <v>3</v>
      </c>
    </row>
    <row r="664" spans="1:8" x14ac:dyDescent="0.35">
      <c r="A664" s="16" t="s">
        <v>2158</v>
      </c>
      <c r="B664" s="19">
        <v>687.98</v>
      </c>
      <c r="G664" s="16" t="s">
        <v>539</v>
      </c>
      <c r="H664">
        <v>3</v>
      </c>
    </row>
    <row r="665" spans="1:8" x14ac:dyDescent="0.35">
      <c r="A665" s="16" t="s">
        <v>4259</v>
      </c>
      <c r="B665" s="19">
        <v>687.89</v>
      </c>
      <c r="G665" s="16" t="s">
        <v>523</v>
      </c>
      <c r="H665">
        <v>3</v>
      </c>
    </row>
    <row r="666" spans="1:8" x14ac:dyDescent="0.35">
      <c r="A666" s="16" t="s">
        <v>4013</v>
      </c>
      <c r="B666" s="19">
        <v>684.65</v>
      </c>
      <c r="G666" s="16" t="s">
        <v>835</v>
      </c>
      <c r="H666">
        <v>3</v>
      </c>
    </row>
    <row r="667" spans="1:8" x14ac:dyDescent="0.35">
      <c r="A667" s="16" t="s">
        <v>990</v>
      </c>
      <c r="B667" s="19">
        <v>684.22</v>
      </c>
      <c r="G667" s="16" t="s">
        <v>381</v>
      </c>
      <c r="H667">
        <v>3</v>
      </c>
    </row>
    <row r="668" spans="1:8" x14ac:dyDescent="0.35">
      <c r="A668" s="16" t="s">
        <v>3079</v>
      </c>
      <c r="B668" s="19">
        <v>679.65</v>
      </c>
      <c r="G668" s="16" t="s">
        <v>385</v>
      </c>
      <c r="H668">
        <v>3</v>
      </c>
    </row>
    <row r="669" spans="1:8" x14ac:dyDescent="0.35">
      <c r="A669" s="16" t="s">
        <v>1439</v>
      </c>
      <c r="B669" s="19">
        <v>678.38</v>
      </c>
      <c r="G669" s="16" t="s">
        <v>456</v>
      </c>
      <c r="H669">
        <v>3</v>
      </c>
    </row>
    <row r="670" spans="1:8" x14ac:dyDescent="0.35">
      <c r="A670" s="16" t="s">
        <v>3280</v>
      </c>
      <c r="B670" s="19">
        <v>678.01</v>
      </c>
      <c r="G670" s="16" t="s">
        <v>91</v>
      </c>
      <c r="H670">
        <v>3</v>
      </c>
    </row>
    <row r="671" spans="1:8" x14ac:dyDescent="0.35">
      <c r="A671" s="16" t="s">
        <v>3704</v>
      </c>
      <c r="B671" s="19">
        <v>677.48</v>
      </c>
      <c r="G671" s="16" t="s">
        <v>195</v>
      </c>
      <c r="H671">
        <v>3</v>
      </c>
    </row>
    <row r="672" spans="1:8" x14ac:dyDescent="0.35">
      <c r="A672" s="16" t="s">
        <v>1752</v>
      </c>
      <c r="B672" s="19">
        <v>675.57</v>
      </c>
      <c r="G672" s="16" t="s">
        <v>853</v>
      </c>
      <c r="H672">
        <v>3</v>
      </c>
    </row>
    <row r="673" spans="1:8" x14ac:dyDescent="0.35">
      <c r="A673" s="16" t="s">
        <v>381</v>
      </c>
      <c r="B673" s="19">
        <v>675.33</v>
      </c>
      <c r="G673" s="16" t="s">
        <v>737</v>
      </c>
      <c r="H673">
        <v>3</v>
      </c>
    </row>
    <row r="674" spans="1:8" x14ac:dyDescent="0.35">
      <c r="A674" s="16" t="s">
        <v>4054</v>
      </c>
      <c r="B674" s="19">
        <v>674.64</v>
      </c>
      <c r="G674" s="16" t="s">
        <v>856</v>
      </c>
      <c r="H674">
        <v>3</v>
      </c>
    </row>
    <row r="675" spans="1:8" x14ac:dyDescent="0.35">
      <c r="A675" s="16" t="s">
        <v>2351</v>
      </c>
      <c r="B675" s="19">
        <v>672.89</v>
      </c>
      <c r="G675" s="16" t="s">
        <v>1119</v>
      </c>
      <c r="H675">
        <v>3</v>
      </c>
    </row>
    <row r="676" spans="1:8" x14ac:dyDescent="0.35">
      <c r="A676" s="16" t="s">
        <v>4001</v>
      </c>
      <c r="B676" s="19">
        <v>672.64</v>
      </c>
      <c r="G676" s="16" t="s">
        <v>551</v>
      </c>
      <c r="H676">
        <v>3</v>
      </c>
    </row>
    <row r="677" spans="1:8" x14ac:dyDescent="0.35">
      <c r="A677" s="16" t="s">
        <v>4164</v>
      </c>
      <c r="B677" s="19">
        <v>671.37</v>
      </c>
      <c r="G677" s="16" t="s">
        <v>210</v>
      </c>
      <c r="H677">
        <v>3</v>
      </c>
    </row>
    <row r="678" spans="1:8" x14ac:dyDescent="0.35">
      <c r="A678" s="16" t="s">
        <v>781</v>
      </c>
      <c r="B678" s="19">
        <v>671.1</v>
      </c>
      <c r="G678" s="16" t="s">
        <v>291</v>
      </c>
      <c r="H678">
        <v>3</v>
      </c>
    </row>
    <row r="679" spans="1:8" x14ac:dyDescent="0.35">
      <c r="A679" s="16" t="s">
        <v>998</v>
      </c>
      <c r="B679" s="19">
        <v>670.54</v>
      </c>
      <c r="G679" s="16" t="s">
        <v>373</v>
      </c>
      <c r="H679">
        <v>3</v>
      </c>
    </row>
    <row r="680" spans="1:8" x14ac:dyDescent="0.35">
      <c r="A680" s="16" t="s">
        <v>2007</v>
      </c>
      <c r="B680" s="19">
        <v>668.48</v>
      </c>
      <c r="G680" s="16" t="s">
        <v>259</v>
      </c>
      <c r="H680">
        <v>3</v>
      </c>
    </row>
    <row r="681" spans="1:8" x14ac:dyDescent="0.35">
      <c r="A681" s="16" t="s">
        <v>2104</v>
      </c>
      <c r="B681" s="19">
        <v>667.66</v>
      </c>
      <c r="G681" s="16" t="s">
        <v>962</v>
      </c>
      <c r="H681">
        <v>3</v>
      </c>
    </row>
    <row r="682" spans="1:8" x14ac:dyDescent="0.35">
      <c r="A682" s="16" t="s">
        <v>4195</v>
      </c>
      <c r="B682" s="19">
        <v>667.02</v>
      </c>
      <c r="G682" s="16" t="s">
        <v>882</v>
      </c>
      <c r="H682">
        <v>3</v>
      </c>
    </row>
    <row r="683" spans="1:8" x14ac:dyDescent="0.35">
      <c r="A683" s="16" t="s">
        <v>3215</v>
      </c>
      <c r="B683" s="19">
        <v>666.95</v>
      </c>
      <c r="G683" s="16" t="s">
        <v>687</v>
      </c>
      <c r="H683">
        <v>3</v>
      </c>
    </row>
    <row r="684" spans="1:8" x14ac:dyDescent="0.35">
      <c r="A684" s="16" t="s">
        <v>2635</v>
      </c>
      <c r="B684" s="19">
        <v>665.11</v>
      </c>
      <c r="G684" s="16" t="s">
        <v>590</v>
      </c>
      <c r="H684">
        <v>3</v>
      </c>
    </row>
    <row r="685" spans="1:8" x14ac:dyDescent="0.35">
      <c r="A685" s="16" t="s">
        <v>1603</v>
      </c>
      <c r="B685" s="19">
        <v>665.05</v>
      </c>
      <c r="G685" s="16" t="s">
        <v>468</v>
      </c>
      <c r="H685">
        <v>3</v>
      </c>
    </row>
    <row r="686" spans="1:8" x14ac:dyDescent="0.35">
      <c r="A686" s="16" t="s">
        <v>56</v>
      </c>
      <c r="B686" s="19">
        <v>664.42</v>
      </c>
      <c r="G686" s="16" t="s">
        <v>593</v>
      </c>
      <c r="H686">
        <v>3</v>
      </c>
    </row>
    <row r="687" spans="1:8" x14ac:dyDescent="0.35">
      <c r="A687" s="16" t="s">
        <v>4174</v>
      </c>
      <c r="B687" s="19">
        <v>662.84</v>
      </c>
      <c r="G687" s="16" t="s">
        <v>476</v>
      </c>
      <c r="H687">
        <v>3</v>
      </c>
    </row>
    <row r="688" spans="1:8" x14ac:dyDescent="0.35">
      <c r="A688" s="16" t="s">
        <v>3224</v>
      </c>
      <c r="B688" s="19">
        <v>661.38</v>
      </c>
      <c r="G688" s="16" t="s">
        <v>82</v>
      </c>
      <c r="H688">
        <v>3</v>
      </c>
    </row>
    <row r="689" spans="1:8" x14ac:dyDescent="0.35">
      <c r="A689" s="16" t="s">
        <v>3802</v>
      </c>
      <c r="B689" s="19">
        <v>660.66</v>
      </c>
      <c r="G689" s="16" t="s">
        <v>307</v>
      </c>
      <c r="H689">
        <v>3</v>
      </c>
    </row>
    <row r="690" spans="1:8" x14ac:dyDescent="0.35">
      <c r="A690" s="16" t="s">
        <v>3824</v>
      </c>
      <c r="B690" s="19">
        <v>658.5</v>
      </c>
      <c r="G690" s="16" t="s">
        <v>908</v>
      </c>
      <c r="H690">
        <v>3</v>
      </c>
    </row>
    <row r="691" spans="1:8" x14ac:dyDescent="0.35">
      <c r="A691" s="16" t="s">
        <v>1706</v>
      </c>
      <c r="B691" s="19">
        <v>657.08</v>
      </c>
      <c r="G691" s="16" t="s">
        <v>310</v>
      </c>
      <c r="H691">
        <v>3</v>
      </c>
    </row>
    <row r="692" spans="1:8" x14ac:dyDescent="0.35">
      <c r="A692" s="16" t="s">
        <v>2274</v>
      </c>
      <c r="B692" s="19">
        <v>657.07</v>
      </c>
      <c r="G692" s="16" t="s">
        <v>912</v>
      </c>
      <c r="H692">
        <v>3</v>
      </c>
    </row>
    <row r="693" spans="1:8" x14ac:dyDescent="0.35">
      <c r="A693" s="16" t="s">
        <v>1366</v>
      </c>
      <c r="B693" s="19">
        <v>655.09</v>
      </c>
      <c r="G693" s="16" t="s">
        <v>318</v>
      </c>
      <c r="H693">
        <v>3</v>
      </c>
    </row>
    <row r="694" spans="1:8" x14ac:dyDescent="0.35">
      <c r="A694" s="16" t="s">
        <v>2114</v>
      </c>
      <c r="B694" s="19">
        <v>654.27</v>
      </c>
      <c r="G694" s="16" t="s">
        <v>333</v>
      </c>
      <c r="H694">
        <v>3</v>
      </c>
    </row>
    <row r="695" spans="1:8" x14ac:dyDescent="0.35">
      <c r="A695" s="16" t="s">
        <v>2151</v>
      </c>
      <c r="B695" s="19">
        <v>650.84</v>
      </c>
      <c r="G695" s="16" t="s">
        <v>1115</v>
      </c>
      <c r="H695">
        <v>3</v>
      </c>
    </row>
    <row r="696" spans="1:8" x14ac:dyDescent="0.35">
      <c r="A696" s="16" t="s">
        <v>4048</v>
      </c>
      <c r="B696" s="19">
        <v>646.9</v>
      </c>
      <c r="G696" s="16" t="s">
        <v>608</v>
      </c>
      <c r="H696">
        <v>3</v>
      </c>
    </row>
    <row r="697" spans="1:8" x14ac:dyDescent="0.35">
      <c r="A697" s="16" t="s">
        <v>3299</v>
      </c>
      <c r="B697" s="19">
        <v>646.74</v>
      </c>
      <c r="G697" s="16" t="s">
        <v>155</v>
      </c>
      <c r="H697">
        <v>3</v>
      </c>
    </row>
    <row r="698" spans="1:8" x14ac:dyDescent="0.35">
      <c r="A698" s="16" t="s">
        <v>2839</v>
      </c>
      <c r="B698" s="19">
        <v>646.44000000000005</v>
      </c>
      <c r="G698" s="16" t="s">
        <v>432</v>
      </c>
      <c r="H698">
        <v>3</v>
      </c>
    </row>
    <row r="699" spans="1:8" x14ac:dyDescent="0.35">
      <c r="A699" s="16" t="s">
        <v>789</v>
      </c>
      <c r="B699" s="19">
        <v>645.46</v>
      </c>
      <c r="G699" s="16" t="s">
        <v>163</v>
      </c>
      <c r="H699">
        <v>3</v>
      </c>
    </row>
    <row r="700" spans="1:8" x14ac:dyDescent="0.35">
      <c r="A700" s="16" t="s">
        <v>2678</v>
      </c>
      <c r="B700" s="19">
        <v>644.75</v>
      </c>
      <c r="G700" s="16" t="s">
        <v>255</v>
      </c>
      <c r="H700">
        <v>3</v>
      </c>
    </row>
    <row r="701" spans="1:8" x14ac:dyDescent="0.35">
      <c r="A701" s="16" t="s">
        <v>1153</v>
      </c>
      <c r="B701" s="19">
        <v>641.96</v>
      </c>
      <c r="G701" s="16" t="s">
        <v>1142</v>
      </c>
      <c r="H701">
        <v>3</v>
      </c>
    </row>
    <row r="702" spans="1:8" x14ac:dyDescent="0.35">
      <c r="A702" s="16" t="s">
        <v>675</v>
      </c>
      <c r="B702" s="19">
        <v>641.39</v>
      </c>
      <c r="G702" s="16" t="s">
        <v>939</v>
      </c>
      <c r="H702">
        <v>3</v>
      </c>
    </row>
    <row r="703" spans="1:8" x14ac:dyDescent="0.35">
      <c r="A703" s="16" t="s">
        <v>3830</v>
      </c>
      <c r="B703" s="19">
        <v>641.36</v>
      </c>
      <c r="G703" s="16" t="s">
        <v>800</v>
      </c>
      <c r="H703">
        <v>3</v>
      </c>
    </row>
    <row r="704" spans="1:8" x14ac:dyDescent="0.35">
      <c r="A704" s="16" t="s">
        <v>1562</v>
      </c>
      <c r="B704" s="19">
        <v>640.88</v>
      </c>
      <c r="G704" s="16" t="s">
        <v>452</v>
      </c>
      <c r="H704">
        <v>3</v>
      </c>
    </row>
    <row r="705" spans="1:8" x14ac:dyDescent="0.35">
      <c r="A705" s="16" t="s">
        <v>151</v>
      </c>
      <c r="B705" s="19">
        <v>640.28</v>
      </c>
      <c r="G705" s="16" t="s">
        <v>1156</v>
      </c>
      <c r="H705">
        <v>3</v>
      </c>
    </row>
    <row r="706" spans="1:8" x14ac:dyDescent="0.35">
      <c r="A706" s="16" t="s">
        <v>1760</v>
      </c>
      <c r="B706" s="19">
        <v>639.83000000000004</v>
      </c>
      <c r="G706" s="16" t="s">
        <v>954</v>
      </c>
      <c r="H706">
        <v>3</v>
      </c>
    </row>
    <row r="707" spans="1:8" x14ac:dyDescent="0.35">
      <c r="A707" s="16" t="s">
        <v>620</v>
      </c>
      <c r="B707" s="19">
        <v>639.82000000000005</v>
      </c>
      <c r="G707" s="16" t="s">
        <v>672</v>
      </c>
      <c r="H707">
        <v>3</v>
      </c>
    </row>
    <row r="708" spans="1:8" x14ac:dyDescent="0.35">
      <c r="A708" s="16" t="s">
        <v>3595</v>
      </c>
      <c r="B708" s="19">
        <v>635.9</v>
      </c>
      <c r="G708" s="16" t="s">
        <v>713</v>
      </c>
      <c r="H708">
        <v>3</v>
      </c>
    </row>
    <row r="709" spans="1:8" x14ac:dyDescent="0.35">
      <c r="A709" s="16" t="s">
        <v>299</v>
      </c>
      <c r="B709" s="19">
        <v>635.9</v>
      </c>
      <c r="G709" s="16" t="s">
        <v>3830</v>
      </c>
      <c r="H709">
        <v>2</v>
      </c>
    </row>
    <row r="710" spans="1:8" x14ac:dyDescent="0.35">
      <c r="A710" s="16" t="s">
        <v>982</v>
      </c>
      <c r="B710" s="19">
        <v>635.54</v>
      </c>
      <c r="G710" s="16" t="s">
        <v>3372</v>
      </c>
      <c r="H710">
        <v>2</v>
      </c>
    </row>
    <row r="711" spans="1:8" x14ac:dyDescent="0.35">
      <c r="A711" s="16" t="s">
        <v>3978</v>
      </c>
      <c r="B711" s="19">
        <v>634.94000000000005</v>
      </c>
      <c r="G711" s="16" t="s">
        <v>3394</v>
      </c>
      <c r="H711">
        <v>2</v>
      </c>
    </row>
    <row r="712" spans="1:8" x14ac:dyDescent="0.35">
      <c r="A712" s="16" t="s">
        <v>864</v>
      </c>
      <c r="B712" s="19">
        <v>634.4</v>
      </c>
      <c r="G712" s="16" t="s">
        <v>3855</v>
      </c>
      <c r="H712">
        <v>2</v>
      </c>
    </row>
    <row r="713" spans="1:8" x14ac:dyDescent="0.35">
      <c r="A713" s="16" t="s">
        <v>3842</v>
      </c>
      <c r="B713" s="19">
        <v>632.4</v>
      </c>
      <c r="G713" s="16" t="s">
        <v>4174</v>
      </c>
      <c r="H713">
        <v>2</v>
      </c>
    </row>
    <row r="714" spans="1:8" x14ac:dyDescent="0.35">
      <c r="A714" s="16" t="s">
        <v>1394</v>
      </c>
      <c r="B714" s="19">
        <v>630.82000000000005</v>
      </c>
      <c r="G714" s="16" t="s">
        <v>3327</v>
      </c>
      <c r="H714">
        <v>2</v>
      </c>
    </row>
    <row r="715" spans="1:8" x14ac:dyDescent="0.35">
      <c r="A715" s="16" t="s">
        <v>314</v>
      </c>
      <c r="B715" s="19">
        <v>629.21</v>
      </c>
      <c r="G715" s="16" t="s">
        <v>3650</v>
      </c>
      <c r="H715">
        <v>2</v>
      </c>
    </row>
    <row r="716" spans="1:8" x14ac:dyDescent="0.35">
      <c r="A716" s="16" t="s">
        <v>2016</v>
      </c>
      <c r="B716" s="19">
        <v>628.89</v>
      </c>
      <c r="G716" s="16" t="s">
        <v>3868</v>
      </c>
      <c r="H716">
        <v>2</v>
      </c>
    </row>
    <row r="717" spans="1:8" x14ac:dyDescent="0.35">
      <c r="A717" s="16" t="s">
        <v>3920</v>
      </c>
      <c r="B717" s="19">
        <v>628.44000000000005</v>
      </c>
      <c r="G717" s="16" t="s">
        <v>4111</v>
      </c>
      <c r="H717">
        <v>2</v>
      </c>
    </row>
    <row r="718" spans="1:8" x14ac:dyDescent="0.35">
      <c r="A718" s="16" t="s">
        <v>2199</v>
      </c>
      <c r="B718" s="19">
        <v>627.34</v>
      </c>
      <c r="G718" s="16" t="s">
        <v>3454</v>
      </c>
      <c r="H718">
        <v>2</v>
      </c>
    </row>
    <row r="719" spans="1:8" x14ac:dyDescent="0.35">
      <c r="A719" s="16" t="s">
        <v>1533</v>
      </c>
      <c r="B719" s="19">
        <v>627.20000000000005</v>
      </c>
      <c r="G719" s="16" t="s">
        <v>3442</v>
      </c>
      <c r="H719">
        <v>2</v>
      </c>
    </row>
    <row r="720" spans="1:8" x14ac:dyDescent="0.35">
      <c r="A720" s="16" t="s">
        <v>3524</v>
      </c>
      <c r="B720" s="19">
        <v>627.15</v>
      </c>
      <c r="G720" s="16" t="s">
        <v>3899</v>
      </c>
      <c r="H720">
        <v>2</v>
      </c>
    </row>
    <row r="721" spans="1:8" x14ac:dyDescent="0.35">
      <c r="A721" s="16" t="s">
        <v>3345</v>
      </c>
      <c r="B721" s="19">
        <v>626.6</v>
      </c>
      <c r="G721" s="16" t="s">
        <v>3403</v>
      </c>
      <c r="H721">
        <v>2</v>
      </c>
    </row>
    <row r="722" spans="1:8" x14ac:dyDescent="0.35">
      <c r="A722" s="16" t="s">
        <v>1269</v>
      </c>
      <c r="B722" s="19">
        <v>625.51</v>
      </c>
      <c r="G722" s="16" t="s">
        <v>3902</v>
      </c>
      <c r="H722">
        <v>2</v>
      </c>
    </row>
    <row r="723" spans="1:8" x14ac:dyDescent="0.35">
      <c r="A723" s="16" t="s">
        <v>1311</v>
      </c>
      <c r="B723" s="19">
        <v>625.1</v>
      </c>
      <c r="G723" s="16" t="s">
        <v>3448</v>
      </c>
      <c r="H723">
        <v>2</v>
      </c>
    </row>
    <row r="724" spans="1:8" x14ac:dyDescent="0.35">
      <c r="A724" s="16" t="s">
        <v>815</v>
      </c>
      <c r="B724" s="19">
        <v>625</v>
      </c>
      <c r="G724" s="16" t="s">
        <v>3462</v>
      </c>
      <c r="H724">
        <v>2</v>
      </c>
    </row>
    <row r="725" spans="1:8" x14ac:dyDescent="0.35">
      <c r="A725" s="16" t="s">
        <v>349</v>
      </c>
      <c r="B725" s="19">
        <v>623.82000000000005</v>
      </c>
      <c r="G725" s="16" t="s">
        <v>3617</v>
      </c>
      <c r="H725">
        <v>2</v>
      </c>
    </row>
    <row r="726" spans="1:8" x14ac:dyDescent="0.35">
      <c r="A726" s="16" t="s">
        <v>1573</v>
      </c>
      <c r="B726" s="19">
        <v>620.21</v>
      </c>
      <c r="G726" s="16" t="s">
        <v>3914</v>
      </c>
      <c r="H726">
        <v>2</v>
      </c>
    </row>
    <row r="727" spans="1:8" x14ac:dyDescent="0.35">
      <c r="A727" s="16" t="s">
        <v>3724</v>
      </c>
      <c r="B727" s="19">
        <v>618.67999999999995</v>
      </c>
      <c r="G727" s="16" t="s">
        <v>3400</v>
      </c>
      <c r="H727">
        <v>2</v>
      </c>
    </row>
    <row r="728" spans="1:8" x14ac:dyDescent="0.35">
      <c r="A728" s="16" t="s">
        <v>1323</v>
      </c>
      <c r="B728" s="19">
        <v>617.58000000000004</v>
      </c>
      <c r="G728" s="16" t="s">
        <v>3917</v>
      </c>
      <c r="H728">
        <v>2</v>
      </c>
    </row>
    <row r="729" spans="1:8" x14ac:dyDescent="0.35">
      <c r="A729" s="16" t="s">
        <v>2045</v>
      </c>
      <c r="B729" s="19">
        <v>616.1</v>
      </c>
      <c r="G729" s="16" t="s">
        <v>4122</v>
      </c>
      <c r="H729">
        <v>2</v>
      </c>
    </row>
    <row r="730" spans="1:8" x14ac:dyDescent="0.35">
      <c r="A730" s="16" t="s">
        <v>2084</v>
      </c>
      <c r="B730" s="19">
        <v>613.98</v>
      </c>
      <c r="G730" s="16" t="s">
        <v>3675</v>
      </c>
      <c r="H730">
        <v>2</v>
      </c>
    </row>
    <row r="731" spans="1:8" x14ac:dyDescent="0.35">
      <c r="A731" s="16" t="s">
        <v>2238</v>
      </c>
      <c r="B731" s="19">
        <v>612.80999999999995</v>
      </c>
      <c r="G731" s="16" t="s">
        <v>3497</v>
      </c>
      <c r="H731">
        <v>2</v>
      </c>
    </row>
    <row r="732" spans="1:8" x14ac:dyDescent="0.35">
      <c r="A732" s="16" t="s">
        <v>3462</v>
      </c>
      <c r="B732" s="19">
        <v>612.48</v>
      </c>
      <c r="G732" s="16" t="s">
        <v>3419</v>
      </c>
      <c r="H732">
        <v>2</v>
      </c>
    </row>
    <row r="733" spans="1:8" x14ac:dyDescent="0.35">
      <c r="A733" s="16" t="s">
        <v>1246</v>
      </c>
      <c r="B733" s="19">
        <v>612.36</v>
      </c>
      <c r="G733" s="16" t="s">
        <v>3668</v>
      </c>
      <c r="H733">
        <v>2</v>
      </c>
    </row>
    <row r="734" spans="1:8" x14ac:dyDescent="0.35">
      <c r="A734" s="16" t="s">
        <v>1273</v>
      </c>
      <c r="B734" s="19">
        <v>609.16</v>
      </c>
      <c r="G734" s="16" t="s">
        <v>3478</v>
      </c>
      <c r="H734">
        <v>2</v>
      </c>
    </row>
    <row r="735" spans="1:8" x14ac:dyDescent="0.35">
      <c r="A735" s="16" t="s">
        <v>2234</v>
      </c>
      <c r="B735" s="19">
        <v>605.28</v>
      </c>
      <c r="G735" s="16" t="s">
        <v>3814</v>
      </c>
      <c r="H735">
        <v>2</v>
      </c>
    </row>
    <row r="736" spans="1:8" x14ac:dyDescent="0.35">
      <c r="A736" s="16" t="s">
        <v>2856</v>
      </c>
      <c r="B736" s="19">
        <v>604.87</v>
      </c>
      <c r="G736" s="16" t="s">
        <v>3934</v>
      </c>
      <c r="H736">
        <v>2</v>
      </c>
    </row>
    <row r="737" spans="1:8" x14ac:dyDescent="0.35">
      <c r="A737" s="16" t="s">
        <v>2594</v>
      </c>
      <c r="B737" s="19">
        <v>604.79999999999995</v>
      </c>
      <c r="G737" s="16" t="s">
        <v>3407</v>
      </c>
      <c r="H737">
        <v>2</v>
      </c>
    </row>
    <row r="738" spans="1:8" x14ac:dyDescent="0.35">
      <c r="A738" s="16" t="s">
        <v>91</v>
      </c>
      <c r="B738" s="19">
        <v>604.47</v>
      </c>
      <c r="G738" s="16" t="s">
        <v>3938</v>
      </c>
      <c r="H738">
        <v>2</v>
      </c>
    </row>
    <row r="739" spans="1:8" x14ac:dyDescent="0.35">
      <c r="A739" s="16" t="s">
        <v>1650</v>
      </c>
      <c r="B739" s="19">
        <v>603.76</v>
      </c>
      <c r="G739" s="16" t="s">
        <v>4238</v>
      </c>
      <c r="H739">
        <v>2</v>
      </c>
    </row>
    <row r="740" spans="1:8" x14ac:dyDescent="0.35">
      <c r="A740" s="16" t="s">
        <v>1906</v>
      </c>
      <c r="B740" s="19">
        <v>603.63</v>
      </c>
      <c r="G740" s="16" t="s">
        <v>3950</v>
      </c>
      <c r="H740">
        <v>2</v>
      </c>
    </row>
    <row r="741" spans="1:8" x14ac:dyDescent="0.35">
      <c r="A741" s="16" t="s">
        <v>3494</v>
      </c>
      <c r="B741" s="19">
        <v>601.36</v>
      </c>
      <c r="G741" s="16" t="s">
        <v>4269</v>
      </c>
      <c r="H741">
        <v>2</v>
      </c>
    </row>
    <row r="742" spans="1:8" x14ac:dyDescent="0.35">
      <c r="A742" s="16" t="s">
        <v>749</v>
      </c>
      <c r="B742" s="19">
        <v>600.54</v>
      </c>
      <c r="G742" s="16" t="s">
        <v>3425</v>
      </c>
      <c r="H742">
        <v>2</v>
      </c>
    </row>
    <row r="743" spans="1:8" x14ac:dyDescent="0.35">
      <c r="A743" s="16" t="s">
        <v>3749</v>
      </c>
      <c r="B743" s="19">
        <v>598.46</v>
      </c>
      <c r="G743" s="16" t="s">
        <v>4064</v>
      </c>
      <c r="H743">
        <v>2</v>
      </c>
    </row>
    <row r="744" spans="1:8" x14ac:dyDescent="0.35">
      <c r="A744" s="16" t="s">
        <v>3419</v>
      </c>
      <c r="B744" s="19">
        <v>597.05999999999995</v>
      </c>
      <c r="G744" s="16" t="s">
        <v>3339</v>
      </c>
      <c r="H744">
        <v>2</v>
      </c>
    </row>
    <row r="745" spans="1:8" x14ac:dyDescent="0.35">
      <c r="A745" s="16" t="s">
        <v>3459</v>
      </c>
      <c r="B745" s="19">
        <v>596.24</v>
      </c>
      <c r="G745" s="16" t="s">
        <v>4079</v>
      </c>
      <c r="H745">
        <v>2</v>
      </c>
    </row>
    <row r="746" spans="1:8" x14ac:dyDescent="0.35">
      <c r="A746" s="16" t="s">
        <v>4129</v>
      </c>
      <c r="B746" s="19">
        <v>595.89</v>
      </c>
      <c r="G746" s="16" t="s">
        <v>3362</v>
      </c>
      <c r="H746">
        <v>2</v>
      </c>
    </row>
    <row r="747" spans="1:8" x14ac:dyDescent="0.35">
      <c r="A747" s="16" t="s">
        <v>3245</v>
      </c>
      <c r="B747" s="19">
        <v>595.54</v>
      </c>
      <c r="G747" s="16" t="s">
        <v>3397</v>
      </c>
      <c r="H747">
        <v>2</v>
      </c>
    </row>
    <row r="748" spans="1:8" x14ac:dyDescent="0.35">
      <c r="A748" s="16" t="s">
        <v>1170</v>
      </c>
      <c r="B748" s="19">
        <v>595.41999999999996</v>
      </c>
      <c r="G748" s="16" t="s">
        <v>3584</v>
      </c>
      <c r="H748">
        <v>2</v>
      </c>
    </row>
    <row r="749" spans="1:8" x14ac:dyDescent="0.35">
      <c r="A749" s="16" t="s">
        <v>694</v>
      </c>
      <c r="B749" s="19">
        <v>594.96</v>
      </c>
      <c r="G749" s="16" t="s">
        <v>4103</v>
      </c>
      <c r="H749">
        <v>2</v>
      </c>
    </row>
    <row r="750" spans="1:8" x14ac:dyDescent="0.35">
      <c r="A750" s="16" t="s">
        <v>3092</v>
      </c>
      <c r="B750" s="19">
        <v>593.91</v>
      </c>
      <c r="G750" s="16" t="s">
        <v>3656</v>
      </c>
      <c r="H750">
        <v>2</v>
      </c>
    </row>
    <row r="751" spans="1:8" x14ac:dyDescent="0.35">
      <c r="A751" s="16" t="s">
        <v>769</v>
      </c>
      <c r="B751" s="19">
        <v>590.87</v>
      </c>
      <c r="G751" s="16" t="s">
        <v>4118</v>
      </c>
      <c r="H751">
        <v>2</v>
      </c>
    </row>
    <row r="752" spans="1:8" x14ac:dyDescent="0.35">
      <c r="A752" s="16" t="s">
        <v>3005</v>
      </c>
      <c r="B752" s="19">
        <v>590.04</v>
      </c>
      <c r="G752" s="16" t="s">
        <v>3975</v>
      </c>
      <c r="H752">
        <v>2</v>
      </c>
    </row>
    <row r="753" spans="1:8" x14ac:dyDescent="0.35">
      <c r="A753" s="16" t="s">
        <v>3149</v>
      </c>
      <c r="B753" s="19">
        <v>586.62</v>
      </c>
      <c r="G753" s="16" t="s">
        <v>3627</v>
      </c>
      <c r="H753">
        <v>2</v>
      </c>
    </row>
    <row r="754" spans="1:8" x14ac:dyDescent="0.35">
      <c r="A754" s="16" t="s">
        <v>244</v>
      </c>
      <c r="B754" s="19">
        <v>586.44000000000005</v>
      </c>
      <c r="G754" s="16" t="s">
        <v>3591</v>
      </c>
      <c r="H754">
        <v>2</v>
      </c>
    </row>
    <row r="755" spans="1:8" x14ac:dyDescent="0.35">
      <c r="A755" s="16" t="s">
        <v>1196</v>
      </c>
      <c r="B755" s="19">
        <v>583.99</v>
      </c>
      <c r="G755" s="16" t="s">
        <v>3799</v>
      </c>
      <c r="H755">
        <v>2</v>
      </c>
    </row>
    <row r="756" spans="1:8" x14ac:dyDescent="0.35">
      <c r="A756" s="16" t="s">
        <v>586</v>
      </c>
      <c r="B756" s="19">
        <v>583.9</v>
      </c>
      <c r="G756" s="16" t="s">
        <v>3365</v>
      </c>
      <c r="H756">
        <v>2</v>
      </c>
    </row>
    <row r="757" spans="1:8" x14ac:dyDescent="0.35">
      <c r="A757" s="16" t="s">
        <v>3330</v>
      </c>
      <c r="B757" s="19">
        <v>583.70000000000005</v>
      </c>
      <c r="G757" s="16" t="s">
        <v>4153</v>
      </c>
      <c r="H757">
        <v>2</v>
      </c>
    </row>
    <row r="758" spans="1:8" x14ac:dyDescent="0.35">
      <c r="A758" s="16" t="s">
        <v>341</v>
      </c>
      <c r="B758" s="19">
        <v>583.17999999999995</v>
      </c>
      <c r="G758" s="16" t="s">
        <v>4001</v>
      </c>
      <c r="H758">
        <v>2</v>
      </c>
    </row>
    <row r="759" spans="1:8" x14ac:dyDescent="0.35">
      <c r="A759" s="16" t="s">
        <v>448</v>
      </c>
      <c r="B759" s="19">
        <v>582.04</v>
      </c>
      <c r="G759" s="16" t="s">
        <v>3808</v>
      </c>
      <c r="H759">
        <v>2</v>
      </c>
    </row>
    <row r="760" spans="1:8" x14ac:dyDescent="0.35">
      <c r="A760" s="16" t="s">
        <v>2781</v>
      </c>
      <c r="B760" s="19">
        <v>581.64</v>
      </c>
      <c r="G760" s="16" t="s">
        <v>4004</v>
      </c>
      <c r="H760">
        <v>2</v>
      </c>
    </row>
    <row r="761" spans="1:8" x14ac:dyDescent="0.35">
      <c r="A761" s="16" t="s">
        <v>856</v>
      </c>
      <c r="B761" s="19">
        <v>580.74</v>
      </c>
      <c r="G761" s="16" t="s">
        <v>4171</v>
      </c>
      <c r="H761">
        <v>2</v>
      </c>
    </row>
    <row r="762" spans="1:8" x14ac:dyDescent="0.35">
      <c r="A762" s="16" t="s">
        <v>3438</v>
      </c>
      <c r="B762" s="19">
        <v>580.47</v>
      </c>
      <c r="G762" s="16" t="s">
        <v>3749</v>
      </c>
      <c r="H762">
        <v>2</v>
      </c>
    </row>
    <row r="763" spans="1:8" x14ac:dyDescent="0.35">
      <c r="A763" s="16" t="s">
        <v>2208</v>
      </c>
      <c r="B763" s="19">
        <v>580.20000000000005</v>
      </c>
      <c r="G763" s="16" t="s">
        <v>4182</v>
      </c>
      <c r="H763">
        <v>2</v>
      </c>
    </row>
    <row r="764" spans="1:8" x14ac:dyDescent="0.35">
      <c r="A764" s="16" t="s">
        <v>1637</v>
      </c>
      <c r="B764" s="19">
        <v>576.41999999999996</v>
      </c>
      <c r="G764" s="16" t="s">
        <v>3528</v>
      </c>
      <c r="H764">
        <v>2</v>
      </c>
    </row>
    <row r="765" spans="1:8" x14ac:dyDescent="0.35">
      <c r="A765" s="16" t="s">
        <v>2755</v>
      </c>
      <c r="B765" s="19">
        <v>576.35</v>
      </c>
      <c r="G765" s="16" t="s">
        <v>3821</v>
      </c>
      <c r="H765">
        <v>2</v>
      </c>
    </row>
    <row r="766" spans="1:8" x14ac:dyDescent="0.35">
      <c r="A766" s="16" t="s">
        <v>1060</v>
      </c>
      <c r="B766" s="19">
        <v>572.13</v>
      </c>
      <c r="G766" s="16" t="s">
        <v>3759</v>
      </c>
      <c r="H766">
        <v>2</v>
      </c>
    </row>
    <row r="767" spans="1:8" x14ac:dyDescent="0.35">
      <c r="A767" s="16" t="s">
        <v>1472</v>
      </c>
      <c r="B767" s="19">
        <v>571.9</v>
      </c>
      <c r="G767" s="16" t="s">
        <v>4202</v>
      </c>
      <c r="H767">
        <v>2</v>
      </c>
    </row>
    <row r="768" spans="1:8" x14ac:dyDescent="0.35">
      <c r="A768" s="16" t="s">
        <v>3186</v>
      </c>
      <c r="B768" s="19">
        <v>570.32000000000005</v>
      </c>
      <c r="G768" s="16" t="s">
        <v>3488</v>
      </c>
      <c r="H768">
        <v>2</v>
      </c>
    </row>
    <row r="769" spans="1:8" x14ac:dyDescent="0.35">
      <c r="A769" s="16" t="s">
        <v>2827</v>
      </c>
      <c r="B769" s="19">
        <v>569.96</v>
      </c>
      <c r="G769" s="16" t="s">
        <v>3645</v>
      </c>
      <c r="H769">
        <v>2</v>
      </c>
    </row>
    <row r="770" spans="1:8" x14ac:dyDescent="0.35">
      <c r="A770" s="16" t="s">
        <v>1433</v>
      </c>
      <c r="B770" s="19">
        <v>569.35</v>
      </c>
      <c r="G770" s="16" t="s">
        <v>3330</v>
      </c>
      <c r="H770">
        <v>2</v>
      </c>
    </row>
    <row r="771" spans="1:8" x14ac:dyDescent="0.35">
      <c r="A771" s="16" t="s">
        <v>4262</v>
      </c>
      <c r="B771" s="19">
        <v>568.32000000000005</v>
      </c>
      <c r="G771" s="16" t="s">
        <v>4221</v>
      </c>
      <c r="H771">
        <v>2</v>
      </c>
    </row>
    <row r="772" spans="1:8" x14ac:dyDescent="0.35">
      <c r="A772" s="16" t="s">
        <v>2035</v>
      </c>
      <c r="B772" s="19">
        <v>565.85</v>
      </c>
      <c r="G772" s="16" t="s">
        <v>3762</v>
      </c>
      <c r="H772">
        <v>2</v>
      </c>
    </row>
    <row r="773" spans="1:8" x14ac:dyDescent="0.35">
      <c r="A773" s="16" t="s">
        <v>287</v>
      </c>
      <c r="B773" s="19">
        <v>564.86</v>
      </c>
      <c r="G773" s="16" t="s">
        <v>4241</v>
      </c>
      <c r="H773">
        <v>2</v>
      </c>
    </row>
    <row r="774" spans="1:8" x14ac:dyDescent="0.35">
      <c r="A774" s="16" t="s">
        <v>923</v>
      </c>
      <c r="B774" s="19">
        <v>562.61</v>
      </c>
      <c r="G774" s="16" t="s">
        <v>3608</v>
      </c>
      <c r="H774">
        <v>2</v>
      </c>
    </row>
    <row r="775" spans="1:8" x14ac:dyDescent="0.35">
      <c r="A775" s="16" t="s">
        <v>3433</v>
      </c>
      <c r="B775" s="19">
        <v>558.5</v>
      </c>
      <c r="G775" s="16" t="s">
        <v>3842</v>
      </c>
      <c r="H775">
        <v>2</v>
      </c>
    </row>
    <row r="776" spans="1:8" x14ac:dyDescent="0.35">
      <c r="A776" s="16" t="s">
        <v>1950</v>
      </c>
      <c r="B776" s="19">
        <v>558.27</v>
      </c>
      <c r="G776" s="16" t="s">
        <v>4048</v>
      </c>
      <c r="H776">
        <v>2</v>
      </c>
    </row>
    <row r="777" spans="1:8" x14ac:dyDescent="0.35">
      <c r="A777" s="16" t="s">
        <v>2836</v>
      </c>
      <c r="B777" s="19">
        <v>557.76</v>
      </c>
      <c r="G777" s="16" t="s">
        <v>4272</v>
      </c>
      <c r="H777">
        <v>2</v>
      </c>
    </row>
    <row r="778" spans="1:8" x14ac:dyDescent="0.35">
      <c r="A778" s="16" t="s">
        <v>452</v>
      </c>
      <c r="B778" s="19">
        <v>556.20000000000005</v>
      </c>
      <c r="G778" s="16" t="s">
        <v>4054</v>
      </c>
      <c r="H778">
        <v>2</v>
      </c>
    </row>
    <row r="779" spans="1:8" x14ac:dyDescent="0.35">
      <c r="A779" s="16" t="s">
        <v>2992</v>
      </c>
      <c r="B779" s="19">
        <v>553.55999999999995</v>
      </c>
      <c r="G779" s="16" t="s">
        <v>4057</v>
      </c>
      <c r="H779">
        <v>2</v>
      </c>
    </row>
    <row r="780" spans="1:8" x14ac:dyDescent="0.35">
      <c r="A780" s="16" t="s">
        <v>2323</v>
      </c>
      <c r="B780" s="19">
        <v>553.41</v>
      </c>
      <c r="G780" s="16" t="s">
        <v>3686</v>
      </c>
      <c r="H780">
        <v>2</v>
      </c>
    </row>
    <row r="781" spans="1:8" x14ac:dyDescent="0.35">
      <c r="A781" s="16" t="s">
        <v>3456</v>
      </c>
      <c r="B781" s="19">
        <v>551.9</v>
      </c>
      <c r="G781" s="16" t="s">
        <v>3299</v>
      </c>
      <c r="H781">
        <v>2</v>
      </c>
    </row>
    <row r="782" spans="1:8" x14ac:dyDescent="0.35">
      <c r="A782" s="16" t="s">
        <v>3238</v>
      </c>
      <c r="B782" s="19">
        <v>548.24</v>
      </c>
      <c r="G782" s="16" t="s">
        <v>3194</v>
      </c>
      <c r="H782">
        <v>2</v>
      </c>
    </row>
    <row r="783" spans="1:8" x14ac:dyDescent="0.35">
      <c r="A783" s="16" t="s">
        <v>3679</v>
      </c>
      <c r="B783" s="19">
        <v>547.44000000000005</v>
      </c>
      <c r="G783" s="16" t="s">
        <v>2468</v>
      </c>
      <c r="H783">
        <v>2</v>
      </c>
    </row>
    <row r="784" spans="1:8" x14ac:dyDescent="0.35">
      <c r="A784" s="16" t="s">
        <v>3561</v>
      </c>
      <c r="B784" s="19">
        <v>547.32000000000005</v>
      </c>
      <c r="G784" s="16" t="s">
        <v>2913</v>
      </c>
      <c r="H784">
        <v>2</v>
      </c>
    </row>
    <row r="785" spans="1:8" x14ac:dyDescent="0.35">
      <c r="A785" s="16" t="s">
        <v>3821</v>
      </c>
      <c r="B785" s="19">
        <v>546.86</v>
      </c>
      <c r="G785" s="16" t="s">
        <v>3238</v>
      </c>
      <c r="H785">
        <v>2</v>
      </c>
    </row>
    <row r="786" spans="1:8" x14ac:dyDescent="0.35">
      <c r="A786" s="16" t="s">
        <v>1002</v>
      </c>
      <c r="B786" s="19">
        <v>546.19000000000005</v>
      </c>
      <c r="G786" s="16" t="s">
        <v>2650</v>
      </c>
      <c r="H786">
        <v>2</v>
      </c>
    </row>
    <row r="787" spans="1:8" x14ac:dyDescent="0.35">
      <c r="A787" s="16" t="s">
        <v>1083</v>
      </c>
      <c r="B787" s="19">
        <v>542.07000000000005</v>
      </c>
      <c r="G787" s="16" t="s">
        <v>2792</v>
      </c>
      <c r="H787">
        <v>2</v>
      </c>
    </row>
    <row r="788" spans="1:8" x14ac:dyDescent="0.35">
      <c r="A788" s="16" t="s">
        <v>4147</v>
      </c>
      <c r="B788" s="19">
        <v>541.64</v>
      </c>
      <c r="G788" s="16" t="s">
        <v>2928</v>
      </c>
      <c r="H788">
        <v>2</v>
      </c>
    </row>
    <row r="789" spans="1:8" x14ac:dyDescent="0.35">
      <c r="A789" s="16" t="s">
        <v>650</v>
      </c>
      <c r="B789" s="19">
        <v>539.66</v>
      </c>
      <c r="G789" s="16" t="s">
        <v>2833</v>
      </c>
      <c r="H789">
        <v>2</v>
      </c>
    </row>
    <row r="790" spans="1:8" x14ac:dyDescent="0.35">
      <c r="A790" s="16" t="s">
        <v>1566</v>
      </c>
      <c r="B790" s="19">
        <v>538.67999999999995</v>
      </c>
      <c r="G790" s="16" t="s">
        <v>2416</v>
      </c>
      <c r="H790">
        <v>2</v>
      </c>
    </row>
    <row r="791" spans="1:8" x14ac:dyDescent="0.35">
      <c r="A791" s="16" t="s">
        <v>1174</v>
      </c>
      <c r="B791" s="19">
        <v>537.4</v>
      </c>
      <c r="G791" s="16" t="s">
        <v>2868</v>
      </c>
      <c r="H791">
        <v>2</v>
      </c>
    </row>
    <row r="792" spans="1:8" x14ac:dyDescent="0.35">
      <c r="A792" s="16" t="s">
        <v>3753</v>
      </c>
      <c r="B792" s="19">
        <v>536.07000000000005</v>
      </c>
      <c r="G792" s="16" t="s">
        <v>2511</v>
      </c>
      <c r="H792">
        <v>2</v>
      </c>
    </row>
    <row r="793" spans="1:8" x14ac:dyDescent="0.35">
      <c r="A793" s="16" t="s">
        <v>500</v>
      </c>
      <c r="B793" s="19">
        <v>535.5</v>
      </c>
      <c r="G793" s="16" t="s">
        <v>2498</v>
      </c>
      <c r="H793">
        <v>2</v>
      </c>
    </row>
    <row r="794" spans="1:8" x14ac:dyDescent="0.35">
      <c r="A794" s="16" t="s">
        <v>3261</v>
      </c>
      <c r="B794" s="19">
        <v>533.9</v>
      </c>
      <c r="G794" s="16" t="s">
        <v>2514</v>
      </c>
      <c r="H794">
        <v>2</v>
      </c>
    </row>
    <row r="795" spans="1:8" x14ac:dyDescent="0.35">
      <c r="A795" s="16" t="s">
        <v>2331</v>
      </c>
      <c r="B795" s="19">
        <v>532.89</v>
      </c>
      <c r="G795" s="16" t="s">
        <v>2646</v>
      </c>
      <c r="H795">
        <v>2</v>
      </c>
    </row>
    <row r="796" spans="1:8" x14ac:dyDescent="0.35">
      <c r="A796" s="16" t="s">
        <v>3795</v>
      </c>
      <c r="B796" s="19">
        <v>531.74</v>
      </c>
      <c r="G796" s="16" t="s">
        <v>2946</v>
      </c>
      <c r="H796">
        <v>2</v>
      </c>
    </row>
    <row r="797" spans="1:8" x14ac:dyDescent="0.35">
      <c r="A797" s="16" t="s">
        <v>409</v>
      </c>
      <c r="B797" s="19">
        <v>531.17999999999995</v>
      </c>
      <c r="G797" s="16" t="s">
        <v>2796</v>
      </c>
      <c r="H797">
        <v>2</v>
      </c>
    </row>
    <row r="798" spans="1:8" x14ac:dyDescent="0.35">
      <c r="A798" s="16" t="s">
        <v>1914</v>
      </c>
      <c r="B798" s="19">
        <v>530.24</v>
      </c>
      <c r="G798" s="16" t="s">
        <v>2674</v>
      </c>
      <c r="H798">
        <v>2</v>
      </c>
    </row>
    <row r="799" spans="1:8" x14ac:dyDescent="0.35">
      <c r="A799" s="16" t="s">
        <v>2400</v>
      </c>
      <c r="B799" s="19">
        <v>529.19000000000005</v>
      </c>
      <c r="G799" s="16" t="s">
        <v>2601</v>
      </c>
      <c r="H799">
        <v>2</v>
      </c>
    </row>
    <row r="800" spans="1:8" x14ac:dyDescent="0.35">
      <c r="A800" s="16" t="s">
        <v>1994</v>
      </c>
      <c r="B800" s="19">
        <v>528.05999999999995</v>
      </c>
      <c r="G800" s="16" t="s">
        <v>2420</v>
      </c>
      <c r="H800">
        <v>2</v>
      </c>
    </row>
    <row r="801" spans="1:8" x14ac:dyDescent="0.35">
      <c r="A801" s="16" t="s">
        <v>1354</v>
      </c>
      <c r="B801" s="19">
        <v>527.57000000000005</v>
      </c>
      <c r="G801" s="16" t="s">
        <v>2839</v>
      </c>
      <c r="H801">
        <v>2</v>
      </c>
    </row>
    <row r="802" spans="1:8" x14ac:dyDescent="0.35">
      <c r="A802" s="16" t="s">
        <v>4178</v>
      </c>
      <c r="B802" s="19">
        <v>525.42999999999995</v>
      </c>
      <c r="G802" s="16" t="s">
        <v>2682</v>
      </c>
      <c r="H802">
        <v>2</v>
      </c>
    </row>
    <row r="803" spans="1:8" x14ac:dyDescent="0.35">
      <c r="A803" s="16" t="s">
        <v>3221</v>
      </c>
      <c r="B803" s="19">
        <v>524.05999999999995</v>
      </c>
      <c r="G803" s="16" t="s">
        <v>3212</v>
      </c>
      <c r="H803">
        <v>2</v>
      </c>
    </row>
    <row r="804" spans="1:8" x14ac:dyDescent="0.35">
      <c r="A804" s="16" t="s">
        <v>2215</v>
      </c>
      <c r="B804" s="19">
        <v>522.08000000000004</v>
      </c>
      <c r="G804" s="16" t="s">
        <v>2524</v>
      </c>
      <c r="H804">
        <v>2</v>
      </c>
    </row>
    <row r="805" spans="1:8" x14ac:dyDescent="0.35">
      <c r="A805" s="16" t="s">
        <v>2770</v>
      </c>
      <c r="B805" s="19">
        <v>519.16</v>
      </c>
      <c r="G805" s="16" t="s">
        <v>3228</v>
      </c>
      <c r="H805">
        <v>2</v>
      </c>
    </row>
    <row r="806" spans="1:8" x14ac:dyDescent="0.35">
      <c r="A806" s="16" t="s">
        <v>2382</v>
      </c>
      <c r="B806" s="19">
        <v>518.64</v>
      </c>
      <c r="G806" s="16" t="s">
        <v>2695</v>
      </c>
      <c r="H806">
        <v>2</v>
      </c>
    </row>
    <row r="807" spans="1:8" x14ac:dyDescent="0.35">
      <c r="A807" s="16" t="s">
        <v>2777</v>
      </c>
      <c r="B807" s="19">
        <v>518.39</v>
      </c>
      <c r="G807" s="16" t="s">
        <v>3261</v>
      </c>
      <c r="H807">
        <v>2</v>
      </c>
    </row>
    <row r="808" spans="1:8" x14ac:dyDescent="0.35">
      <c r="A808" s="16" t="s">
        <v>1998</v>
      </c>
      <c r="B808" s="19">
        <v>515.32000000000005</v>
      </c>
      <c r="G808" s="16" t="s">
        <v>2430</v>
      </c>
      <c r="H808">
        <v>2</v>
      </c>
    </row>
    <row r="809" spans="1:8" x14ac:dyDescent="0.35">
      <c r="A809" s="16" t="s">
        <v>3257</v>
      </c>
      <c r="B809" s="19">
        <v>514.98</v>
      </c>
      <c r="G809" s="16" t="s">
        <v>2770</v>
      </c>
      <c r="H809">
        <v>2</v>
      </c>
    </row>
    <row r="810" spans="1:8" x14ac:dyDescent="0.35">
      <c r="A810" s="16" t="s">
        <v>1691</v>
      </c>
      <c r="B810" s="19">
        <v>512.39</v>
      </c>
      <c r="G810" s="16" t="s">
        <v>2434</v>
      </c>
      <c r="H810">
        <v>2</v>
      </c>
    </row>
    <row r="811" spans="1:8" x14ac:dyDescent="0.35">
      <c r="A811" s="16" t="s">
        <v>2195</v>
      </c>
      <c r="B811" s="19">
        <v>511.98</v>
      </c>
      <c r="G811" s="16" t="s">
        <v>3098</v>
      </c>
      <c r="H811">
        <v>2</v>
      </c>
    </row>
    <row r="812" spans="1:8" x14ac:dyDescent="0.35">
      <c r="A812" s="16" t="s">
        <v>2999</v>
      </c>
      <c r="B812" s="19">
        <v>510.52</v>
      </c>
      <c r="G812" s="16" t="s">
        <v>2437</v>
      </c>
      <c r="H812">
        <v>2</v>
      </c>
    </row>
    <row r="813" spans="1:8" x14ac:dyDescent="0.35">
      <c r="A813" s="16" t="s">
        <v>3855</v>
      </c>
      <c r="B813" s="19">
        <v>510.28</v>
      </c>
      <c r="G813" s="16" t="s">
        <v>2465</v>
      </c>
      <c r="H813">
        <v>2</v>
      </c>
    </row>
    <row r="814" spans="1:8" x14ac:dyDescent="0.35">
      <c r="A814" s="16" t="s">
        <v>1212</v>
      </c>
      <c r="B814" s="19">
        <v>507.56</v>
      </c>
      <c r="G814" s="16" t="s">
        <v>2996</v>
      </c>
      <c r="H814">
        <v>2</v>
      </c>
    </row>
    <row r="815" spans="1:8" x14ac:dyDescent="0.35">
      <c r="A815" s="16" t="s">
        <v>1840</v>
      </c>
      <c r="B815" s="19">
        <v>507.48</v>
      </c>
      <c r="G815" s="16" t="s">
        <v>3117</v>
      </c>
      <c r="H815">
        <v>2</v>
      </c>
    </row>
    <row r="816" spans="1:8" x14ac:dyDescent="0.35">
      <c r="A816" s="16" t="s">
        <v>3627</v>
      </c>
      <c r="B816" s="19">
        <v>507.36</v>
      </c>
      <c r="G816" s="16" t="s">
        <v>2999</v>
      </c>
      <c r="H816">
        <v>2</v>
      </c>
    </row>
    <row r="817" spans="1:8" x14ac:dyDescent="0.35">
      <c r="A817" s="16" t="s">
        <v>2498</v>
      </c>
      <c r="B817" s="19">
        <v>507.34</v>
      </c>
      <c r="G817" s="16" t="s">
        <v>3124</v>
      </c>
      <c r="H817">
        <v>2</v>
      </c>
    </row>
    <row r="818" spans="1:8" x14ac:dyDescent="0.35">
      <c r="A818" s="16" t="s">
        <v>2591</v>
      </c>
      <c r="B818" s="19">
        <v>506.5</v>
      </c>
      <c r="G818" s="16" t="s">
        <v>2281</v>
      </c>
      <c r="H818">
        <v>2</v>
      </c>
    </row>
    <row r="819" spans="1:8" x14ac:dyDescent="0.35">
      <c r="A819" s="16" t="s">
        <v>578</v>
      </c>
      <c r="B819" s="19">
        <v>501.96</v>
      </c>
      <c r="G819" s="16" t="s">
        <v>2471</v>
      </c>
      <c r="H819">
        <v>2</v>
      </c>
    </row>
    <row r="820" spans="1:8" x14ac:dyDescent="0.35">
      <c r="A820" s="16" t="s">
        <v>1977</v>
      </c>
      <c r="B820" s="19">
        <v>500.97</v>
      </c>
      <c r="G820" s="16" t="s">
        <v>2382</v>
      </c>
      <c r="H820">
        <v>2</v>
      </c>
    </row>
    <row r="821" spans="1:8" x14ac:dyDescent="0.35">
      <c r="A821" s="16" t="s">
        <v>52</v>
      </c>
      <c r="B821" s="19">
        <v>491.72</v>
      </c>
      <c r="G821" s="16" t="s">
        <v>2608</v>
      </c>
      <c r="H821">
        <v>2</v>
      </c>
    </row>
    <row r="822" spans="1:8" x14ac:dyDescent="0.35">
      <c r="A822" s="16" t="s">
        <v>3174</v>
      </c>
      <c r="B822" s="19">
        <v>491.11</v>
      </c>
      <c r="G822" s="16" t="s">
        <v>3023</v>
      </c>
      <c r="H822">
        <v>2</v>
      </c>
    </row>
    <row r="823" spans="1:8" x14ac:dyDescent="0.35">
      <c r="A823" s="16" t="s">
        <v>2241</v>
      </c>
      <c r="B823" s="19">
        <v>489.8</v>
      </c>
      <c r="G823" s="16" t="s">
        <v>2836</v>
      </c>
      <c r="H823">
        <v>2</v>
      </c>
    </row>
    <row r="824" spans="1:8" x14ac:dyDescent="0.35">
      <c r="A824" s="16" t="s">
        <v>2530</v>
      </c>
      <c r="B824" s="19">
        <v>489.39</v>
      </c>
      <c r="G824" s="16" t="s">
        <v>2355</v>
      </c>
      <c r="H824">
        <v>2</v>
      </c>
    </row>
    <row r="825" spans="1:8" x14ac:dyDescent="0.35">
      <c r="A825" s="16" t="s">
        <v>279</v>
      </c>
      <c r="B825" s="19">
        <v>488.8</v>
      </c>
      <c r="G825" s="16" t="s">
        <v>2403</v>
      </c>
      <c r="H825">
        <v>2</v>
      </c>
    </row>
    <row r="826" spans="1:8" x14ac:dyDescent="0.35">
      <c r="A826" s="16" t="s">
        <v>1721</v>
      </c>
      <c r="B826" s="19">
        <v>487.21</v>
      </c>
      <c r="G826" s="16" t="s">
        <v>2738</v>
      </c>
      <c r="H826">
        <v>2</v>
      </c>
    </row>
    <row r="827" spans="1:8" x14ac:dyDescent="0.35">
      <c r="A827" s="16" t="s">
        <v>3957</v>
      </c>
      <c r="B827" s="19">
        <v>485.91</v>
      </c>
      <c r="G827" s="16" t="s">
        <v>2860</v>
      </c>
      <c r="H827">
        <v>2</v>
      </c>
    </row>
    <row r="828" spans="1:8" x14ac:dyDescent="0.35">
      <c r="A828" s="16" t="s">
        <v>3620</v>
      </c>
      <c r="B828" s="19">
        <v>483.38</v>
      </c>
      <c r="G828" s="16" t="s">
        <v>2745</v>
      </c>
      <c r="H828">
        <v>2</v>
      </c>
    </row>
    <row r="829" spans="1:8" x14ac:dyDescent="0.35">
      <c r="A829" s="16" t="s">
        <v>2792</v>
      </c>
      <c r="B829" s="19">
        <v>482.98</v>
      </c>
      <c r="G829" s="16" t="s">
        <v>2309</v>
      </c>
      <c r="H829">
        <v>2</v>
      </c>
    </row>
    <row r="830" spans="1:8" x14ac:dyDescent="0.35">
      <c r="A830" s="16" t="s">
        <v>3435</v>
      </c>
      <c r="B830" s="19">
        <v>479.76</v>
      </c>
      <c r="G830" s="16" t="s">
        <v>2455</v>
      </c>
      <c r="H830">
        <v>2</v>
      </c>
    </row>
    <row r="831" spans="1:8" x14ac:dyDescent="0.35">
      <c r="A831" s="16" t="s">
        <v>3033</v>
      </c>
      <c r="B831" s="19">
        <v>479.56</v>
      </c>
      <c r="G831" s="16" t="s">
        <v>3224</v>
      </c>
      <c r="H831">
        <v>2</v>
      </c>
    </row>
    <row r="832" spans="1:8" x14ac:dyDescent="0.35">
      <c r="A832" s="16" t="s">
        <v>3410</v>
      </c>
      <c r="B832" s="19">
        <v>479.36</v>
      </c>
      <c r="G832" s="16" t="s">
        <v>3051</v>
      </c>
      <c r="H832">
        <v>2</v>
      </c>
    </row>
    <row r="833" spans="1:8" x14ac:dyDescent="0.35">
      <c r="A833" s="16" t="s">
        <v>2702</v>
      </c>
      <c r="B833" s="19">
        <v>478.75</v>
      </c>
      <c r="G833" s="16" t="s">
        <v>3234</v>
      </c>
      <c r="H833">
        <v>2</v>
      </c>
    </row>
    <row r="834" spans="1:8" x14ac:dyDescent="0.35">
      <c r="A834" s="16" t="s">
        <v>1091</v>
      </c>
      <c r="B834" s="19">
        <v>476.5</v>
      </c>
      <c r="G834" s="16" t="s">
        <v>2570</v>
      </c>
      <c r="H834">
        <v>2</v>
      </c>
    </row>
    <row r="835" spans="1:8" x14ac:dyDescent="0.35">
      <c r="A835" s="16" t="s">
        <v>4218</v>
      </c>
      <c r="B835" s="19">
        <v>476.22</v>
      </c>
      <c r="G835" s="16" t="s">
        <v>2625</v>
      </c>
      <c r="H835">
        <v>2</v>
      </c>
    </row>
    <row r="836" spans="1:8" x14ac:dyDescent="0.35">
      <c r="A836" s="16" t="s">
        <v>3485</v>
      </c>
      <c r="B836" s="19">
        <v>475.98</v>
      </c>
      <c r="G836" s="16" t="s">
        <v>3066</v>
      </c>
      <c r="H836">
        <v>2</v>
      </c>
    </row>
    <row r="837" spans="1:8" x14ac:dyDescent="0.35">
      <c r="A837" s="16" t="s">
        <v>3296</v>
      </c>
      <c r="B837" s="19">
        <v>475.11</v>
      </c>
      <c r="G837" s="16" t="s">
        <v>2892</v>
      </c>
      <c r="H837">
        <v>2</v>
      </c>
    </row>
    <row r="838" spans="1:8" x14ac:dyDescent="0.35">
      <c r="A838" s="16" t="s">
        <v>2712</v>
      </c>
      <c r="B838" s="19">
        <v>474.6</v>
      </c>
      <c r="G838" s="16" t="s">
        <v>2758</v>
      </c>
      <c r="H838">
        <v>2</v>
      </c>
    </row>
    <row r="839" spans="1:8" x14ac:dyDescent="0.35">
      <c r="A839" s="16" t="s">
        <v>2598</v>
      </c>
      <c r="B839" s="19">
        <v>474.25</v>
      </c>
      <c r="G839" s="16" t="s">
        <v>2458</v>
      </c>
      <c r="H839">
        <v>2</v>
      </c>
    </row>
    <row r="840" spans="1:8" x14ac:dyDescent="0.35">
      <c r="A840" s="16" t="s">
        <v>99</v>
      </c>
      <c r="B840" s="19">
        <v>473.96</v>
      </c>
      <c r="G840" s="16" t="s">
        <v>2785</v>
      </c>
      <c r="H840">
        <v>2</v>
      </c>
    </row>
    <row r="841" spans="1:8" x14ac:dyDescent="0.35">
      <c r="A841" s="16" t="s">
        <v>147</v>
      </c>
      <c r="B841" s="19">
        <v>472.74</v>
      </c>
      <c r="G841" s="16" t="s">
        <v>2133</v>
      </c>
      <c r="H841">
        <v>2</v>
      </c>
    </row>
    <row r="842" spans="1:8" x14ac:dyDescent="0.35">
      <c r="A842" s="16" t="s">
        <v>1338</v>
      </c>
      <c r="B842" s="19">
        <v>472.66</v>
      </c>
      <c r="G842" s="16" t="s">
        <v>1706</v>
      </c>
      <c r="H842">
        <v>2</v>
      </c>
    </row>
    <row r="843" spans="1:8" x14ac:dyDescent="0.35">
      <c r="A843" s="16" t="s">
        <v>2126</v>
      </c>
      <c r="B843" s="19">
        <v>472.2</v>
      </c>
      <c r="G843" s="16" t="s">
        <v>1825</v>
      </c>
      <c r="H843">
        <v>2</v>
      </c>
    </row>
    <row r="844" spans="1:8" x14ac:dyDescent="0.35">
      <c r="A844" s="16" t="s">
        <v>413</v>
      </c>
      <c r="B844" s="19">
        <v>470.04</v>
      </c>
      <c r="G844" s="16" t="s">
        <v>1576</v>
      </c>
      <c r="H844">
        <v>2</v>
      </c>
    </row>
    <row r="845" spans="1:8" x14ac:dyDescent="0.35">
      <c r="A845" s="16" t="s">
        <v>2495</v>
      </c>
      <c r="B845" s="19">
        <v>466.42</v>
      </c>
      <c r="G845" s="16" t="s">
        <v>2077</v>
      </c>
      <c r="H845">
        <v>2</v>
      </c>
    </row>
    <row r="846" spans="1:8" x14ac:dyDescent="0.35">
      <c r="A846" s="16" t="s">
        <v>417</v>
      </c>
      <c r="B846" s="19">
        <v>465.66</v>
      </c>
      <c r="G846" s="16" t="s">
        <v>1382</v>
      </c>
      <c r="H846">
        <v>2</v>
      </c>
    </row>
    <row r="847" spans="1:8" x14ac:dyDescent="0.35">
      <c r="A847" s="16" t="s">
        <v>1378</v>
      </c>
      <c r="B847" s="19">
        <v>465.33</v>
      </c>
      <c r="G847" s="16" t="s">
        <v>2192</v>
      </c>
      <c r="H847">
        <v>2</v>
      </c>
    </row>
    <row r="848" spans="1:8" x14ac:dyDescent="0.35">
      <c r="A848" s="16" t="s">
        <v>3286</v>
      </c>
      <c r="B848" s="19">
        <v>463.92</v>
      </c>
      <c r="G848" s="16" t="s">
        <v>1596</v>
      </c>
      <c r="H848">
        <v>2</v>
      </c>
    </row>
    <row r="849" spans="1:8" x14ac:dyDescent="0.35">
      <c r="A849" s="16" t="s">
        <v>2205</v>
      </c>
      <c r="B849" s="19">
        <v>463.11</v>
      </c>
      <c r="G849" s="16" t="s">
        <v>1836</v>
      </c>
      <c r="H849">
        <v>2</v>
      </c>
    </row>
    <row r="850" spans="1:8" x14ac:dyDescent="0.35">
      <c r="A850" s="16" t="s">
        <v>2939</v>
      </c>
      <c r="B850" s="19">
        <v>463.08</v>
      </c>
      <c r="G850" s="16" t="s">
        <v>1600</v>
      </c>
      <c r="H850">
        <v>2</v>
      </c>
    </row>
    <row r="851" spans="1:8" x14ac:dyDescent="0.35">
      <c r="A851" s="16" t="s">
        <v>135</v>
      </c>
      <c r="B851" s="19">
        <v>461.9</v>
      </c>
      <c r="G851" s="16" t="s">
        <v>1265</v>
      </c>
      <c r="H851">
        <v>2</v>
      </c>
    </row>
    <row r="852" spans="1:8" x14ac:dyDescent="0.35">
      <c r="A852" s="16" t="s">
        <v>2309</v>
      </c>
      <c r="B852" s="19">
        <v>460.72</v>
      </c>
      <c r="G852" s="16" t="s">
        <v>1611</v>
      </c>
      <c r="H852">
        <v>2</v>
      </c>
    </row>
    <row r="853" spans="1:8" x14ac:dyDescent="0.35">
      <c r="A853" s="16" t="s">
        <v>3253</v>
      </c>
      <c r="B853" s="19">
        <v>460.13</v>
      </c>
      <c r="G853" s="16" t="s">
        <v>2104</v>
      </c>
      <c r="H853">
        <v>2</v>
      </c>
    </row>
    <row r="854" spans="1:8" x14ac:dyDescent="0.35">
      <c r="A854" s="16" t="s">
        <v>3305</v>
      </c>
      <c r="B854" s="19">
        <v>458.63</v>
      </c>
      <c r="G854" s="16" t="s">
        <v>1618</v>
      </c>
      <c r="H854">
        <v>2</v>
      </c>
    </row>
    <row r="855" spans="1:8" x14ac:dyDescent="0.35">
      <c r="A855" s="16" t="s">
        <v>1250</v>
      </c>
      <c r="B855" s="19">
        <v>458.35</v>
      </c>
      <c r="G855" s="16" t="s">
        <v>2158</v>
      </c>
      <c r="H855">
        <v>2</v>
      </c>
    </row>
    <row r="856" spans="1:8" x14ac:dyDescent="0.35">
      <c r="A856" s="16" t="s">
        <v>2281</v>
      </c>
      <c r="B856" s="19">
        <v>457.82</v>
      </c>
      <c r="G856" s="16" t="s">
        <v>1216</v>
      </c>
      <c r="H856">
        <v>2</v>
      </c>
    </row>
    <row r="857" spans="1:8" x14ac:dyDescent="0.35">
      <c r="A857" s="16" t="s">
        <v>424</v>
      </c>
      <c r="B857" s="19">
        <v>457.08</v>
      </c>
      <c r="G857" s="16" t="s">
        <v>2226</v>
      </c>
      <c r="H857">
        <v>2</v>
      </c>
    </row>
    <row r="858" spans="1:8" x14ac:dyDescent="0.35">
      <c r="A858" s="16" t="s">
        <v>1107</v>
      </c>
      <c r="B858" s="19">
        <v>454.6</v>
      </c>
      <c r="G858" s="16" t="s">
        <v>1630</v>
      </c>
      <c r="H858">
        <v>2</v>
      </c>
    </row>
    <row r="859" spans="1:8" x14ac:dyDescent="0.35">
      <c r="A859" s="16" t="s">
        <v>329</v>
      </c>
      <c r="B859" s="19">
        <v>454.35</v>
      </c>
      <c r="G859" s="16" t="s">
        <v>1832</v>
      </c>
      <c r="H859">
        <v>2</v>
      </c>
    </row>
    <row r="860" spans="1:8" x14ac:dyDescent="0.35">
      <c r="A860" s="16" t="s">
        <v>3849</v>
      </c>
      <c r="B860" s="19">
        <v>454.23</v>
      </c>
      <c r="G860" s="16" t="s">
        <v>1637</v>
      </c>
      <c r="H860">
        <v>2</v>
      </c>
    </row>
    <row r="861" spans="1:8" x14ac:dyDescent="0.35">
      <c r="A861" s="16" t="s">
        <v>1633</v>
      </c>
      <c r="B861" s="19">
        <v>452.7</v>
      </c>
      <c r="G861" s="16" t="s">
        <v>1517</v>
      </c>
      <c r="H861">
        <v>2</v>
      </c>
    </row>
    <row r="862" spans="1:8" x14ac:dyDescent="0.35">
      <c r="A862" s="16" t="s">
        <v>1668</v>
      </c>
      <c r="B862" s="19">
        <v>450.07</v>
      </c>
      <c r="G862" s="16" t="s">
        <v>1936</v>
      </c>
      <c r="H862">
        <v>2</v>
      </c>
    </row>
    <row r="863" spans="1:8" x14ac:dyDescent="0.35">
      <c r="A863" s="16" t="s">
        <v>4153</v>
      </c>
      <c r="B863" s="19">
        <v>448.74</v>
      </c>
      <c r="G863" s="16" t="s">
        <v>1714</v>
      </c>
      <c r="H863">
        <v>2</v>
      </c>
    </row>
    <row r="864" spans="1:8" x14ac:dyDescent="0.35">
      <c r="A864" s="16" t="s">
        <v>1882</v>
      </c>
      <c r="B864" s="19">
        <v>448.02</v>
      </c>
      <c r="G864" s="16" t="s">
        <v>1940</v>
      </c>
      <c r="H864">
        <v>2</v>
      </c>
    </row>
    <row r="865" spans="1:8" x14ac:dyDescent="0.35">
      <c r="A865" s="16" t="s">
        <v>1262</v>
      </c>
      <c r="B865" s="19">
        <v>446.16</v>
      </c>
      <c r="G865" s="16" t="s">
        <v>1729</v>
      </c>
      <c r="H865">
        <v>2</v>
      </c>
    </row>
    <row r="866" spans="1:8" x14ac:dyDescent="0.35">
      <c r="A866" s="16" t="s">
        <v>2762</v>
      </c>
      <c r="B866" s="19">
        <v>445.2</v>
      </c>
      <c r="G866" s="16" t="s">
        <v>1943</v>
      </c>
      <c r="H866">
        <v>2</v>
      </c>
    </row>
    <row r="867" spans="1:8" x14ac:dyDescent="0.35">
      <c r="A867" s="16" t="s">
        <v>3317</v>
      </c>
      <c r="B867" s="19">
        <v>442.39</v>
      </c>
      <c r="G867" s="16" t="s">
        <v>1733</v>
      </c>
      <c r="H867">
        <v>2</v>
      </c>
    </row>
    <row r="868" spans="1:8" x14ac:dyDescent="0.35">
      <c r="A868" s="16" t="s">
        <v>835</v>
      </c>
      <c r="B868" s="19">
        <v>442.17</v>
      </c>
      <c r="G868" s="16" t="s">
        <v>1954</v>
      </c>
      <c r="H868">
        <v>2</v>
      </c>
    </row>
    <row r="869" spans="1:8" x14ac:dyDescent="0.35">
      <c r="A869" s="16" t="s">
        <v>3290</v>
      </c>
      <c r="B869" s="19">
        <v>441.87</v>
      </c>
      <c r="G869" s="16" t="s">
        <v>2108</v>
      </c>
      <c r="H869">
        <v>2</v>
      </c>
    </row>
    <row r="870" spans="1:8" x14ac:dyDescent="0.35">
      <c r="A870" s="16" t="s">
        <v>994</v>
      </c>
      <c r="B870" s="19">
        <v>441.8</v>
      </c>
      <c r="G870" s="16" t="s">
        <v>1650</v>
      </c>
      <c r="H870">
        <v>2</v>
      </c>
    </row>
    <row r="871" spans="1:8" x14ac:dyDescent="0.35">
      <c r="A871" s="16" t="s">
        <v>608</v>
      </c>
      <c r="B871" s="19">
        <v>440.73</v>
      </c>
      <c r="G871" s="16" t="s">
        <v>1530</v>
      </c>
      <c r="H871">
        <v>2</v>
      </c>
    </row>
    <row r="872" spans="1:8" x14ac:dyDescent="0.35">
      <c r="A872" s="16" t="s">
        <v>3520</v>
      </c>
      <c r="B872" s="19">
        <v>440.34</v>
      </c>
      <c r="G872" s="16" t="s">
        <v>1258</v>
      </c>
      <c r="H872">
        <v>2</v>
      </c>
    </row>
    <row r="873" spans="1:8" x14ac:dyDescent="0.35">
      <c r="A873" s="16" t="s">
        <v>373</v>
      </c>
      <c r="B873" s="19">
        <v>440.19</v>
      </c>
      <c r="G873" s="16" t="s">
        <v>2164</v>
      </c>
      <c r="H873">
        <v>2</v>
      </c>
    </row>
    <row r="874" spans="1:8" x14ac:dyDescent="0.35">
      <c r="A874" s="16" t="s">
        <v>3368</v>
      </c>
      <c r="B874" s="19">
        <v>438.93</v>
      </c>
      <c r="G874" s="16" t="s">
        <v>1675</v>
      </c>
      <c r="H874">
        <v>2</v>
      </c>
    </row>
    <row r="875" spans="1:8" x14ac:dyDescent="0.35">
      <c r="A875" s="16" t="s">
        <v>2413</v>
      </c>
      <c r="B875" s="19">
        <v>438.37</v>
      </c>
      <c r="G875" s="16" t="s">
        <v>2195</v>
      </c>
      <c r="H875">
        <v>2</v>
      </c>
    </row>
    <row r="876" spans="1:8" x14ac:dyDescent="0.35">
      <c r="A876" s="16" t="s">
        <v>2895</v>
      </c>
      <c r="B876" s="19">
        <v>438.34</v>
      </c>
      <c r="G876" s="16" t="s">
        <v>1242</v>
      </c>
      <c r="H876">
        <v>2</v>
      </c>
    </row>
    <row r="877" spans="1:8" x14ac:dyDescent="0.35">
      <c r="A877" s="16" t="s">
        <v>974</v>
      </c>
      <c r="B877" s="19">
        <v>438.2</v>
      </c>
      <c r="G877" s="16" t="s">
        <v>2230</v>
      </c>
      <c r="H877">
        <v>2</v>
      </c>
    </row>
    <row r="878" spans="1:8" x14ac:dyDescent="0.35">
      <c r="A878" s="16" t="s">
        <v>1056</v>
      </c>
      <c r="B878" s="19">
        <v>436.77</v>
      </c>
      <c r="G878" s="16" t="s">
        <v>1413</v>
      </c>
      <c r="H878">
        <v>2</v>
      </c>
    </row>
    <row r="879" spans="1:8" x14ac:dyDescent="0.35">
      <c r="A879" s="16" t="s">
        <v>1630</v>
      </c>
      <c r="B879" s="19">
        <v>433.32</v>
      </c>
      <c r="G879" s="16" t="s">
        <v>2247</v>
      </c>
      <c r="H879">
        <v>2</v>
      </c>
    </row>
    <row r="880" spans="1:8" x14ac:dyDescent="0.35">
      <c r="A880" s="16" t="s">
        <v>1800</v>
      </c>
      <c r="B880" s="19">
        <v>432.47</v>
      </c>
      <c r="G880" s="16" t="s">
        <v>2010</v>
      </c>
      <c r="H880">
        <v>2</v>
      </c>
    </row>
    <row r="881" spans="1:8" x14ac:dyDescent="0.35">
      <c r="A881" s="16" t="s">
        <v>111</v>
      </c>
      <c r="B881" s="19">
        <v>431.44</v>
      </c>
      <c r="G881" s="16" t="s">
        <v>2255</v>
      </c>
      <c r="H881">
        <v>2</v>
      </c>
    </row>
    <row r="882" spans="1:8" x14ac:dyDescent="0.35">
      <c r="A882" s="16" t="s">
        <v>3551</v>
      </c>
      <c r="B882" s="19">
        <v>429.96</v>
      </c>
      <c r="G882" s="16" t="s">
        <v>2019</v>
      </c>
      <c r="H882">
        <v>2</v>
      </c>
    </row>
    <row r="883" spans="1:8" x14ac:dyDescent="0.35">
      <c r="A883" s="16" t="s">
        <v>698</v>
      </c>
      <c r="B883" s="19">
        <v>427.82</v>
      </c>
      <c r="G883" s="16" t="s">
        <v>1840</v>
      </c>
      <c r="H883">
        <v>2</v>
      </c>
    </row>
    <row r="884" spans="1:8" x14ac:dyDescent="0.35">
      <c r="A884" s="16" t="s">
        <v>4202</v>
      </c>
      <c r="B884" s="19">
        <v>427.66</v>
      </c>
      <c r="G884" s="16" t="s">
        <v>2031</v>
      </c>
      <c r="H884">
        <v>2</v>
      </c>
    </row>
    <row r="885" spans="1:8" x14ac:dyDescent="0.35">
      <c r="A885" s="16" t="s">
        <v>3827</v>
      </c>
      <c r="B885" s="19">
        <v>427.6</v>
      </c>
      <c r="G885" s="16" t="s">
        <v>1338</v>
      </c>
      <c r="H885">
        <v>2</v>
      </c>
    </row>
    <row r="886" spans="1:8" x14ac:dyDescent="0.35">
      <c r="A886" s="16" t="s">
        <v>1551</v>
      </c>
      <c r="B886" s="19">
        <v>427.06</v>
      </c>
      <c r="G886" s="16" t="s">
        <v>1041</v>
      </c>
      <c r="H886">
        <v>2</v>
      </c>
    </row>
    <row r="887" spans="1:8" x14ac:dyDescent="0.35">
      <c r="A887" s="16" t="s">
        <v>2409</v>
      </c>
      <c r="B887" s="19">
        <v>426.1</v>
      </c>
      <c r="G887" s="16" t="s">
        <v>612</v>
      </c>
      <c r="H887">
        <v>2</v>
      </c>
    </row>
    <row r="888" spans="1:8" x14ac:dyDescent="0.35">
      <c r="A888" s="16" t="s">
        <v>647</v>
      </c>
      <c r="B888" s="19">
        <v>424.4</v>
      </c>
      <c r="G888" s="16" t="s">
        <v>822</v>
      </c>
      <c r="H888">
        <v>2</v>
      </c>
    </row>
    <row r="889" spans="1:8" x14ac:dyDescent="0.35">
      <c r="A889" s="16" t="s">
        <v>2255</v>
      </c>
      <c r="B889" s="19">
        <v>423.64</v>
      </c>
      <c r="G889" s="16" t="s">
        <v>890</v>
      </c>
      <c r="H889">
        <v>2</v>
      </c>
    </row>
    <row r="890" spans="1:8" x14ac:dyDescent="0.35">
      <c r="A890" s="16" t="s">
        <v>107</v>
      </c>
      <c r="B890" s="19">
        <v>423.4</v>
      </c>
      <c r="G890" s="16" t="s">
        <v>519</v>
      </c>
      <c r="H890">
        <v>2</v>
      </c>
    </row>
    <row r="891" spans="1:8" x14ac:dyDescent="0.35">
      <c r="A891" s="16" t="s">
        <v>3161</v>
      </c>
      <c r="B891" s="19">
        <v>422.54</v>
      </c>
      <c r="G891" s="16" t="s">
        <v>183</v>
      </c>
      <c r="H891">
        <v>2</v>
      </c>
    </row>
    <row r="892" spans="1:8" x14ac:dyDescent="0.35">
      <c r="A892" s="16" t="s">
        <v>1592</v>
      </c>
      <c r="B892" s="19">
        <v>420.65</v>
      </c>
      <c r="G892" s="16" t="s">
        <v>23</v>
      </c>
      <c r="H892">
        <v>2</v>
      </c>
    </row>
    <row r="893" spans="1:8" x14ac:dyDescent="0.35">
      <c r="A893" s="16" t="s">
        <v>1895</v>
      </c>
      <c r="B893" s="19">
        <v>420.26</v>
      </c>
      <c r="G893" s="16" t="s">
        <v>86</v>
      </c>
      <c r="H893">
        <v>2</v>
      </c>
    </row>
    <row r="894" spans="1:8" x14ac:dyDescent="0.35">
      <c r="A894" s="16" t="s">
        <v>225</v>
      </c>
      <c r="B894" s="19">
        <v>419.88</v>
      </c>
      <c r="G894" s="16" t="s">
        <v>1099</v>
      </c>
      <c r="H894">
        <v>2</v>
      </c>
    </row>
    <row r="895" spans="1:8" x14ac:dyDescent="0.35">
      <c r="A895" s="16" t="s">
        <v>1806</v>
      </c>
      <c r="B895" s="19">
        <v>418.36</v>
      </c>
      <c r="G895" s="16" t="s">
        <v>683</v>
      </c>
      <c r="H895">
        <v>2</v>
      </c>
    </row>
    <row r="896" spans="1:8" x14ac:dyDescent="0.35">
      <c r="A896" s="16" t="s">
        <v>1142</v>
      </c>
      <c r="B896" s="19">
        <v>418.35</v>
      </c>
      <c r="G896" s="16" t="s">
        <v>847</v>
      </c>
      <c r="H896">
        <v>2</v>
      </c>
    </row>
    <row r="897" spans="1:8" x14ac:dyDescent="0.35">
      <c r="A897" s="16" t="s">
        <v>275</v>
      </c>
      <c r="B897" s="19">
        <v>417.1</v>
      </c>
      <c r="G897" s="16" t="s">
        <v>531</v>
      </c>
      <c r="H897">
        <v>2</v>
      </c>
    </row>
    <row r="898" spans="1:8" x14ac:dyDescent="0.35">
      <c r="A898" s="16" t="s">
        <v>1685</v>
      </c>
      <c r="B898" s="19">
        <v>414.47</v>
      </c>
      <c r="G898" s="16" t="s">
        <v>424</v>
      </c>
      <c r="H898">
        <v>2</v>
      </c>
    </row>
    <row r="899" spans="1:8" x14ac:dyDescent="0.35">
      <c r="A899" s="16" t="s">
        <v>2327</v>
      </c>
      <c r="B899" s="19">
        <v>411.34</v>
      </c>
      <c r="G899" s="16" t="s">
        <v>690</v>
      </c>
      <c r="H899">
        <v>2</v>
      </c>
    </row>
    <row r="900" spans="1:8" x14ac:dyDescent="0.35">
      <c r="A900" s="16" t="s">
        <v>2692</v>
      </c>
      <c r="B900" s="19">
        <v>410.91</v>
      </c>
      <c r="G900" s="16" t="s">
        <v>127</v>
      </c>
      <c r="H900">
        <v>2</v>
      </c>
    </row>
    <row r="901" spans="1:8" x14ac:dyDescent="0.35">
      <c r="A901" s="16" t="s">
        <v>515</v>
      </c>
      <c r="B901" s="19">
        <v>410.78</v>
      </c>
      <c r="G901" s="16" t="s">
        <v>440</v>
      </c>
      <c r="H901">
        <v>2</v>
      </c>
    </row>
    <row r="902" spans="1:8" x14ac:dyDescent="0.35">
      <c r="A902" s="16" t="s">
        <v>480</v>
      </c>
      <c r="B902" s="19">
        <v>410.6</v>
      </c>
      <c r="G902" s="16" t="s">
        <v>1072</v>
      </c>
      <c r="H902">
        <v>2</v>
      </c>
    </row>
    <row r="903" spans="1:8" x14ac:dyDescent="0.35">
      <c r="A903" s="16" t="s">
        <v>3208</v>
      </c>
      <c r="B903" s="19">
        <v>410.52</v>
      </c>
      <c r="G903" s="16" t="s">
        <v>916</v>
      </c>
      <c r="H903">
        <v>2</v>
      </c>
    </row>
    <row r="904" spans="1:8" x14ac:dyDescent="0.35">
      <c r="A904" s="16" t="s">
        <v>1932</v>
      </c>
      <c r="B904" s="19">
        <v>410.52</v>
      </c>
      <c r="G904" s="16" t="s">
        <v>1091</v>
      </c>
      <c r="H904">
        <v>2</v>
      </c>
    </row>
    <row r="905" spans="1:8" x14ac:dyDescent="0.35">
      <c r="A905" s="16" t="s">
        <v>2334</v>
      </c>
      <c r="B905" s="19">
        <v>409.02</v>
      </c>
      <c r="G905" s="16" t="s">
        <v>349</v>
      </c>
      <c r="H905">
        <v>2</v>
      </c>
    </row>
    <row r="906" spans="1:8" x14ac:dyDescent="0.35">
      <c r="A906" s="16" t="s">
        <v>295</v>
      </c>
      <c r="B906" s="19">
        <v>408.5</v>
      </c>
      <c r="G906" s="16" t="s">
        <v>508</v>
      </c>
      <c r="H906">
        <v>2</v>
      </c>
    </row>
    <row r="907" spans="1:8" x14ac:dyDescent="0.35">
      <c r="A907" s="16" t="s">
        <v>3475</v>
      </c>
      <c r="B907" s="19">
        <v>408.13</v>
      </c>
      <c r="G907" s="16" t="s">
        <v>229</v>
      </c>
      <c r="H907">
        <v>2</v>
      </c>
    </row>
    <row r="908" spans="1:8" x14ac:dyDescent="0.35">
      <c r="A908" s="16" t="s">
        <v>1030</v>
      </c>
      <c r="B908" s="19">
        <v>406.22</v>
      </c>
      <c r="G908" s="16" t="s">
        <v>620</v>
      </c>
      <c r="H908">
        <v>2</v>
      </c>
    </row>
    <row r="909" spans="1:8" x14ac:dyDescent="0.35">
      <c r="A909" s="16" t="s">
        <v>665</v>
      </c>
      <c r="B909" s="19">
        <v>405.28</v>
      </c>
      <c r="G909" s="16" t="s">
        <v>1181</v>
      </c>
      <c r="H909">
        <v>2</v>
      </c>
    </row>
    <row r="910" spans="1:8" x14ac:dyDescent="0.35">
      <c r="A910" s="16" t="s">
        <v>2985</v>
      </c>
      <c r="B910" s="19">
        <v>402.15</v>
      </c>
      <c r="G910" s="16" t="s">
        <v>636</v>
      </c>
      <c r="H910">
        <v>2</v>
      </c>
    </row>
    <row r="911" spans="1:8" x14ac:dyDescent="0.35">
      <c r="A911" s="16" t="s">
        <v>1781</v>
      </c>
      <c r="B911" s="19">
        <v>401.82</v>
      </c>
      <c r="G911" s="16" t="s">
        <v>357</v>
      </c>
      <c r="H911">
        <v>2</v>
      </c>
    </row>
    <row r="912" spans="1:8" x14ac:dyDescent="0.35">
      <c r="A912" s="16" t="s">
        <v>139</v>
      </c>
      <c r="B912" s="19">
        <v>399.98</v>
      </c>
      <c r="G912" s="16" t="s">
        <v>654</v>
      </c>
      <c r="H912">
        <v>2</v>
      </c>
    </row>
    <row r="913" spans="1:8" x14ac:dyDescent="0.35">
      <c r="A913" s="16" t="s">
        <v>567</v>
      </c>
      <c r="B913" s="19">
        <v>399.4</v>
      </c>
      <c r="G913" s="16" t="s">
        <v>103</v>
      </c>
      <c r="H913">
        <v>2</v>
      </c>
    </row>
    <row r="914" spans="1:8" x14ac:dyDescent="0.35">
      <c r="A914" s="16" t="s">
        <v>1231</v>
      </c>
      <c r="B914" s="19">
        <v>397.44</v>
      </c>
      <c r="G914" s="16" t="s">
        <v>214</v>
      </c>
      <c r="H914">
        <v>2</v>
      </c>
    </row>
    <row r="915" spans="1:8" x14ac:dyDescent="0.35">
      <c r="A915" s="16" t="s">
        <v>4189</v>
      </c>
      <c r="B915" s="19">
        <v>395.88</v>
      </c>
      <c r="G915" s="16" t="s">
        <v>225</v>
      </c>
      <c r="H915">
        <v>2</v>
      </c>
    </row>
    <row r="916" spans="1:8" x14ac:dyDescent="0.35">
      <c r="A916" s="16" t="s">
        <v>2183</v>
      </c>
      <c r="B916" s="19">
        <v>395.4</v>
      </c>
      <c r="G916" s="16" t="s">
        <v>785</v>
      </c>
      <c r="H916">
        <v>2</v>
      </c>
    </row>
    <row r="917" spans="1:8" x14ac:dyDescent="0.35">
      <c r="A917" s="16" t="s">
        <v>3276</v>
      </c>
      <c r="B917" s="19">
        <v>394.53</v>
      </c>
      <c r="G917" s="16" t="s">
        <v>95</v>
      </c>
      <c r="H917">
        <v>2</v>
      </c>
    </row>
    <row r="918" spans="1:8" x14ac:dyDescent="0.35">
      <c r="A918" s="16" t="s">
        <v>3858</v>
      </c>
      <c r="B918" s="19">
        <v>392.61</v>
      </c>
      <c r="G918" s="16" t="s">
        <v>369</v>
      </c>
      <c r="H918">
        <v>2</v>
      </c>
    </row>
    <row r="919" spans="1:8" x14ac:dyDescent="0.35">
      <c r="A919" s="16" t="s">
        <v>291</v>
      </c>
      <c r="B919" s="19">
        <v>391.83</v>
      </c>
      <c r="G919" s="16" t="s">
        <v>567</v>
      </c>
      <c r="H919">
        <v>2</v>
      </c>
    </row>
    <row r="920" spans="1:8" x14ac:dyDescent="0.35">
      <c r="A920" s="16" t="s">
        <v>3072</v>
      </c>
      <c r="B920" s="19">
        <v>391.45</v>
      </c>
      <c r="G920" s="16" t="s">
        <v>199</v>
      </c>
      <c r="H920">
        <v>2</v>
      </c>
    </row>
    <row r="921" spans="1:8" x14ac:dyDescent="0.35">
      <c r="A921" s="16" t="s">
        <v>2695</v>
      </c>
      <c r="B921" s="19">
        <v>389.7</v>
      </c>
      <c r="G921" s="16" t="s">
        <v>570</v>
      </c>
      <c r="H921">
        <v>2</v>
      </c>
    </row>
    <row r="922" spans="1:8" x14ac:dyDescent="0.35">
      <c r="A922" s="16" t="s">
        <v>240</v>
      </c>
      <c r="B922" s="19">
        <v>388.33</v>
      </c>
      <c r="G922" s="16" t="s">
        <v>283</v>
      </c>
      <c r="H922">
        <v>2</v>
      </c>
    </row>
    <row r="923" spans="1:8" x14ac:dyDescent="0.35">
      <c r="A923" s="16" t="s">
        <v>2638</v>
      </c>
      <c r="B923" s="19">
        <v>386.03</v>
      </c>
      <c r="G923" s="16" t="s">
        <v>187</v>
      </c>
      <c r="H923">
        <v>2</v>
      </c>
    </row>
    <row r="924" spans="1:8" x14ac:dyDescent="0.35">
      <c r="A924" s="16" t="s">
        <v>1544</v>
      </c>
      <c r="B924" s="19">
        <v>382.23</v>
      </c>
      <c r="G924" s="16" t="s">
        <v>1087</v>
      </c>
      <c r="H924">
        <v>2</v>
      </c>
    </row>
    <row r="925" spans="1:8" x14ac:dyDescent="0.35">
      <c r="A925" s="16" t="s">
        <v>4089</v>
      </c>
      <c r="B925" s="19">
        <v>381.61</v>
      </c>
      <c r="G925" s="16" t="s">
        <v>974</v>
      </c>
      <c r="H925">
        <v>2</v>
      </c>
    </row>
    <row r="926" spans="1:8" x14ac:dyDescent="0.35">
      <c r="A926" s="16" t="s">
        <v>436</v>
      </c>
      <c r="B926" s="19">
        <v>381.02</v>
      </c>
      <c r="G926" s="16" t="s">
        <v>1095</v>
      </c>
      <c r="H926">
        <v>2</v>
      </c>
    </row>
    <row r="927" spans="1:8" x14ac:dyDescent="0.35">
      <c r="A927" s="16" t="s">
        <v>1475</v>
      </c>
      <c r="B927" s="19">
        <v>380.12</v>
      </c>
      <c r="G927" s="16" t="s">
        <v>978</v>
      </c>
      <c r="H927">
        <v>2</v>
      </c>
    </row>
    <row r="928" spans="1:8" x14ac:dyDescent="0.35">
      <c r="A928" s="16" t="s">
        <v>1026</v>
      </c>
      <c r="B928" s="19">
        <v>379.05</v>
      </c>
      <c r="G928" s="16" t="s">
        <v>1103</v>
      </c>
      <c r="H928">
        <v>2</v>
      </c>
    </row>
    <row r="929" spans="1:8" x14ac:dyDescent="0.35">
      <c r="A929" s="16" t="s">
        <v>2458</v>
      </c>
      <c r="B929" s="19">
        <v>378.12</v>
      </c>
      <c r="G929" s="16" t="s">
        <v>982</v>
      </c>
      <c r="H929">
        <v>2</v>
      </c>
    </row>
    <row r="930" spans="1:8" x14ac:dyDescent="0.35">
      <c r="A930" s="16" t="s">
        <v>1958</v>
      </c>
      <c r="B930" s="19">
        <v>376.76</v>
      </c>
      <c r="G930" s="16" t="s">
        <v>207</v>
      </c>
      <c r="H930">
        <v>2</v>
      </c>
    </row>
    <row r="931" spans="1:8" x14ac:dyDescent="0.35">
      <c r="A931" s="16" t="s">
        <v>2192</v>
      </c>
      <c r="B931" s="19">
        <v>375.76</v>
      </c>
      <c r="G931" s="16" t="s">
        <v>990</v>
      </c>
      <c r="H931">
        <v>2</v>
      </c>
    </row>
    <row r="932" spans="1:8" x14ac:dyDescent="0.35">
      <c r="A932" s="16" t="s">
        <v>3972</v>
      </c>
      <c r="B932" s="19">
        <v>372.8</v>
      </c>
      <c r="G932" s="16" t="s">
        <v>616</v>
      </c>
      <c r="H932">
        <v>2</v>
      </c>
    </row>
    <row r="933" spans="1:8" x14ac:dyDescent="0.35">
      <c r="A933" s="16" t="s">
        <v>3727</v>
      </c>
      <c r="B933" s="19">
        <v>370.85</v>
      </c>
      <c r="G933" s="16" t="s">
        <v>994</v>
      </c>
      <c r="H933">
        <v>2</v>
      </c>
    </row>
    <row r="934" spans="1:8" x14ac:dyDescent="0.35">
      <c r="A934" s="16" t="s">
        <v>4238</v>
      </c>
      <c r="B934" s="19">
        <v>369.2</v>
      </c>
      <c r="G934" s="16" t="s">
        <v>628</v>
      </c>
      <c r="H934">
        <v>2</v>
      </c>
    </row>
    <row r="935" spans="1:8" x14ac:dyDescent="0.35">
      <c r="A935" s="16" t="s">
        <v>3302</v>
      </c>
      <c r="B935" s="19">
        <v>369.15</v>
      </c>
      <c r="G935" s="16" t="s">
        <v>159</v>
      </c>
      <c r="H935">
        <v>2</v>
      </c>
    </row>
    <row r="936" spans="1:8" x14ac:dyDescent="0.35">
      <c r="A936" s="16" t="s">
        <v>3617</v>
      </c>
      <c r="B936" s="19">
        <v>367.34</v>
      </c>
      <c r="G936" s="16" t="s">
        <v>135</v>
      </c>
      <c r="H936">
        <v>2</v>
      </c>
    </row>
    <row r="937" spans="1:8" x14ac:dyDescent="0.35">
      <c r="A937" s="16" t="s">
        <v>1413</v>
      </c>
      <c r="B937" s="19">
        <v>367.34</v>
      </c>
      <c r="G937" s="16" t="s">
        <v>578</v>
      </c>
      <c r="H937">
        <v>2</v>
      </c>
    </row>
    <row r="938" spans="1:8" x14ac:dyDescent="0.35">
      <c r="A938" s="16" t="s">
        <v>2666</v>
      </c>
      <c r="B938" s="19">
        <v>366.33</v>
      </c>
      <c r="G938" s="16" t="s">
        <v>417</v>
      </c>
      <c r="H938">
        <v>2</v>
      </c>
    </row>
    <row r="939" spans="1:8" x14ac:dyDescent="0.35">
      <c r="A939" s="16" t="s">
        <v>904</v>
      </c>
      <c r="B939" s="19">
        <v>365.84</v>
      </c>
      <c r="G939" s="16" t="s">
        <v>765</v>
      </c>
      <c r="H939">
        <v>2</v>
      </c>
    </row>
    <row r="940" spans="1:8" x14ac:dyDescent="0.35">
      <c r="A940" s="16" t="s">
        <v>3133</v>
      </c>
      <c r="B940" s="19">
        <v>365.57</v>
      </c>
      <c r="G940" s="16" t="s">
        <v>650</v>
      </c>
      <c r="H940">
        <v>2</v>
      </c>
    </row>
    <row r="941" spans="1:8" x14ac:dyDescent="0.35">
      <c r="A941" s="16" t="s">
        <v>1095</v>
      </c>
      <c r="B941" s="19">
        <v>364.8</v>
      </c>
      <c r="G941" s="16" t="s">
        <v>773</v>
      </c>
      <c r="H941">
        <v>2</v>
      </c>
    </row>
    <row r="942" spans="1:8" x14ac:dyDescent="0.35">
      <c r="A942" s="16" t="s">
        <v>2244</v>
      </c>
      <c r="B942" s="19">
        <v>363.2</v>
      </c>
      <c r="G942" s="16" t="s">
        <v>1159</v>
      </c>
      <c r="H942">
        <v>2</v>
      </c>
    </row>
    <row r="943" spans="1:8" x14ac:dyDescent="0.35">
      <c r="A943" s="16" t="s">
        <v>3168</v>
      </c>
      <c r="B943" s="19">
        <v>362.46</v>
      </c>
      <c r="G943" s="16" t="s">
        <v>67</v>
      </c>
      <c r="H943">
        <v>2</v>
      </c>
    </row>
    <row r="944" spans="1:8" x14ac:dyDescent="0.35">
      <c r="A944" s="16" t="s">
        <v>86</v>
      </c>
      <c r="B944" s="19">
        <v>361</v>
      </c>
      <c r="G944" s="16" t="s">
        <v>1170</v>
      </c>
      <c r="H944">
        <v>2</v>
      </c>
    </row>
    <row r="945" spans="1:8" x14ac:dyDescent="0.35">
      <c r="A945" s="16" t="s">
        <v>1294</v>
      </c>
      <c r="B945" s="19">
        <v>359.99</v>
      </c>
      <c r="G945" s="16" t="s">
        <v>1034</v>
      </c>
      <c r="H945">
        <v>2</v>
      </c>
    </row>
    <row r="946" spans="1:8" x14ac:dyDescent="0.35">
      <c r="A946" s="16" t="s">
        <v>3762</v>
      </c>
      <c r="B946" s="19">
        <v>359.92</v>
      </c>
      <c r="G946" s="16" t="s">
        <v>179</v>
      </c>
      <c r="H946">
        <v>2</v>
      </c>
    </row>
    <row r="947" spans="1:8" x14ac:dyDescent="0.35">
      <c r="A947" s="16" t="s">
        <v>2023</v>
      </c>
      <c r="B947" s="19">
        <v>357.64</v>
      </c>
      <c r="G947" s="16" t="s">
        <v>52</v>
      </c>
      <c r="H947">
        <v>2</v>
      </c>
    </row>
    <row r="948" spans="1:8" x14ac:dyDescent="0.35">
      <c r="A948" s="16" t="s">
        <v>3992</v>
      </c>
      <c r="B948" s="19">
        <v>356.81</v>
      </c>
      <c r="G948" s="16" t="s">
        <v>706</v>
      </c>
      <c r="H948">
        <v>2</v>
      </c>
    </row>
    <row r="949" spans="1:8" x14ac:dyDescent="0.35">
      <c r="A949" s="16" t="s">
        <v>4107</v>
      </c>
      <c r="B949" s="19">
        <v>355.15</v>
      </c>
      <c r="G949" s="16" t="s">
        <v>3817</v>
      </c>
      <c r="H949">
        <v>1</v>
      </c>
    </row>
    <row r="950" spans="1:8" x14ac:dyDescent="0.35">
      <c r="A950" s="16" t="s">
        <v>3839</v>
      </c>
      <c r="B950" s="19">
        <v>355.09</v>
      </c>
      <c r="G950" s="16" t="s">
        <v>3704</v>
      </c>
      <c r="H950">
        <v>1</v>
      </c>
    </row>
    <row r="951" spans="1:8" x14ac:dyDescent="0.35">
      <c r="A951" s="16" t="s">
        <v>3650</v>
      </c>
      <c r="B951" s="19">
        <v>352.92</v>
      </c>
      <c r="G951" s="16" t="s">
        <v>4051</v>
      </c>
      <c r="H951">
        <v>1</v>
      </c>
    </row>
    <row r="952" spans="1:8" x14ac:dyDescent="0.35">
      <c r="A952" s="16" t="s">
        <v>2462</v>
      </c>
      <c r="B952" s="19">
        <v>351.16</v>
      </c>
      <c r="G952" s="16" t="s">
        <v>3620</v>
      </c>
      <c r="H952">
        <v>1</v>
      </c>
    </row>
    <row r="953" spans="1:8" x14ac:dyDescent="0.35">
      <c r="A953" s="16" t="s">
        <v>3788</v>
      </c>
      <c r="B953" s="19">
        <v>348.5</v>
      </c>
      <c r="G953" s="16" t="s">
        <v>3972</v>
      </c>
      <c r="H953">
        <v>1</v>
      </c>
    </row>
    <row r="954" spans="1:8" x14ac:dyDescent="0.35">
      <c r="A954" s="16" t="s">
        <v>385</v>
      </c>
      <c r="B954" s="19">
        <v>344.43</v>
      </c>
      <c r="G954" s="16" t="s">
        <v>4089</v>
      </c>
      <c r="H954">
        <v>1</v>
      </c>
    </row>
    <row r="955" spans="1:8" x14ac:dyDescent="0.35">
      <c r="A955" s="16" t="s">
        <v>4230</v>
      </c>
      <c r="B955" s="19">
        <v>343.31</v>
      </c>
      <c r="G955" s="16" t="s">
        <v>3727</v>
      </c>
      <c r="H955">
        <v>1</v>
      </c>
    </row>
    <row r="956" spans="1:8" x14ac:dyDescent="0.35">
      <c r="A956" s="16" t="s">
        <v>721</v>
      </c>
      <c r="B956" s="19">
        <v>341.7</v>
      </c>
      <c r="G956" s="16" t="s">
        <v>3435</v>
      </c>
      <c r="H956">
        <v>1</v>
      </c>
    </row>
    <row r="957" spans="1:8" x14ac:dyDescent="0.35">
      <c r="A957" s="16" t="s">
        <v>1139</v>
      </c>
      <c r="B957" s="19">
        <v>338.31</v>
      </c>
      <c r="G957" s="16" t="s">
        <v>4227</v>
      </c>
      <c r="H957">
        <v>1</v>
      </c>
    </row>
    <row r="958" spans="1:8" x14ac:dyDescent="0.35">
      <c r="A958" s="16" t="s">
        <v>882</v>
      </c>
      <c r="B958" s="19">
        <v>337.38</v>
      </c>
      <c r="G958" s="16" t="s">
        <v>3520</v>
      </c>
      <c r="H958">
        <v>1</v>
      </c>
    </row>
    <row r="959" spans="1:8" x14ac:dyDescent="0.35">
      <c r="A959" s="16" t="s">
        <v>1910</v>
      </c>
      <c r="B959" s="19">
        <v>336.87</v>
      </c>
      <c r="G959" s="16" t="s">
        <v>3839</v>
      </c>
      <c r="H959">
        <v>1</v>
      </c>
    </row>
    <row r="960" spans="1:8" x14ac:dyDescent="0.35">
      <c r="A960" s="16" t="s">
        <v>1851</v>
      </c>
      <c r="B960" s="19">
        <v>335.1</v>
      </c>
      <c r="G960" s="16" t="s">
        <v>3524</v>
      </c>
      <c r="H960">
        <v>1</v>
      </c>
    </row>
    <row r="961" spans="1:8" x14ac:dyDescent="0.35">
      <c r="A961" s="16" t="s">
        <v>1703</v>
      </c>
      <c r="B961" s="19">
        <v>334.4</v>
      </c>
      <c r="G961" s="16" t="s">
        <v>3978</v>
      </c>
      <c r="H961">
        <v>1</v>
      </c>
    </row>
    <row r="962" spans="1:8" x14ac:dyDescent="0.35">
      <c r="A962" s="16" t="s">
        <v>1774</v>
      </c>
      <c r="B962" s="19">
        <v>334.39</v>
      </c>
      <c r="G962" s="16" t="s">
        <v>3469</v>
      </c>
      <c r="H962">
        <v>1</v>
      </c>
    </row>
    <row r="963" spans="1:8" x14ac:dyDescent="0.35">
      <c r="A963" s="16" t="s">
        <v>2563</v>
      </c>
      <c r="B963" s="19">
        <v>332.09</v>
      </c>
      <c r="G963" s="16" t="s">
        <v>3864</v>
      </c>
      <c r="H963">
        <v>1</v>
      </c>
    </row>
    <row r="964" spans="1:8" x14ac:dyDescent="0.35">
      <c r="A964" s="16" t="s">
        <v>1239</v>
      </c>
      <c r="B964" s="19">
        <v>331.55</v>
      </c>
      <c r="G964" s="16" t="s">
        <v>4107</v>
      </c>
      <c r="H964">
        <v>1</v>
      </c>
    </row>
    <row r="965" spans="1:8" x14ac:dyDescent="0.35">
      <c r="A965" s="16" t="s">
        <v>657</v>
      </c>
      <c r="B965" s="19">
        <v>331.06</v>
      </c>
      <c r="G965" s="16" t="s">
        <v>4209</v>
      </c>
      <c r="H965">
        <v>1</v>
      </c>
    </row>
    <row r="966" spans="1:8" x14ac:dyDescent="0.35">
      <c r="A966" s="16" t="s">
        <v>369</v>
      </c>
      <c r="B966" s="19">
        <v>330.98</v>
      </c>
      <c r="G966" s="16" t="s">
        <v>3992</v>
      </c>
      <c r="H966">
        <v>1</v>
      </c>
    </row>
    <row r="967" spans="1:8" x14ac:dyDescent="0.35">
      <c r="A967" s="16" t="s">
        <v>2898</v>
      </c>
      <c r="B967" s="19">
        <v>325.81</v>
      </c>
      <c r="G967" s="16" t="s">
        <v>3701</v>
      </c>
      <c r="H967">
        <v>1</v>
      </c>
    </row>
    <row r="968" spans="1:8" x14ac:dyDescent="0.35">
      <c r="A968" s="16" t="s">
        <v>1486</v>
      </c>
      <c r="B968" s="19">
        <v>322.5</v>
      </c>
      <c r="G968" s="16" t="s">
        <v>3368</v>
      </c>
      <c r="H968">
        <v>1</v>
      </c>
    </row>
    <row r="969" spans="1:8" x14ac:dyDescent="0.35">
      <c r="A969" s="16" t="s">
        <v>2875</v>
      </c>
      <c r="B969" s="19">
        <v>322.45</v>
      </c>
      <c r="G969" s="16" t="s">
        <v>4234</v>
      </c>
      <c r="H969">
        <v>1</v>
      </c>
    </row>
    <row r="970" spans="1:8" x14ac:dyDescent="0.35">
      <c r="A970" s="16" t="s">
        <v>3113</v>
      </c>
      <c r="B970" s="19">
        <v>322.08</v>
      </c>
      <c r="G970" s="16" t="s">
        <v>3459</v>
      </c>
      <c r="H970">
        <v>1</v>
      </c>
    </row>
    <row r="971" spans="1:8" x14ac:dyDescent="0.35">
      <c r="A971" s="16" t="s">
        <v>3478</v>
      </c>
      <c r="B971" s="19">
        <v>321.95999999999998</v>
      </c>
      <c r="G971" s="16" t="s">
        <v>3541</v>
      </c>
      <c r="H971">
        <v>1</v>
      </c>
    </row>
    <row r="972" spans="1:8" x14ac:dyDescent="0.35">
      <c r="A972" s="16" t="s">
        <v>3109</v>
      </c>
      <c r="B972" s="19">
        <v>320.92</v>
      </c>
      <c r="G972" s="16" t="s">
        <v>3345</v>
      </c>
      <c r="H972">
        <v>1</v>
      </c>
    </row>
    <row r="973" spans="1:8" x14ac:dyDescent="0.35">
      <c r="A973" s="16" t="s">
        <v>1733</v>
      </c>
      <c r="B973" s="19">
        <v>320</v>
      </c>
      <c r="G973" s="16" t="s">
        <v>3531</v>
      </c>
      <c r="H973">
        <v>1</v>
      </c>
    </row>
    <row r="974" spans="1:8" x14ac:dyDescent="0.35">
      <c r="A974" s="16" t="s">
        <v>950</v>
      </c>
      <c r="B974" s="19">
        <v>318.81</v>
      </c>
      <c r="G974" s="16" t="s">
        <v>3475</v>
      </c>
      <c r="H974">
        <v>1</v>
      </c>
    </row>
    <row r="975" spans="1:8" x14ac:dyDescent="0.35">
      <c r="A975" s="16" t="s">
        <v>217</v>
      </c>
      <c r="B975" s="19">
        <v>317.25</v>
      </c>
      <c r="G975" s="16" t="s">
        <v>3877</v>
      </c>
      <c r="H975">
        <v>1</v>
      </c>
    </row>
    <row r="976" spans="1:8" x14ac:dyDescent="0.35">
      <c r="A976" s="16" t="s">
        <v>2850</v>
      </c>
      <c r="B976" s="19">
        <v>314.38</v>
      </c>
      <c r="G976" s="16" t="s">
        <v>3795</v>
      </c>
      <c r="H976">
        <v>1</v>
      </c>
    </row>
    <row r="977" spans="1:8" x14ac:dyDescent="0.35">
      <c r="A977" s="16" t="s">
        <v>1764</v>
      </c>
      <c r="B977" s="19">
        <v>314.05</v>
      </c>
      <c r="G977" s="16" t="s">
        <v>3896</v>
      </c>
      <c r="H977">
        <v>1</v>
      </c>
    </row>
    <row r="978" spans="1:8" x14ac:dyDescent="0.35">
      <c r="A978" s="16" t="s">
        <v>119</v>
      </c>
      <c r="B978" s="19">
        <v>312.55</v>
      </c>
      <c r="G978" s="16" t="s">
        <v>3494</v>
      </c>
      <c r="H978">
        <v>1</v>
      </c>
    </row>
    <row r="979" spans="1:8" x14ac:dyDescent="0.35">
      <c r="A979" s="16" t="s">
        <v>1457</v>
      </c>
      <c r="B979" s="19">
        <v>312.11</v>
      </c>
      <c r="G979" s="16" t="s">
        <v>4192</v>
      </c>
      <c r="H979">
        <v>1</v>
      </c>
    </row>
    <row r="980" spans="1:8" x14ac:dyDescent="0.35">
      <c r="A980" s="16" t="s">
        <v>1626</v>
      </c>
      <c r="B980" s="19">
        <v>310.93</v>
      </c>
      <c r="G980" s="16" t="s">
        <v>3572</v>
      </c>
      <c r="H980">
        <v>1</v>
      </c>
    </row>
    <row r="981" spans="1:8" x14ac:dyDescent="0.35">
      <c r="A981" s="16" t="s">
        <v>3982</v>
      </c>
      <c r="B981" s="19">
        <v>309.88</v>
      </c>
      <c r="G981" s="16" t="s">
        <v>3765</v>
      </c>
      <c r="H981">
        <v>1</v>
      </c>
    </row>
    <row r="982" spans="1:8" x14ac:dyDescent="0.35">
      <c r="A982" s="16" t="s">
        <v>886</v>
      </c>
      <c r="B982" s="19">
        <v>309.85000000000002</v>
      </c>
      <c r="G982" s="16" t="s">
        <v>3742</v>
      </c>
      <c r="H982">
        <v>1</v>
      </c>
    </row>
    <row r="983" spans="1:8" x14ac:dyDescent="0.35">
      <c r="A983" s="16" t="s">
        <v>2303</v>
      </c>
      <c r="B983" s="19">
        <v>305.17</v>
      </c>
      <c r="G983" s="16" t="s">
        <v>4206</v>
      </c>
      <c r="H983">
        <v>1</v>
      </c>
    </row>
    <row r="984" spans="1:8" x14ac:dyDescent="0.35">
      <c r="A984" s="16" t="s">
        <v>3565</v>
      </c>
      <c r="B984" s="19">
        <v>304.11</v>
      </c>
      <c r="G984" s="16" t="s">
        <v>3683</v>
      </c>
      <c r="H984">
        <v>1</v>
      </c>
    </row>
    <row r="985" spans="1:8" x14ac:dyDescent="0.35">
      <c r="A985" s="16" t="s">
        <v>871</v>
      </c>
      <c r="B985" s="19">
        <v>303.60000000000002</v>
      </c>
      <c r="G985" s="16" t="s">
        <v>3858</v>
      </c>
      <c r="H985">
        <v>1</v>
      </c>
    </row>
    <row r="986" spans="1:8" x14ac:dyDescent="0.35">
      <c r="A986" s="16" t="s">
        <v>207</v>
      </c>
      <c r="B986" s="19">
        <v>303.32</v>
      </c>
      <c r="G986" s="16" t="s">
        <v>3802</v>
      </c>
      <c r="H986">
        <v>1</v>
      </c>
    </row>
    <row r="987" spans="1:8" x14ac:dyDescent="0.35">
      <c r="A987" s="16" t="s">
        <v>23</v>
      </c>
      <c r="B987" s="19">
        <v>302.7</v>
      </c>
      <c r="G987" s="16" t="s">
        <v>3565</v>
      </c>
      <c r="H987">
        <v>1</v>
      </c>
    </row>
    <row r="988" spans="1:8" x14ac:dyDescent="0.35">
      <c r="A988" s="16" t="s">
        <v>2420</v>
      </c>
      <c r="B988" s="19">
        <v>300.10000000000002</v>
      </c>
      <c r="G988" s="16" t="s">
        <v>4147</v>
      </c>
      <c r="H988">
        <v>1</v>
      </c>
    </row>
    <row r="989" spans="1:8" x14ac:dyDescent="0.35">
      <c r="A989" s="16" t="s">
        <v>1156</v>
      </c>
      <c r="B989" s="19">
        <v>299.7</v>
      </c>
      <c r="G989" s="16" t="s">
        <v>4224</v>
      </c>
      <c r="H989">
        <v>1</v>
      </c>
    </row>
    <row r="990" spans="1:8" x14ac:dyDescent="0.35">
      <c r="A990" s="16" t="s">
        <v>661</v>
      </c>
      <c r="B990" s="19">
        <v>299.35000000000002</v>
      </c>
      <c r="G990" s="16" t="s">
        <v>4150</v>
      </c>
      <c r="H990">
        <v>1</v>
      </c>
    </row>
    <row r="991" spans="1:8" x14ac:dyDescent="0.35">
      <c r="A991" s="16" t="s">
        <v>582</v>
      </c>
      <c r="B991" s="19">
        <v>298.06</v>
      </c>
      <c r="G991" s="16" t="s">
        <v>4230</v>
      </c>
      <c r="H991">
        <v>1</v>
      </c>
    </row>
    <row r="992" spans="1:8" x14ac:dyDescent="0.35">
      <c r="A992" s="16" t="s">
        <v>143</v>
      </c>
      <c r="B992" s="19">
        <v>297.75</v>
      </c>
      <c r="G992" s="16" t="s">
        <v>4013</v>
      </c>
      <c r="H992">
        <v>1</v>
      </c>
    </row>
    <row r="993" spans="1:8" x14ac:dyDescent="0.35">
      <c r="A993" s="16" t="s">
        <v>706</v>
      </c>
      <c r="B993" s="19">
        <v>296.44</v>
      </c>
      <c r="G993" s="16" t="s">
        <v>3849</v>
      </c>
      <c r="H993">
        <v>1</v>
      </c>
    </row>
    <row r="994" spans="1:8" x14ac:dyDescent="0.35">
      <c r="A994" s="16" t="s">
        <v>3781</v>
      </c>
      <c r="B994" s="19">
        <v>294.60000000000002</v>
      </c>
      <c r="G994" s="16" t="s">
        <v>3320</v>
      </c>
      <c r="H994">
        <v>1</v>
      </c>
    </row>
    <row r="995" spans="1:8" x14ac:dyDescent="0.35">
      <c r="A995" s="16" t="s">
        <v>978</v>
      </c>
      <c r="B995" s="19">
        <v>289.32</v>
      </c>
      <c r="G995" s="16" t="s">
        <v>3305</v>
      </c>
      <c r="H995">
        <v>1</v>
      </c>
    </row>
    <row r="996" spans="1:8" x14ac:dyDescent="0.35">
      <c r="A996" s="16" t="s">
        <v>3488</v>
      </c>
      <c r="B996" s="19">
        <v>287.64</v>
      </c>
      <c r="G996" s="16" t="s">
        <v>4016</v>
      </c>
      <c r="H996">
        <v>1</v>
      </c>
    </row>
    <row r="997" spans="1:8" x14ac:dyDescent="0.35">
      <c r="A997" s="16" t="s">
        <v>1192</v>
      </c>
      <c r="B997" s="19">
        <v>287.45999999999998</v>
      </c>
      <c r="G997" s="16" t="s">
        <v>3385</v>
      </c>
      <c r="H997">
        <v>1</v>
      </c>
    </row>
    <row r="998" spans="1:8" x14ac:dyDescent="0.35">
      <c r="A998" s="16" t="s">
        <v>1654</v>
      </c>
      <c r="B998" s="19">
        <v>287.25</v>
      </c>
      <c r="G998" s="16" t="s">
        <v>3713</v>
      </c>
      <c r="H998">
        <v>1</v>
      </c>
    </row>
    <row r="999" spans="1:8" x14ac:dyDescent="0.35">
      <c r="A999" s="16" t="s">
        <v>1968</v>
      </c>
      <c r="B999" s="19">
        <v>284.64</v>
      </c>
      <c r="G999" s="16" t="s">
        <v>4259</v>
      </c>
      <c r="H999">
        <v>1</v>
      </c>
    </row>
    <row r="1000" spans="1:8" x14ac:dyDescent="0.35">
      <c r="A1000" s="16" t="s">
        <v>3497</v>
      </c>
      <c r="B1000" s="19">
        <v>284.16000000000003</v>
      </c>
      <c r="G1000" s="16" t="s">
        <v>3753</v>
      </c>
      <c r="H1000">
        <v>1</v>
      </c>
    </row>
    <row r="1001" spans="1:8" x14ac:dyDescent="0.35">
      <c r="A1001" s="16" t="s">
        <v>2804</v>
      </c>
      <c r="B1001" s="19">
        <v>283.69</v>
      </c>
      <c r="G1001" s="16" t="s">
        <v>4265</v>
      </c>
      <c r="H1001">
        <v>1</v>
      </c>
    </row>
    <row r="1002" spans="1:8" x14ac:dyDescent="0.35">
      <c r="A1002" s="16" t="s">
        <v>4224</v>
      </c>
      <c r="B1002" s="19">
        <v>281.52</v>
      </c>
      <c r="G1002" s="16" t="s">
        <v>3893</v>
      </c>
      <c r="H1002">
        <v>1</v>
      </c>
    </row>
    <row r="1003" spans="1:8" x14ac:dyDescent="0.35">
      <c r="A1003" s="16" t="s">
        <v>251</v>
      </c>
      <c r="B1003" s="19">
        <v>280.25</v>
      </c>
      <c r="G1003" s="16" t="s">
        <v>3317</v>
      </c>
      <c r="H1003">
        <v>1</v>
      </c>
    </row>
    <row r="1004" spans="1:8" x14ac:dyDescent="0.35">
      <c r="A1004" s="16" t="s">
        <v>1258</v>
      </c>
      <c r="B1004" s="19">
        <v>279.89999999999998</v>
      </c>
      <c r="G1004" s="16" t="s">
        <v>3724</v>
      </c>
      <c r="H1004">
        <v>1</v>
      </c>
    </row>
    <row r="1005" spans="1:8" x14ac:dyDescent="0.35">
      <c r="A1005" s="16" t="s">
        <v>3339</v>
      </c>
      <c r="B1005" s="19">
        <v>279.38</v>
      </c>
      <c r="G1005" s="16" t="s">
        <v>3845</v>
      </c>
      <c r="H1005">
        <v>1</v>
      </c>
    </row>
    <row r="1006" spans="1:8" x14ac:dyDescent="0.35">
      <c r="A1006" s="16" t="s">
        <v>1611</v>
      </c>
      <c r="B1006" s="19">
        <v>279.14</v>
      </c>
      <c r="G1006" s="16" t="s">
        <v>4178</v>
      </c>
      <c r="H1006">
        <v>1</v>
      </c>
    </row>
    <row r="1007" spans="1:8" x14ac:dyDescent="0.35">
      <c r="A1007" s="16" t="s">
        <v>1188</v>
      </c>
      <c r="B1007" s="19">
        <v>278.66000000000003</v>
      </c>
      <c r="G1007" s="16" t="s">
        <v>3575</v>
      </c>
      <c r="H1007">
        <v>1</v>
      </c>
    </row>
    <row r="1008" spans="1:8" x14ac:dyDescent="0.35">
      <c r="A1008" s="16" t="s">
        <v>3683</v>
      </c>
      <c r="B1008" s="19">
        <v>277.08999999999997</v>
      </c>
      <c r="G1008" s="16" t="s">
        <v>2351</v>
      </c>
      <c r="H1008">
        <v>1</v>
      </c>
    </row>
    <row r="1009" spans="1:8" x14ac:dyDescent="0.35">
      <c r="A1009" s="16" t="s">
        <v>1622</v>
      </c>
      <c r="B1009" s="19">
        <v>277.05</v>
      </c>
      <c r="G1009" s="16" t="s">
        <v>2895</v>
      </c>
      <c r="H1009">
        <v>1</v>
      </c>
    </row>
    <row r="1010" spans="1:8" x14ac:dyDescent="0.35">
      <c r="A1010" s="16" t="s">
        <v>2612</v>
      </c>
      <c r="B1010" s="19">
        <v>276.66000000000003</v>
      </c>
      <c r="G1010" s="16" t="s">
        <v>3253</v>
      </c>
      <c r="H1010">
        <v>1</v>
      </c>
    </row>
    <row r="1011" spans="1:8" x14ac:dyDescent="0.35">
      <c r="A1011" s="16" t="s">
        <v>4199</v>
      </c>
      <c r="B1011" s="19">
        <v>275.22000000000003</v>
      </c>
      <c r="G1011" s="16" t="s">
        <v>2992</v>
      </c>
      <c r="H1011">
        <v>1</v>
      </c>
    </row>
    <row r="1012" spans="1:8" x14ac:dyDescent="0.35">
      <c r="A1012" s="16" t="s">
        <v>39</v>
      </c>
      <c r="B1012" s="19">
        <v>273.19</v>
      </c>
      <c r="G1012" s="16" t="s">
        <v>3083</v>
      </c>
      <c r="H1012">
        <v>1</v>
      </c>
    </row>
    <row r="1013" spans="1:8" x14ac:dyDescent="0.35">
      <c r="A1013" s="16" t="s">
        <v>1555</v>
      </c>
      <c r="B1013" s="19">
        <v>269.64999999999998</v>
      </c>
      <c r="G1013" s="16" t="s">
        <v>2274</v>
      </c>
      <c r="H1013">
        <v>1</v>
      </c>
    </row>
    <row r="1014" spans="1:8" x14ac:dyDescent="0.35">
      <c r="A1014" s="16" t="s">
        <v>67</v>
      </c>
      <c r="B1014" s="19">
        <v>268.56</v>
      </c>
      <c r="G1014" s="16" t="s">
        <v>2555</v>
      </c>
      <c r="H1014">
        <v>1</v>
      </c>
    </row>
    <row r="1015" spans="1:8" x14ac:dyDescent="0.35">
      <c r="A1015" s="16" t="s">
        <v>2212</v>
      </c>
      <c r="B1015" s="19">
        <v>268.32</v>
      </c>
      <c r="G1015" s="16" t="s">
        <v>2804</v>
      </c>
      <c r="H1015">
        <v>1</v>
      </c>
    </row>
    <row r="1016" spans="1:8" x14ac:dyDescent="0.35">
      <c r="A1016" s="16" t="s">
        <v>765</v>
      </c>
      <c r="B1016" s="19">
        <v>267.10000000000002</v>
      </c>
      <c r="G1016" s="16" t="s">
        <v>2638</v>
      </c>
      <c r="H1016">
        <v>1</v>
      </c>
    </row>
    <row r="1017" spans="1:8" x14ac:dyDescent="0.35">
      <c r="A1017" s="16" t="s">
        <v>3817</v>
      </c>
      <c r="B1017" s="19">
        <v>265.64</v>
      </c>
      <c r="G1017" s="16" t="s">
        <v>3133</v>
      </c>
      <c r="H1017">
        <v>1</v>
      </c>
    </row>
    <row r="1018" spans="1:8" x14ac:dyDescent="0.35">
      <c r="A1018" s="16" t="s">
        <v>860</v>
      </c>
      <c r="B1018" s="19">
        <v>265.38</v>
      </c>
      <c r="G1018" s="16" t="s">
        <v>2563</v>
      </c>
      <c r="H1018">
        <v>1</v>
      </c>
    </row>
    <row r="1019" spans="1:8" x14ac:dyDescent="0.35">
      <c r="A1019" s="16" t="s">
        <v>2455</v>
      </c>
      <c r="B1019" s="19">
        <v>265.2</v>
      </c>
      <c r="G1019" s="16" t="s">
        <v>2807</v>
      </c>
      <c r="H1019">
        <v>1</v>
      </c>
    </row>
    <row r="1020" spans="1:8" x14ac:dyDescent="0.35">
      <c r="A1020" s="16" t="s">
        <v>1582</v>
      </c>
      <c r="B1020" s="19">
        <v>264.39999999999998</v>
      </c>
      <c r="G1020" s="16" t="s">
        <v>2327</v>
      </c>
      <c r="H1020">
        <v>1</v>
      </c>
    </row>
    <row r="1021" spans="1:8" x14ac:dyDescent="0.35">
      <c r="A1021" s="16" t="s">
        <v>1023</v>
      </c>
      <c r="B1021" s="19">
        <v>263.95999999999998</v>
      </c>
      <c r="G1021" s="16" t="s">
        <v>2501</v>
      </c>
      <c r="H1021">
        <v>1</v>
      </c>
    </row>
    <row r="1022" spans="1:8" x14ac:dyDescent="0.35">
      <c r="A1022" s="16" t="s">
        <v>1483</v>
      </c>
      <c r="B1022" s="19">
        <v>260.26</v>
      </c>
      <c r="G1022" s="16" t="s">
        <v>2871</v>
      </c>
      <c r="H1022">
        <v>1</v>
      </c>
    </row>
    <row r="1023" spans="1:8" x14ac:dyDescent="0.35">
      <c r="A1023" s="16" t="s">
        <v>2670</v>
      </c>
      <c r="B1023" s="19">
        <v>258.95999999999998</v>
      </c>
      <c r="G1023" s="16" t="s">
        <v>2331</v>
      </c>
      <c r="H1023">
        <v>1</v>
      </c>
    </row>
    <row r="1024" spans="1:8" x14ac:dyDescent="0.35">
      <c r="A1024" s="16" t="s">
        <v>687</v>
      </c>
      <c r="B1024" s="19">
        <v>258.87</v>
      </c>
      <c r="G1024" s="16" t="s">
        <v>3245</v>
      </c>
      <c r="H1024">
        <v>1</v>
      </c>
    </row>
    <row r="1025" spans="1:8" x14ac:dyDescent="0.35">
      <c r="A1025" s="16" t="s">
        <v>3388</v>
      </c>
      <c r="B1025" s="19">
        <v>258.76</v>
      </c>
      <c r="G1025" s="16" t="s">
        <v>2817</v>
      </c>
      <c r="H1025">
        <v>1</v>
      </c>
    </row>
    <row r="1026" spans="1:8" x14ac:dyDescent="0.35">
      <c r="A1026" s="16" t="s">
        <v>2501</v>
      </c>
      <c r="B1026" s="19">
        <v>257</v>
      </c>
      <c r="G1026" s="16" t="s">
        <v>3109</v>
      </c>
      <c r="H1026">
        <v>1</v>
      </c>
    </row>
    <row r="1027" spans="1:8" x14ac:dyDescent="0.35">
      <c r="A1027" s="16" t="s">
        <v>710</v>
      </c>
      <c r="B1027" s="19">
        <v>254.12</v>
      </c>
      <c r="G1027" s="16" t="s">
        <v>3149</v>
      </c>
      <c r="H1027">
        <v>1</v>
      </c>
    </row>
    <row r="1028" spans="1:8" x14ac:dyDescent="0.35">
      <c r="A1028" s="16" t="s">
        <v>2508</v>
      </c>
      <c r="B1028" s="19">
        <v>253.7</v>
      </c>
      <c r="G1028" s="16" t="s">
        <v>3276</v>
      </c>
      <c r="H1028">
        <v>1</v>
      </c>
    </row>
    <row r="1029" spans="1:8" x14ac:dyDescent="0.35">
      <c r="A1029" s="16" t="s">
        <v>3985</v>
      </c>
      <c r="B1029" s="19">
        <v>252.93</v>
      </c>
      <c r="G1029" s="16" t="s">
        <v>2712</v>
      </c>
      <c r="H1029">
        <v>1</v>
      </c>
    </row>
    <row r="1030" spans="1:8" x14ac:dyDescent="0.35">
      <c r="A1030" s="16" t="s">
        <v>1784</v>
      </c>
      <c r="B1030" s="19">
        <v>252.68</v>
      </c>
      <c r="G1030" s="16" t="s">
        <v>2901</v>
      </c>
      <c r="H1030">
        <v>1</v>
      </c>
    </row>
    <row r="1031" spans="1:8" x14ac:dyDescent="0.35">
      <c r="A1031" s="16" t="s">
        <v>3950</v>
      </c>
      <c r="B1031" s="19">
        <v>250.46</v>
      </c>
      <c r="G1031" s="16" t="s">
        <v>2400</v>
      </c>
      <c r="H1031">
        <v>1</v>
      </c>
    </row>
    <row r="1032" spans="1:8" x14ac:dyDescent="0.35">
      <c r="A1032" s="16" t="s">
        <v>3742</v>
      </c>
      <c r="B1032" s="19">
        <v>249.81</v>
      </c>
      <c r="G1032" s="16" t="s">
        <v>3079</v>
      </c>
      <c r="H1032">
        <v>1</v>
      </c>
    </row>
    <row r="1033" spans="1:8" x14ac:dyDescent="0.35">
      <c r="A1033" s="16" t="s">
        <v>796</v>
      </c>
      <c r="B1033" s="19">
        <v>249.57</v>
      </c>
      <c r="G1033" s="16" t="s">
        <v>2827</v>
      </c>
      <c r="H1033">
        <v>1</v>
      </c>
    </row>
    <row r="1034" spans="1:8" x14ac:dyDescent="0.35">
      <c r="A1034" s="16" t="s">
        <v>927</v>
      </c>
      <c r="B1034" s="19">
        <v>247.64</v>
      </c>
      <c r="G1034" s="16" t="s">
        <v>2303</v>
      </c>
      <c r="H1034">
        <v>1</v>
      </c>
    </row>
    <row r="1035" spans="1:8" x14ac:dyDescent="0.35">
      <c r="A1035" s="16" t="s">
        <v>191</v>
      </c>
      <c r="B1035" s="19">
        <v>245.89</v>
      </c>
      <c r="G1035" s="16" t="s">
        <v>3161</v>
      </c>
      <c r="H1035">
        <v>1</v>
      </c>
    </row>
    <row r="1036" spans="1:8" x14ac:dyDescent="0.35">
      <c r="A1036" s="16" t="s">
        <v>3575</v>
      </c>
      <c r="B1036" s="19">
        <v>243.71</v>
      </c>
      <c r="G1036" s="16" t="s">
        <v>3221</v>
      </c>
      <c r="H1036">
        <v>1</v>
      </c>
    </row>
    <row r="1037" spans="1:8" x14ac:dyDescent="0.35">
      <c r="A1037" s="16" t="s">
        <v>464</v>
      </c>
      <c r="B1037" s="19">
        <v>241.9</v>
      </c>
      <c r="G1037" s="16" t="s">
        <v>3058</v>
      </c>
      <c r="H1037">
        <v>1</v>
      </c>
    </row>
    <row r="1038" spans="1:8" x14ac:dyDescent="0.35">
      <c r="A1038" s="16" t="s">
        <v>2682</v>
      </c>
      <c r="B1038" s="19">
        <v>237.18</v>
      </c>
      <c r="G1038" s="16" t="s">
        <v>2584</v>
      </c>
      <c r="H1038">
        <v>1</v>
      </c>
    </row>
    <row r="1039" spans="1:8" x14ac:dyDescent="0.35">
      <c r="A1039" s="16" t="s">
        <v>2555</v>
      </c>
      <c r="B1039" s="19">
        <v>234.37</v>
      </c>
      <c r="G1039" s="16" t="s">
        <v>2755</v>
      </c>
      <c r="H1039">
        <v>1</v>
      </c>
    </row>
    <row r="1040" spans="1:8" x14ac:dyDescent="0.35">
      <c r="A1040" s="16" t="s">
        <v>2824</v>
      </c>
      <c r="B1040" s="19">
        <v>230.88</v>
      </c>
      <c r="G1040" s="16" t="s">
        <v>2956</v>
      </c>
      <c r="H1040">
        <v>1</v>
      </c>
    </row>
    <row r="1041" spans="1:8" x14ac:dyDescent="0.35">
      <c r="A1041" s="16" t="s">
        <v>3416</v>
      </c>
      <c r="B1041" s="19">
        <v>226.64</v>
      </c>
      <c r="G1041" s="16" t="s">
        <v>3171</v>
      </c>
      <c r="H1041">
        <v>1</v>
      </c>
    </row>
    <row r="1042" spans="1:8" x14ac:dyDescent="0.35">
      <c r="A1042" s="16" t="s">
        <v>3608</v>
      </c>
      <c r="B1042" s="19">
        <v>226.58</v>
      </c>
      <c r="G1042" s="16" t="s">
        <v>2656</v>
      </c>
      <c r="H1042">
        <v>1</v>
      </c>
    </row>
    <row r="1043" spans="1:8" x14ac:dyDescent="0.35">
      <c r="A1043" s="16" t="s">
        <v>2905</v>
      </c>
      <c r="B1043" s="19">
        <v>226.55</v>
      </c>
      <c r="G1043" s="16" t="s">
        <v>3174</v>
      </c>
      <c r="H1043">
        <v>1</v>
      </c>
    </row>
    <row r="1044" spans="1:8" x14ac:dyDescent="0.35">
      <c r="A1044" s="16" t="s">
        <v>986</v>
      </c>
      <c r="B1044" s="19">
        <v>223.3</v>
      </c>
      <c r="G1044" s="16" t="s">
        <v>2313</v>
      </c>
      <c r="H1044">
        <v>1</v>
      </c>
    </row>
    <row r="1045" spans="1:8" x14ac:dyDescent="0.35">
      <c r="A1045" s="16" t="s">
        <v>3864</v>
      </c>
      <c r="B1045" s="19">
        <v>222.73</v>
      </c>
      <c r="G1045" s="16" t="s">
        <v>2540</v>
      </c>
      <c r="H1045">
        <v>1</v>
      </c>
    </row>
    <row r="1046" spans="1:8" x14ac:dyDescent="0.35">
      <c r="A1046" s="16" t="s">
        <v>472</v>
      </c>
      <c r="B1046" s="19">
        <v>220.77</v>
      </c>
      <c r="G1046" s="16" t="s">
        <v>2495</v>
      </c>
      <c r="H1046">
        <v>1</v>
      </c>
    </row>
    <row r="1047" spans="1:8" x14ac:dyDescent="0.35">
      <c r="A1047" s="16" t="s">
        <v>624</v>
      </c>
      <c r="B1047" s="19">
        <v>217.56</v>
      </c>
      <c r="G1047" s="16" t="s">
        <v>2719</v>
      </c>
      <c r="H1047">
        <v>1</v>
      </c>
    </row>
    <row r="1048" spans="1:8" x14ac:dyDescent="0.35">
      <c r="A1048" s="16" t="s">
        <v>2167</v>
      </c>
      <c r="B1048" s="19">
        <v>214.08</v>
      </c>
      <c r="G1048" s="16" t="s">
        <v>2635</v>
      </c>
      <c r="H1048">
        <v>1</v>
      </c>
    </row>
    <row r="1049" spans="1:8" x14ac:dyDescent="0.35">
      <c r="A1049" s="16" t="s">
        <v>1283</v>
      </c>
      <c r="B1049" s="19">
        <v>212.79</v>
      </c>
      <c r="G1049" s="16" t="s">
        <v>2482</v>
      </c>
      <c r="H1049">
        <v>1</v>
      </c>
    </row>
    <row r="1050" spans="1:8" x14ac:dyDescent="0.35">
      <c r="A1050" s="16" t="s">
        <v>2774</v>
      </c>
      <c r="B1050" s="19">
        <v>212.43</v>
      </c>
      <c r="G1050" s="16" t="s">
        <v>3033</v>
      </c>
      <c r="H1050">
        <v>1</v>
      </c>
    </row>
    <row r="1051" spans="1:8" x14ac:dyDescent="0.35">
      <c r="A1051" s="16" t="s">
        <v>628</v>
      </c>
      <c r="B1051" s="19">
        <v>211.14</v>
      </c>
      <c r="G1051" s="16" t="s">
        <v>2574</v>
      </c>
      <c r="H1051">
        <v>1</v>
      </c>
    </row>
    <row r="1052" spans="1:8" x14ac:dyDescent="0.35">
      <c r="A1052" s="16" t="s">
        <v>669</v>
      </c>
      <c r="B1052" s="19">
        <v>211.14</v>
      </c>
      <c r="G1052" s="16" t="s">
        <v>3280</v>
      </c>
      <c r="H1052">
        <v>1</v>
      </c>
    </row>
    <row r="1053" spans="1:8" x14ac:dyDescent="0.35">
      <c r="A1053" s="16" t="s">
        <v>761</v>
      </c>
      <c r="B1053" s="19">
        <v>210.7</v>
      </c>
      <c r="G1053" s="16" t="s">
        <v>2413</v>
      </c>
      <c r="H1053">
        <v>1</v>
      </c>
    </row>
    <row r="1054" spans="1:8" x14ac:dyDescent="0.35">
      <c r="A1054" s="16" t="s">
        <v>3557</v>
      </c>
      <c r="B1054" s="19">
        <v>208.95</v>
      </c>
      <c r="G1054" s="16" t="s">
        <v>2898</v>
      </c>
      <c r="H1054">
        <v>1</v>
      </c>
    </row>
    <row r="1055" spans="1:8" x14ac:dyDescent="0.35">
      <c r="A1055" s="16" t="s">
        <v>4192</v>
      </c>
      <c r="B1055" s="19">
        <v>208.36</v>
      </c>
      <c r="G1055" s="16" t="s">
        <v>2850</v>
      </c>
      <c r="H1055">
        <v>1</v>
      </c>
    </row>
    <row r="1056" spans="1:8" x14ac:dyDescent="0.35">
      <c r="A1056" s="16" t="s">
        <v>1034</v>
      </c>
      <c r="B1056" s="19">
        <v>206.82</v>
      </c>
      <c r="G1056" s="16" t="s">
        <v>2686</v>
      </c>
      <c r="H1056">
        <v>1</v>
      </c>
    </row>
    <row r="1057" spans="1:8" x14ac:dyDescent="0.35">
      <c r="A1057" s="16" t="s">
        <v>2042</v>
      </c>
      <c r="B1057" s="19">
        <v>204.36</v>
      </c>
      <c r="G1057" s="16" t="s">
        <v>2618</v>
      </c>
      <c r="H1057">
        <v>1</v>
      </c>
    </row>
    <row r="1058" spans="1:8" x14ac:dyDescent="0.35">
      <c r="A1058" s="16" t="s">
        <v>4227</v>
      </c>
      <c r="B1058" s="19">
        <v>204.08</v>
      </c>
      <c r="G1058" s="16" t="s">
        <v>2856</v>
      </c>
      <c r="H1058">
        <v>1</v>
      </c>
    </row>
    <row r="1059" spans="1:8" x14ac:dyDescent="0.35">
      <c r="A1059" s="16" t="s">
        <v>428</v>
      </c>
      <c r="B1059" s="19">
        <v>201.58</v>
      </c>
      <c r="G1059" s="16" t="s">
        <v>2265</v>
      </c>
      <c r="H1059">
        <v>1</v>
      </c>
    </row>
    <row r="1060" spans="1:8" x14ac:dyDescent="0.35">
      <c r="A1060" s="16" t="s">
        <v>1315</v>
      </c>
      <c r="B1060" s="19">
        <v>198.51</v>
      </c>
      <c r="G1060" s="16" t="s">
        <v>2777</v>
      </c>
      <c r="H1060">
        <v>1</v>
      </c>
    </row>
    <row r="1061" spans="1:8" x14ac:dyDescent="0.35">
      <c r="A1061" s="16" t="s">
        <v>1576</v>
      </c>
      <c r="B1061" s="19">
        <v>198.2</v>
      </c>
      <c r="G1061" s="16" t="s">
        <v>2215</v>
      </c>
      <c r="H1061">
        <v>1</v>
      </c>
    </row>
    <row r="1062" spans="1:8" x14ac:dyDescent="0.35">
      <c r="A1062" s="16" t="s">
        <v>672</v>
      </c>
      <c r="B1062" s="19">
        <v>197.58</v>
      </c>
      <c r="G1062" s="16" t="s">
        <v>1895</v>
      </c>
      <c r="H1062">
        <v>1</v>
      </c>
    </row>
    <row r="1063" spans="1:8" x14ac:dyDescent="0.35">
      <c r="A1063" s="16" t="s">
        <v>2077</v>
      </c>
      <c r="B1063" s="19">
        <v>196.94</v>
      </c>
      <c r="G1063" s="16" t="s">
        <v>1760</v>
      </c>
      <c r="H1063">
        <v>1</v>
      </c>
    </row>
    <row r="1064" spans="1:8" x14ac:dyDescent="0.35">
      <c r="A1064" s="16" t="s">
        <v>4016</v>
      </c>
      <c r="B1064" s="19">
        <v>195.86</v>
      </c>
      <c r="G1064" s="16" t="s">
        <v>2004</v>
      </c>
      <c r="H1064">
        <v>1</v>
      </c>
    </row>
    <row r="1065" spans="1:8" x14ac:dyDescent="0.35">
      <c r="A1065" s="16" t="s">
        <v>401</v>
      </c>
      <c r="B1065" s="19">
        <v>194.44</v>
      </c>
      <c r="G1065" s="16" t="s">
        <v>1800</v>
      </c>
      <c r="H1065">
        <v>1</v>
      </c>
    </row>
    <row r="1066" spans="1:8" x14ac:dyDescent="0.35">
      <c r="A1066" s="16" t="s">
        <v>1496</v>
      </c>
      <c r="B1066" s="19">
        <v>191.76</v>
      </c>
      <c r="G1066" s="16" t="s">
        <v>2007</v>
      </c>
      <c r="H1066">
        <v>1</v>
      </c>
    </row>
    <row r="1067" spans="1:8" x14ac:dyDescent="0.35">
      <c r="A1067" s="16" t="s">
        <v>2386</v>
      </c>
      <c r="B1067" s="19">
        <v>191.04</v>
      </c>
      <c r="G1067" s="16" t="s">
        <v>1566</v>
      </c>
      <c r="H1067">
        <v>1</v>
      </c>
    </row>
    <row r="1068" spans="1:8" x14ac:dyDescent="0.35">
      <c r="A1068" s="16" t="s">
        <v>3953</v>
      </c>
      <c r="B1068" s="19">
        <v>190.55</v>
      </c>
      <c r="G1068" s="16" t="s">
        <v>1626</v>
      </c>
      <c r="H1068">
        <v>1</v>
      </c>
    </row>
    <row r="1069" spans="1:8" x14ac:dyDescent="0.35">
      <c r="A1069" s="16" t="s">
        <v>1844</v>
      </c>
      <c r="B1069" s="19">
        <v>188.31</v>
      </c>
      <c r="G1069" s="16" t="s">
        <v>1536</v>
      </c>
      <c r="H1069">
        <v>1</v>
      </c>
    </row>
    <row r="1070" spans="1:8" x14ac:dyDescent="0.35">
      <c r="A1070" s="16" t="s">
        <v>2608</v>
      </c>
      <c r="B1070" s="19">
        <v>185.82</v>
      </c>
      <c r="G1070" s="16" t="s">
        <v>1294</v>
      </c>
      <c r="H1070">
        <v>1</v>
      </c>
    </row>
    <row r="1071" spans="1:8" x14ac:dyDescent="0.35">
      <c r="A1071" s="16" t="s">
        <v>4171</v>
      </c>
      <c r="B1071" s="19">
        <v>185.74</v>
      </c>
      <c r="G1071" s="16" t="s">
        <v>1784</v>
      </c>
      <c r="H1071">
        <v>1</v>
      </c>
    </row>
    <row r="1072" spans="1:8" x14ac:dyDescent="0.35">
      <c r="A1072" s="16" t="s">
        <v>1615</v>
      </c>
      <c r="B1072" s="19">
        <v>184.15</v>
      </c>
      <c r="G1072" s="16" t="s">
        <v>2016</v>
      </c>
      <c r="H1072">
        <v>1</v>
      </c>
    </row>
    <row r="1073" spans="1:8" x14ac:dyDescent="0.35">
      <c r="A1073" s="16" t="s">
        <v>1745</v>
      </c>
      <c r="B1073" s="19">
        <v>183.18</v>
      </c>
      <c r="G1073" s="16" t="s">
        <v>1803</v>
      </c>
      <c r="H1073">
        <v>1</v>
      </c>
    </row>
    <row r="1074" spans="1:8" x14ac:dyDescent="0.35">
      <c r="A1074" s="16" t="s">
        <v>236</v>
      </c>
      <c r="B1074" s="19">
        <v>179.22</v>
      </c>
      <c r="G1074" s="16" t="s">
        <v>1472</v>
      </c>
      <c r="H1074">
        <v>1</v>
      </c>
    </row>
    <row r="1075" spans="1:8" x14ac:dyDescent="0.35">
      <c r="A1075" s="16" t="s">
        <v>3083</v>
      </c>
      <c r="B1075" s="19">
        <v>178.44</v>
      </c>
      <c r="G1075" s="16" t="s">
        <v>1668</v>
      </c>
      <c r="H1075">
        <v>1</v>
      </c>
    </row>
    <row r="1076" spans="1:8" x14ac:dyDescent="0.35">
      <c r="A1076" s="16" t="s">
        <v>3066</v>
      </c>
      <c r="B1076" s="19">
        <v>177.46</v>
      </c>
      <c r="G1076" s="16" t="s">
        <v>1691</v>
      </c>
      <c r="H1076">
        <v>1</v>
      </c>
    </row>
    <row r="1077" spans="1:8" x14ac:dyDescent="0.35">
      <c r="A1077" s="16" t="s">
        <v>2584</v>
      </c>
      <c r="B1077" s="19">
        <v>176.58</v>
      </c>
      <c r="G1077" s="16" t="s">
        <v>1994</v>
      </c>
      <c r="H1077">
        <v>1</v>
      </c>
    </row>
    <row r="1078" spans="1:8" x14ac:dyDescent="0.35">
      <c r="A1078" s="16" t="s">
        <v>2728</v>
      </c>
      <c r="B1078" s="19">
        <v>176.28</v>
      </c>
      <c r="G1078" s="16" t="s">
        <v>1513</v>
      </c>
      <c r="H1078">
        <v>1</v>
      </c>
    </row>
    <row r="1079" spans="1:8" x14ac:dyDescent="0.35">
      <c r="A1079" s="16" t="s">
        <v>2901</v>
      </c>
      <c r="B1079" s="19">
        <v>176.1</v>
      </c>
      <c r="G1079" s="16" t="s">
        <v>1958</v>
      </c>
      <c r="H1079">
        <v>1</v>
      </c>
    </row>
    <row r="1080" spans="1:8" x14ac:dyDescent="0.35">
      <c r="A1080" s="16" t="s">
        <v>1947</v>
      </c>
      <c r="B1080" s="19">
        <v>171.59</v>
      </c>
      <c r="G1080" s="16" t="s">
        <v>1633</v>
      </c>
      <c r="H1080">
        <v>1</v>
      </c>
    </row>
    <row r="1081" spans="1:8" x14ac:dyDescent="0.35">
      <c r="A1081" s="16" t="s">
        <v>931</v>
      </c>
      <c r="B1081" s="19">
        <v>167.6</v>
      </c>
      <c r="G1081" s="16" t="s">
        <v>1315</v>
      </c>
      <c r="H1081">
        <v>1</v>
      </c>
    </row>
    <row r="1082" spans="1:8" x14ac:dyDescent="0.35">
      <c r="A1082" s="16" t="s">
        <v>1346</v>
      </c>
      <c r="B1082" s="19">
        <v>167.15</v>
      </c>
      <c r="G1082" s="16" t="s">
        <v>2035</v>
      </c>
      <c r="H1082">
        <v>1</v>
      </c>
    </row>
    <row r="1083" spans="1:8" x14ac:dyDescent="0.35">
      <c r="A1083" s="16" t="s">
        <v>1115</v>
      </c>
      <c r="B1083" s="19">
        <v>165.03</v>
      </c>
      <c r="G1083" s="16" t="s">
        <v>2170</v>
      </c>
      <c r="H1083">
        <v>1</v>
      </c>
    </row>
    <row r="1084" spans="1:8" x14ac:dyDescent="0.35">
      <c r="A1084" s="16" t="s">
        <v>2689</v>
      </c>
      <c r="B1084" s="19">
        <v>164.85</v>
      </c>
      <c r="G1084" s="16" t="s">
        <v>1699</v>
      </c>
      <c r="H1084">
        <v>1</v>
      </c>
    </row>
    <row r="1085" spans="1:8" x14ac:dyDescent="0.35">
      <c r="A1085" s="16" t="s">
        <v>4234</v>
      </c>
      <c r="B1085" s="19">
        <v>163.32</v>
      </c>
      <c r="G1085" s="16" t="s">
        <v>1354</v>
      </c>
      <c r="H1085">
        <v>1</v>
      </c>
    </row>
    <row r="1086" spans="1:8" x14ac:dyDescent="0.35">
      <c r="A1086" s="16" t="s">
        <v>171</v>
      </c>
      <c r="B1086" s="19">
        <v>162.77000000000001</v>
      </c>
      <c r="G1086" s="16" t="s">
        <v>1573</v>
      </c>
      <c r="H1086">
        <v>1</v>
      </c>
    </row>
    <row r="1087" spans="1:8" x14ac:dyDescent="0.35">
      <c r="A1087" s="16" t="s">
        <v>229</v>
      </c>
      <c r="B1087" s="19">
        <v>161.54</v>
      </c>
      <c r="G1087" s="16" t="s">
        <v>1496</v>
      </c>
      <c r="H1087">
        <v>1</v>
      </c>
    </row>
    <row r="1088" spans="1:8" x14ac:dyDescent="0.35">
      <c r="A1088" s="16" t="s">
        <v>1658</v>
      </c>
      <c r="B1088" s="19">
        <v>161.24</v>
      </c>
      <c r="G1088" s="16" t="s">
        <v>2045</v>
      </c>
      <c r="H1088">
        <v>1</v>
      </c>
    </row>
    <row r="1089" spans="1:8" x14ac:dyDescent="0.35">
      <c r="A1089" s="16" t="s">
        <v>2559</v>
      </c>
      <c r="B1089" s="19">
        <v>160.80000000000001</v>
      </c>
      <c r="G1089" s="16" t="s">
        <v>1551</v>
      </c>
      <c r="H1089">
        <v>1</v>
      </c>
    </row>
    <row r="1090" spans="1:8" x14ac:dyDescent="0.35">
      <c r="A1090" s="16" t="s">
        <v>2074</v>
      </c>
      <c r="B1090" s="19">
        <v>159.80000000000001</v>
      </c>
      <c r="G1090" s="16" t="s">
        <v>1483</v>
      </c>
      <c r="H1090">
        <v>1</v>
      </c>
    </row>
    <row r="1091" spans="1:8" x14ac:dyDescent="0.35">
      <c r="A1091" s="16" t="s">
        <v>2081</v>
      </c>
      <c r="B1091" s="19">
        <v>158.68</v>
      </c>
      <c r="G1091" s="16" t="s">
        <v>1366</v>
      </c>
      <c r="H1091">
        <v>1</v>
      </c>
    </row>
    <row r="1092" spans="1:8" x14ac:dyDescent="0.35">
      <c r="A1092" s="16" t="s">
        <v>2807</v>
      </c>
      <c r="B1092" s="19">
        <v>157.72</v>
      </c>
      <c r="G1092" s="16" t="s">
        <v>1279</v>
      </c>
      <c r="H1092">
        <v>1</v>
      </c>
    </row>
    <row r="1093" spans="1:8" x14ac:dyDescent="0.35">
      <c r="A1093" s="16" t="s">
        <v>2540</v>
      </c>
      <c r="B1093" s="19">
        <v>155.27000000000001</v>
      </c>
      <c r="G1093" s="16" t="s">
        <v>1672</v>
      </c>
      <c r="H1093">
        <v>1</v>
      </c>
    </row>
    <row r="1094" spans="1:8" x14ac:dyDescent="0.35">
      <c r="A1094" s="16" t="s">
        <v>187</v>
      </c>
      <c r="B1094" s="19">
        <v>153.47999999999999</v>
      </c>
      <c r="G1094" s="16" t="s">
        <v>1394</v>
      </c>
      <c r="H1094">
        <v>1</v>
      </c>
    </row>
    <row r="1095" spans="1:8" x14ac:dyDescent="0.35">
      <c r="A1095" s="16" t="s">
        <v>4060</v>
      </c>
      <c r="B1095" s="19">
        <v>153.12</v>
      </c>
      <c r="G1095" s="16" t="s">
        <v>1378</v>
      </c>
      <c r="H1095">
        <v>1</v>
      </c>
    </row>
    <row r="1096" spans="1:8" x14ac:dyDescent="0.35">
      <c r="A1096" s="16" t="s">
        <v>2004</v>
      </c>
      <c r="B1096" s="19">
        <v>153</v>
      </c>
      <c r="G1096" s="16" t="s">
        <v>1717</v>
      </c>
      <c r="H1096">
        <v>1</v>
      </c>
    </row>
    <row r="1097" spans="1:8" x14ac:dyDescent="0.35">
      <c r="A1097" s="16" t="s">
        <v>2820</v>
      </c>
      <c r="B1097" s="19">
        <v>151.04</v>
      </c>
      <c r="G1097" s="16" t="s">
        <v>1685</v>
      </c>
      <c r="H1097">
        <v>1</v>
      </c>
    </row>
    <row r="1098" spans="1:8" x14ac:dyDescent="0.35">
      <c r="A1098" s="16" t="s">
        <v>4019</v>
      </c>
      <c r="B1098" s="19">
        <v>151.02000000000001</v>
      </c>
      <c r="G1098" s="16" t="s">
        <v>1721</v>
      </c>
      <c r="H1098">
        <v>1</v>
      </c>
    </row>
    <row r="1099" spans="1:8" x14ac:dyDescent="0.35">
      <c r="A1099" s="16" t="s">
        <v>1279</v>
      </c>
      <c r="B1099" s="19">
        <v>150.16999999999999</v>
      </c>
      <c r="G1099" s="16" t="s">
        <v>2140</v>
      </c>
      <c r="H1099">
        <v>1</v>
      </c>
    </row>
    <row r="1100" spans="1:8" x14ac:dyDescent="0.35">
      <c r="A1100" s="16" t="s">
        <v>82</v>
      </c>
      <c r="B1100" s="19">
        <v>147.41999999999999</v>
      </c>
      <c r="G1100" s="16" t="s">
        <v>2068</v>
      </c>
      <c r="H1100">
        <v>1</v>
      </c>
    </row>
    <row r="1101" spans="1:8" x14ac:dyDescent="0.35">
      <c r="A1101" s="16" t="s">
        <v>4064</v>
      </c>
      <c r="B1101" s="19">
        <v>146.82</v>
      </c>
      <c r="G1101" s="16" t="s">
        <v>1533</v>
      </c>
      <c r="H1101">
        <v>1</v>
      </c>
    </row>
    <row r="1102" spans="1:8" x14ac:dyDescent="0.35">
      <c r="A1102" s="16" t="s">
        <v>3645</v>
      </c>
      <c r="B1102" s="19">
        <v>146.52000000000001</v>
      </c>
      <c r="G1102" s="16" t="s">
        <v>1398</v>
      </c>
      <c r="H1102">
        <v>1</v>
      </c>
    </row>
    <row r="1103" spans="1:8" x14ac:dyDescent="0.35">
      <c r="A1103" s="16" t="s">
        <v>1699</v>
      </c>
      <c r="B1103" s="19">
        <v>146.32</v>
      </c>
      <c r="G1103" s="16" t="s">
        <v>1774</v>
      </c>
      <c r="H1103">
        <v>1</v>
      </c>
    </row>
    <row r="1104" spans="1:8" x14ac:dyDescent="0.35">
      <c r="A1104" s="16" t="s">
        <v>3403</v>
      </c>
      <c r="B1104" s="19">
        <v>144.78</v>
      </c>
      <c r="G1104" s="16" t="s">
        <v>1878</v>
      </c>
      <c r="H1104">
        <v>1</v>
      </c>
    </row>
    <row r="1105" spans="1:8" x14ac:dyDescent="0.35">
      <c r="A1105" s="16" t="s">
        <v>1777</v>
      </c>
      <c r="B1105" s="19">
        <v>144.25</v>
      </c>
      <c r="G1105" s="16" t="s">
        <v>1777</v>
      </c>
      <c r="H1105">
        <v>1</v>
      </c>
    </row>
    <row r="1106" spans="1:8" x14ac:dyDescent="0.35">
      <c r="A1106" s="16" t="s">
        <v>440</v>
      </c>
      <c r="B1106" s="19">
        <v>140.68</v>
      </c>
      <c r="G1106" s="16" t="s">
        <v>1457</v>
      </c>
      <c r="H1106">
        <v>1</v>
      </c>
    </row>
    <row r="1107" spans="1:8" x14ac:dyDescent="0.35">
      <c r="A1107" s="16" t="s">
        <v>2551</v>
      </c>
      <c r="B1107" s="19">
        <v>139.36000000000001</v>
      </c>
      <c r="G1107" s="16" t="s">
        <v>2167</v>
      </c>
      <c r="H1107">
        <v>1</v>
      </c>
    </row>
    <row r="1108" spans="1:8" x14ac:dyDescent="0.35">
      <c r="A1108" s="16" t="s">
        <v>1714</v>
      </c>
      <c r="B1108" s="19">
        <v>139.28</v>
      </c>
      <c r="G1108" s="16" t="s">
        <v>2081</v>
      </c>
      <c r="H1108">
        <v>1</v>
      </c>
    </row>
    <row r="1109" spans="1:8" x14ac:dyDescent="0.35">
      <c r="A1109" s="16" t="s">
        <v>2373</v>
      </c>
      <c r="B1109" s="19">
        <v>138.33000000000001</v>
      </c>
      <c r="G1109" s="16" t="s">
        <v>1781</v>
      </c>
      <c r="H1109">
        <v>1</v>
      </c>
    </row>
    <row r="1110" spans="1:8" x14ac:dyDescent="0.35">
      <c r="A1110" s="16" t="s">
        <v>570</v>
      </c>
      <c r="B1110" s="19">
        <v>137.62</v>
      </c>
      <c r="G1110" s="16" t="s">
        <v>2084</v>
      </c>
      <c r="H1110">
        <v>1</v>
      </c>
    </row>
    <row r="1111" spans="1:8" x14ac:dyDescent="0.35">
      <c r="A1111" s="16" t="s">
        <v>2650</v>
      </c>
      <c r="B1111" s="19">
        <v>136.80000000000001</v>
      </c>
      <c r="G1111" s="16" t="s">
        <v>1269</v>
      </c>
      <c r="H1111">
        <v>1</v>
      </c>
    </row>
    <row r="1112" spans="1:8" x14ac:dyDescent="0.35">
      <c r="A1112" s="16" t="s">
        <v>1717</v>
      </c>
      <c r="B1112" s="19">
        <v>135.16999999999999</v>
      </c>
      <c r="G1112" s="16" t="s">
        <v>1386</v>
      </c>
      <c r="H1112">
        <v>1</v>
      </c>
    </row>
    <row r="1113" spans="1:8" x14ac:dyDescent="0.35">
      <c r="A1113" s="16" t="s">
        <v>3845</v>
      </c>
      <c r="B1113" s="19">
        <v>133.38999999999999</v>
      </c>
      <c r="G1113" s="16" t="s">
        <v>1439</v>
      </c>
      <c r="H1113">
        <v>1</v>
      </c>
    </row>
    <row r="1114" spans="1:8" x14ac:dyDescent="0.35">
      <c r="A1114" s="16" t="s">
        <v>2140</v>
      </c>
      <c r="B1114" s="19">
        <v>132.68</v>
      </c>
      <c r="G1114" s="16" t="s">
        <v>1192</v>
      </c>
      <c r="H1114">
        <v>1</v>
      </c>
    </row>
    <row r="1115" spans="1:8" x14ac:dyDescent="0.35">
      <c r="A1115" s="16" t="s">
        <v>3791</v>
      </c>
      <c r="B1115" s="19">
        <v>132.15</v>
      </c>
      <c r="G1115" s="16" t="s">
        <v>1658</v>
      </c>
      <c r="H1115">
        <v>1</v>
      </c>
    </row>
    <row r="1116" spans="1:8" x14ac:dyDescent="0.35">
      <c r="A1116" s="16" t="s">
        <v>2719</v>
      </c>
      <c r="B1116" s="19">
        <v>132.05000000000001</v>
      </c>
      <c r="G1116" s="16" t="s">
        <v>1346</v>
      </c>
      <c r="H1116">
        <v>1</v>
      </c>
    </row>
    <row r="1117" spans="1:8" x14ac:dyDescent="0.35">
      <c r="A1117" s="16" t="s">
        <v>3469</v>
      </c>
      <c r="B1117" s="19">
        <v>131.61000000000001</v>
      </c>
      <c r="G1117" s="16" t="s">
        <v>2199</v>
      </c>
      <c r="H1117">
        <v>1</v>
      </c>
    </row>
    <row r="1118" spans="1:8" x14ac:dyDescent="0.35">
      <c r="A1118" s="16" t="s">
        <v>1099</v>
      </c>
      <c r="B1118" s="19">
        <v>130.13999999999999</v>
      </c>
      <c r="G1118" s="16" t="s">
        <v>2098</v>
      </c>
      <c r="H1118">
        <v>1</v>
      </c>
    </row>
    <row r="1119" spans="1:8" x14ac:dyDescent="0.35">
      <c r="A1119" s="16" t="s">
        <v>1006</v>
      </c>
      <c r="B1119" s="19">
        <v>128.85</v>
      </c>
      <c r="G1119" s="16" t="s">
        <v>1806</v>
      </c>
      <c r="H1119">
        <v>1</v>
      </c>
    </row>
    <row r="1120" spans="1:8" x14ac:dyDescent="0.35">
      <c r="A1120" s="16" t="s">
        <v>4206</v>
      </c>
      <c r="B1120" s="19">
        <v>127.55</v>
      </c>
      <c r="G1120" s="16" t="s">
        <v>1745</v>
      </c>
      <c r="H1120">
        <v>1</v>
      </c>
    </row>
    <row r="1121" spans="1:8" x14ac:dyDescent="0.35">
      <c r="A1121" s="16" t="s">
        <v>3975</v>
      </c>
      <c r="B1121" s="19">
        <v>126.42</v>
      </c>
      <c r="G1121" s="16" t="s">
        <v>1196</v>
      </c>
      <c r="H1121">
        <v>1</v>
      </c>
    </row>
    <row r="1122" spans="1:8" x14ac:dyDescent="0.35">
      <c r="A1122" s="16" t="s">
        <v>2268</v>
      </c>
      <c r="B1122" s="19">
        <v>124.1</v>
      </c>
      <c r="G1122" s="16" t="s">
        <v>1947</v>
      </c>
      <c r="H1122">
        <v>1</v>
      </c>
    </row>
    <row r="1123" spans="1:8" x14ac:dyDescent="0.35">
      <c r="A1123" s="16" t="s">
        <v>3893</v>
      </c>
      <c r="B1123" s="19">
        <v>123.28</v>
      </c>
      <c r="G1123" s="16" t="s">
        <v>1204</v>
      </c>
      <c r="H1123">
        <v>1</v>
      </c>
    </row>
    <row r="1124" spans="1:8" x14ac:dyDescent="0.35">
      <c r="A1124" s="16" t="s">
        <v>843</v>
      </c>
      <c r="B1124" s="19">
        <v>121.96</v>
      </c>
      <c r="G1124" s="16" t="s">
        <v>1950</v>
      </c>
      <c r="H1124">
        <v>1</v>
      </c>
    </row>
    <row r="1125" spans="1:8" x14ac:dyDescent="0.35">
      <c r="A1125" s="16" t="s">
        <v>2622</v>
      </c>
      <c r="B1125" s="19">
        <v>121.08</v>
      </c>
      <c r="G1125" s="16" t="s">
        <v>1326</v>
      </c>
      <c r="H1125">
        <v>1</v>
      </c>
    </row>
    <row r="1126" spans="1:8" x14ac:dyDescent="0.35">
      <c r="A1126" s="16" t="s">
        <v>2098</v>
      </c>
      <c r="B1126" s="19">
        <v>120.98</v>
      </c>
      <c r="G1126" s="16" t="s">
        <v>2111</v>
      </c>
      <c r="H1126">
        <v>1</v>
      </c>
    </row>
    <row r="1127" spans="1:8" x14ac:dyDescent="0.35">
      <c r="A1127" s="16" t="s">
        <v>3659</v>
      </c>
      <c r="B1127" s="19">
        <v>120.2</v>
      </c>
      <c r="G1127" s="16" t="s">
        <v>2234</v>
      </c>
      <c r="H1127">
        <v>1</v>
      </c>
    </row>
    <row r="1128" spans="1:8" x14ac:dyDescent="0.35">
      <c r="A1128" s="16" t="s">
        <v>1607</v>
      </c>
      <c r="B1128" s="19">
        <v>118.8</v>
      </c>
      <c r="G1128" s="16" t="s">
        <v>2114</v>
      </c>
      <c r="H1128">
        <v>1</v>
      </c>
    </row>
    <row r="1129" spans="1:8" x14ac:dyDescent="0.35">
      <c r="A1129" s="16" t="s">
        <v>1647</v>
      </c>
      <c r="B1129" s="19">
        <v>114.7</v>
      </c>
      <c r="G1129" s="16" t="s">
        <v>2241</v>
      </c>
      <c r="H1129">
        <v>1</v>
      </c>
    </row>
    <row r="1130" spans="1:8" x14ac:dyDescent="0.35">
      <c r="A1130" s="16" t="s">
        <v>1216</v>
      </c>
      <c r="B1130" s="19">
        <v>114.14</v>
      </c>
      <c r="G1130" s="16" t="s">
        <v>2118</v>
      </c>
      <c r="H1130">
        <v>1</v>
      </c>
    </row>
    <row r="1131" spans="1:8" x14ac:dyDescent="0.35">
      <c r="A1131" s="16" t="s">
        <v>3076</v>
      </c>
      <c r="B1131" s="19">
        <v>110.7</v>
      </c>
      <c r="G1131" s="16" t="s">
        <v>1615</v>
      </c>
      <c r="H1131">
        <v>1</v>
      </c>
    </row>
    <row r="1132" spans="1:8" x14ac:dyDescent="0.35">
      <c r="A1132" s="16" t="s">
        <v>2527</v>
      </c>
      <c r="B1132" s="19">
        <v>110.35</v>
      </c>
      <c r="G1132" s="16" t="s">
        <v>1748</v>
      </c>
      <c r="H1132">
        <v>1</v>
      </c>
    </row>
    <row r="1133" spans="1:8" x14ac:dyDescent="0.35">
      <c r="A1133" s="16" t="s">
        <v>4141</v>
      </c>
      <c r="B1133" s="19">
        <v>109.68</v>
      </c>
      <c r="G1133" s="16" t="s">
        <v>1851</v>
      </c>
      <c r="H1133">
        <v>1</v>
      </c>
    </row>
    <row r="1134" spans="1:8" x14ac:dyDescent="0.35">
      <c r="A1134" s="16" t="s">
        <v>1756</v>
      </c>
      <c r="B1134" s="19">
        <v>109.29</v>
      </c>
      <c r="G1134" s="16" t="s">
        <v>1752</v>
      </c>
      <c r="H1134">
        <v>1</v>
      </c>
    </row>
    <row r="1135" spans="1:8" x14ac:dyDescent="0.35">
      <c r="A1135" s="16" t="s">
        <v>1382</v>
      </c>
      <c r="B1135" s="19">
        <v>108.82</v>
      </c>
      <c r="G1135" s="16" t="s">
        <v>1998</v>
      </c>
      <c r="H1135">
        <v>1</v>
      </c>
    </row>
    <row r="1136" spans="1:8" x14ac:dyDescent="0.35">
      <c r="A1136" s="16" t="s">
        <v>2642</v>
      </c>
      <c r="B1136" s="19">
        <v>107.7</v>
      </c>
      <c r="G1136" s="16" t="s">
        <v>1756</v>
      </c>
      <c r="H1136">
        <v>1</v>
      </c>
    </row>
    <row r="1137" spans="1:8" x14ac:dyDescent="0.35">
      <c r="A1137" s="16" t="s">
        <v>4265</v>
      </c>
      <c r="B1137" s="19">
        <v>107.04</v>
      </c>
      <c r="G1137" s="16" t="s">
        <v>1607</v>
      </c>
      <c r="H1137">
        <v>1</v>
      </c>
    </row>
    <row r="1138" spans="1:8" x14ac:dyDescent="0.35">
      <c r="A1138" s="16" t="s">
        <v>3541</v>
      </c>
      <c r="B1138" s="19">
        <v>105.92</v>
      </c>
      <c r="G1138" s="16" t="s">
        <v>436</v>
      </c>
      <c r="H1138">
        <v>1</v>
      </c>
    </row>
    <row r="1139" spans="1:8" x14ac:dyDescent="0.35">
      <c r="A1139" s="16" t="s">
        <v>2272</v>
      </c>
      <c r="B1139" s="19">
        <v>104.16</v>
      </c>
      <c r="G1139" s="16" t="s">
        <v>582</v>
      </c>
      <c r="H1139">
        <v>1</v>
      </c>
    </row>
    <row r="1140" spans="1:8" x14ac:dyDescent="0.35">
      <c r="A1140" s="16" t="s">
        <v>1847</v>
      </c>
      <c r="B1140" s="19">
        <v>101.16</v>
      </c>
      <c r="G1140" s="16" t="s">
        <v>860</v>
      </c>
      <c r="H1140">
        <v>1</v>
      </c>
    </row>
    <row r="1141" spans="1:8" x14ac:dyDescent="0.35">
      <c r="A1141" s="16" t="s">
        <v>127</v>
      </c>
      <c r="B1141" s="19">
        <v>99.24</v>
      </c>
      <c r="G1141" s="16" t="s">
        <v>946</v>
      </c>
      <c r="H1141">
        <v>1</v>
      </c>
    </row>
    <row r="1142" spans="1:8" x14ac:dyDescent="0.35">
      <c r="A1142" s="16" t="s">
        <v>2625</v>
      </c>
      <c r="B1142" s="19">
        <v>98.16</v>
      </c>
      <c r="G1142" s="16" t="s">
        <v>251</v>
      </c>
      <c r="H1142">
        <v>1</v>
      </c>
    </row>
    <row r="1143" spans="1:8" x14ac:dyDescent="0.35">
      <c r="A1143" s="16" t="s">
        <v>2278</v>
      </c>
      <c r="B1143" s="19">
        <v>97.86</v>
      </c>
      <c r="G1143" s="16" t="s">
        <v>950</v>
      </c>
      <c r="H1143">
        <v>1</v>
      </c>
    </row>
    <row r="1144" spans="1:8" x14ac:dyDescent="0.35">
      <c r="A1144" s="16" t="s">
        <v>2313</v>
      </c>
      <c r="B1144" s="19">
        <v>96.81</v>
      </c>
      <c r="G1144" s="16" t="s">
        <v>139</v>
      </c>
      <c r="H1144">
        <v>1</v>
      </c>
    </row>
    <row r="1145" spans="1:8" x14ac:dyDescent="0.35">
      <c r="A1145" s="16" t="s">
        <v>2686</v>
      </c>
      <c r="B1145" s="19">
        <v>95.1</v>
      </c>
      <c r="G1145" s="16" t="s">
        <v>275</v>
      </c>
      <c r="H1145">
        <v>1</v>
      </c>
    </row>
    <row r="1146" spans="1:8" x14ac:dyDescent="0.35">
      <c r="A1146" s="16" t="s">
        <v>1513</v>
      </c>
      <c r="B1146" s="19">
        <v>93.02</v>
      </c>
      <c r="G1146" s="16" t="s">
        <v>694</v>
      </c>
      <c r="H1146">
        <v>1</v>
      </c>
    </row>
    <row r="1147" spans="1:8" x14ac:dyDescent="0.35">
      <c r="A1147" s="16" t="s">
        <v>2010</v>
      </c>
      <c r="B1147" s="19">
        <v>93</v>
      </c>
      <c r="G1147" s="16" t="s">
        <v>769</v>
      </c>
      <c r="H1147">
        <v>1</v>
      </c>
    </row>
    <row r="1148" spans="1:8" x14ac:dyDescent="0.35">
      <c r="A1148" s="16" t="s">
        <v>2618</v>
      </c>
      <c r="B1148" s="19">
        <v>92.79</v>
      </c>
      <c r="G1148" s="16" t="s">
        <v>1139</v>
      </c>
      <c r="H1148">
        <v>1</v>
      </c>
    </row>
    <row r="1149" spans="1:8" x14ac:dyDescent="0.35">
      <c r="A1149" s="16" t="s">
        <v>2465</v>
      </c>
      <c r="B1149" s="19">
        <v>92.72</v>
      </c>
      <c r="G1149" s="16" t="s">
        <v>1188</v>
      </c>
      <c r="H1149">
        <v>1</v>
      </c>
    </row>
    <row r="1150" spans="1:8" x14ac:dyDescent="0.35">
      <c r="A1150" s="16" t="s">
        <v>2111</v>
      </c>
      <c r="B1150" s="19">
        <v>92.04</v>
      </c>
      <c r="G1150" s="16" t="s">
        <v>341</v>
      </c>
      <c r="H1150">
        <v>1</v>
      </c>
    </row>
    <row r="1151" spans="1:8" x14ac:dyDescent="0.35">
      <c r="A1151" s="16" t="s">
        <v>3531</v>
      </c>
      <c r="B1151" s="19">
        <v>90.27</v>
      </c>
      <c r="G1151" s="16" t="s">
        <v>966</v>
      </c>
      <c r="H1151">
        <v>1</v>
      </c>
    </row>
    <row r="1152" spans="1:8" x14ac:dyDescent="0.35">
      <c r="A1152" s="16" t="s">
        <v>1943</v>
      </c>
      <c r="B1152" s="19">
        <v>87.34</v>
      </c>
      <c r="G1152" s="16" t="s">
        <v>843</v>
      </c>
      <c r="H1152">
        <v>1</v>
      </c>
    </row>
    <row r="1153" spans="1:8" x14ac:dyDescent="0.35">
      <c r="A1153" s="16" t="s">
        <v>3713</v>
      </c>
      <c r="B1153" s="19">
        <v>87.06</v>
      </c>
      <c r="G1153" s="16" t="s">
        <v>236</v>
      </c>
      <c r="H1153">
        <v>1</v>
      </c>
    </row>
    <row r="1154" spans="1:8" x14ac:dyDescent="0.35">
      <c r="A1154" s="16" t="s">
        <v>283</v>
      </c>
      <c r="B1154" s="19">
        <v>86.3</v>
      </c>
      <c r="G1154" s="16" t="s">
        <v>1083</v>
      </c>
      <c r="H1154">
        <v>1</v>
      </c>
    </row>
    <row r="1155" spans="1:8" x14ac:dyDescent="0.35">
      <c r="A1155" s="16" t="s">
        <v>555</v>
      </c>
      <c r="B1155" s="19">
        <v>84.8</v>
      </c>
      <c r="G1155" s="16" t="s">
        <v>448</v>
      </c>
      <c r="H1155">
        <v>1</v>
      </c>
    </row>
    <row r="1156" spans="1:8" x14ac:dyDescent="0.35">
      <c r="A1156" s="16" t="s">
        <v>543</v>
      </c>
      <c r="B1156" s="19">
        <v>84.28</v>
      </c>
      <c r="G1156" s="16" t="s">
        <v>111</v>
      </c>
      <c r="H1156">
        <v>1</v>
      </c>
    </row>
    <row r="1157" spans="1:8" x14ac:dyDescent="0.35">
      <c r="A1157" s="16" t="s">
        <v>2031</v>
      </c>
      <c r="B1157" s="19">
        <v>82</v>
      </c>
      <c r="G1157" s="16" t="s">
        <v>314</v>
      </c>
      <c r="H1157">
        <v>1</v>
      </c>
    </row>
    <row r="1158" spans="1:8" x14ac:dyDescent="0.35">
      <c r="A1158" s="16" t="s">
        <v>3400</v>
      </c>
      <c r="B1158" s="19">
        <v>80.459999999999994</v>
      </c>
      <c r="G1158" s="16" t="s">
        <v>574</v>
      </c>
      <c r="H1158">
        <v>1</v>
      </c>
    </row>
    <row r="1159" spans="1:8" x14ac:dyDescent="0.35">
      <c r="A1159" s="16" t="s">
        <v>1517</v>
      </c>
      <c r="B1159" s="19">
        <v>79.06</v>
      </c>
      <c r="G1159" s="16" t="s">
        <v>789</v>
      </c>
      <c r="H1159">
        <v>1</v>
      </c>
    </row>
    <row r="1160" spans="1:8" x14ac:dyDescent="0.35">
      <c r="A1160" s="16" t="s">
        <v>1600</v>
      </c>
      <c r="B1160" s="19">
        <v>79.02</v>
      </c>
      <c r="G1160" s="16" t="s">
        <v>39</v>
      </c>
      <c r="H1160">
        <v>1</v>
      </c>
    </row>
    <row r="1161" spans="1:8" x14ac:dyDescent="0.35">
      <c r="A1161" s="16" t="s">
        <v>3572</v>
      </c>
      <c r="B1161" s="19">
        <v>77.64</v>
      </c>
      <c r="G1161" s="16" t="s">
        <v>986</v>
      </c>
      <c r="H1161">
        <v>1</v>
      </c>
    </row>
    <row r="1162" spans="1:8" x14ac:dyDescent="0.35">
      <c r="A1162" s="16" t="s">
        <v>3058</v>
      </c>
      <c r="B1162" s="19">
        <v>76.930000000000007</v>
      </c>
      <c r="G1162" s="16" t="s">
        <v>147</v>
      </c>
      <c r="H1162">
        <v>1</v>
      </c>
    </row>
    <row r="1163" spans="1:8" x14ac:dyDescent="0.35">
      <c r="A1163" s="16" t="s">
        <v>1748</v>
      </c>
      <c r="B1163" s="19">
        <v>75.78</v>
      </c>
      <c r="G1163" s="16" t="s">
        <v>792</v>
      </c>
      <c r="H1163">
        <v>1</v>
      </c>
    </row>
    <row r="1164" spans="1:8" x14ac:dyDescent="0.35">
      <c r="A1164" s="16" t="s">
        <v>1536</v>
      </c>
      <c r="B1164" s="19">
        <v>75.010000000000005</v>
      </c>
      <c r="G1164" s="16" t="s">
        <v>923</v>
      </c>
      <c r="H1164">
        <v>1</v>
      </c>
    </row>
    <row r="1165" spans="1:8" x14ac:dyDescent="0.35">
      <c r="A1165" s="16" t="s">
        <v>2482</v>
      </c>
      <c r="B1165" s="19">
        <v>72.599999999999994</v>
      </c>
      <c r="G1165" s="16" t="s">
        <v>796</v>
      </c>
      <c r="H1165">
        <v>1</v>
      </c>
    </row>
    <row r="1166" spans="1:8" x14ac:dyDescent="0.35">
      <c r="A1166" s="16" t="s">
        <v>2265</v>
      </c>
      <c r="B1166" s="19">
        <v>72.31</v>
      </c>
      <c r="G1166" s="16" t="s">
        <v>515</v>
      </c>
      <c r="H1166">
        <v>1</v>
      </c>
    </row>
    <row r="1167" spans="1:8" x14ac:dyDescent="0.35">
      <c r="A1167" s="16" t="s">
        <v>3896</v>
      </c>
      <c r="B1167" s="19">
        <v>70.819999999999993</v>
      </c>
      <c r="G1167" s="16" t="s">
        <v>998</v>
      </c>
      <c r="H1167">
        <v>1</v>
      </c>
    </row>
    <row r="1168" spans="1:8" x14ac:dyDescent="0.35">
      <c r="A1168" s="16" t="s">
        <v>2170</v>
      </c>
      <c r="B1168" s="19">
        <v>70.319999999999993</v>
      </c>
      <c r="G1168" s="16" t="s">
        <v>472</v>
      </c>
      <c r="H1168">
        <v>1</v>
      </c>
    </row>
    <row r="1169" spans="1:8" x14ac:dyDescent="0.35">
      <c r="A1169" s="16" t="s">
        <v>4209</v>
      </c>
      <c r="B1169" s="19">
        <v>70.239999999999995</v>
      </c>
      <c r="G1169" s="16" t="s">
        <v>1002</v>
      </c>
      <c r="H1169">
        <v>1</v>
      </c>
    </row>
    <row r="1170" spans="1:8" x14ac:dyDescent="0.35">
      <c r="A1170" s="16" t="s">
        <v>2956</v>
      </c>
      <c r="B1170" s="19">
        <v>68.39</v>
      </c>
      <c r="G1170" s="16" t="s">
        <v>675</v>
      </c>
      <c r="H1170">
        <v>1</v>
      </c>
    </row>
    <row r="1171" spans="1:8" x14ac:dyDescent="0.35">
      <c r="A1171" s="16" t="s">
        <v>1163</v>
      </c>
      <c r="B1171" s="19">
        <v>65.95</v>
      </c>
      <c r="G1171" s="16" t="s">
        <v>240</v>
      </c>
      <c r="H1171">
        <v>1</v>
      </c>
    </row>
    <row r="1172" spans="1:8" x14ac:dyDescent="0.35">
      <c r="A1172" s="16" t="s">
        <v>946</v>
      </c>
      <c r="B1172" s="19">
        <v>65.45</v>
      </c>
      <c r="G1172" s="16" t="s">
        <v>409</v>
      </c>
      <c r="H1172">
        <v>1</v>
      </c>
    </row>
    <row r="1173" spans="1:8" x14ac:dyDescent="0.35">
      <c r="A1173" s="16" t="s">
        <v>1386</v>
      </c>
      <c r="B1173" s="19">
        <v>64.66</v>
      </c>
      <c r="G1173" s="16" t="s">
        <v>287</v>
      </c>
      <c r="H1173">
        <v>1</v>
      </c>
    </row>
    <row r="1174" spans="1:8" x14ac:dyDescent="0.35">
      <c r="A1174" s="16" t="s">
        <v>3320</v>
      </c>
      <c r="B1174" s="19">
        <v>62.12</v>
      </c>
      <c r="G1174" s="16" t="s">
        <v>480</v>
      </c>
      <c r="H1174">
        <v>1</v>
      </c>
    </row>
    <row r="1175" spans="1:8" x14ac:dyDescent="0.35">
      <c r="A1175" s="16" t="s">
        <v>2864</v>
      </c>
      <c r="B1175" s="19">
        <v>61.62</v>
      </c>
      <c r="G1175" s="16" t="s">
        <v>647</v>
      </c>
      <c r="H1175">
        <v>1</v>
      </c>
    </row>
    <row r="1176" spans="1:8" x14ac:dyDescent="0.35">
      <c r="A1176" s="16" t="s">
        <v>1864</v>
      </c>
      <c r="B1176" s="19">
        <v>60.04</v>
      </c>
      <c r="G1176" s="16" t="s">
        <v>864</v>
      </c>
      <c r="H1176">
        <v>1</v>
      </c>
    </row>
    <row r="1177" spans="1:8" x14ac:dyDescent="0.35">
      <c r="A1177" s="16" t="s">
        <v>2365</v>
      </c>
      <c r="B1177" s="19">
        <v>59.19</v>
      </c>
      <c r="G1177" s="16" t="s">
        <v>107</v>
      </c>
      <c r="H1177">
        <v>1</v>
      </c>
    </row>
    <row r="1178" spans="1:8" x14ac:dyDescent="0.35">
      <c r="A1178" s="16" t="s">
        <v>1009</v>
      </c>
      <c r="B1178" s="19">
        <v>58.76</v>
      </c>
      <c r="G1178" s="16" t="s">
        <v>871</v>
      </c>
      <c r="H1178">
        <v>1</v>
      </c>
    </row>
    <row r="1179" spans="1:8" x14ac:dyDescent="0.35">
      <c r="A1179" s="16" t="s">
        <v>2996</v>
      </c>
      <c r="B1179" s="19">
        <v>57.1</v>
      </c>
      <c r="G1179" s="16" t="s">
        <v>815</v>
      </c>
      <c r="H1179">
        <v>1</v>
      </c>
    </row>
    <row r="1180" spans="1:8" x14ac:dyDescent="0.35">
      <c r="A1180" s="16" t="s">
        <v>2118</v>
      </c>
      <c r="B1180" s="19">
        <v>56.2</v>
      </c>
      <c r="G1180" s="16" t="s">
        <v>698</v>
      </c>
      <c r="H1180">
        <v>1</v>
      </c>
    </row>
    <row r="1181" spans="1:8" x14ac:dyDescent="0.35">
      <c r="A1181" s="16" t="s">
        <v>3686</v>
      </c>
      <c r="B1181" s="19">
        <v>53</v>
      </c>
      <c r="G1181" s="16" t="s">
        <v>1023</v>
      </c>
      <c r="H1181">
        <v>1</v>
      </c>
    </row>
    <row r="1182" spans="1:8" x14ac:dyDescent="0.35">
      <c r="A1182" s="16" t="s">
        <v>1672</v>
      </c>
      <c r="B1182" s="19">
        <v>52.54</v>
      </c>
      <c r="G1182" s="16" t="s">
        <v>233</v>
      </c>
      <c r="H1182">
        <v>1</v>
      </c>
    </row>
    <row r="1183" spans="1:8" x14ac:dyDescent="0.35">
      <c r="A1183" s="16" t="s">
        <v>2656</v>
      </c>
      <c r="B1183" s="19">
        <v>51.73</v>
      </c>
      <c r="G1183" s="16" t="s">
        <v>191</v>
      </c>
      <c r="H1183">
        <v>1</v>
      </c>
    </row>
    <row r="1184" spans="1:8" x14ac:dyDescent="0.35">
      <c r="A1184" s="16" t="s">
        <v>303</v>
      </c>
      <c r="B1184" s="19">
        <v>48.4</v>
      </c>
      <c r="G1184" s="16" t="s">
        <v>586</v>
      </c>
      <c r="H1184">
        <v>1</v>
      </c>
    </row>
    <row r="1185" spans="1:8" x14ac:dyDescent="0.35">
      <c r="A1185" s="16" t="s">
        <v>792</v>
      </c>
      <c r="B1185" s="19">
        <v>46.66</v>
      </c>
      <c r="G1185" s="16" t="s">
        <v>1030</v>
      </c>
      <c r="H1185">
        <v>1</v>
      </c>
    </row>
    <row r="1186" spans="1:8" x14ac:dyDescent="0.35">
      <c r="A1186" s="16" t="s">
        <v>1803</v>
      </c>
      <c r="B1186" s="19">
        <v>45.94</v>
      </c>
      <c r="G1186" s="16" t="s">
        <v>56</v>
      </c>
      <c r="H1186">
        <v>1</v>
      </c>
    </row>
    <row r="1187" spans="1:8" x14ac:dyDescent="0.35">
      <c r="A1187" s="16" t="s">
        <v>574</v>
      </c>
      <c r="B1187" s="19">
        <v>44.35</v>
      </c>
      <c r="G1187" s="16" t="s">
        <v>171</v>
      </c>
      <c r="H1187">
        <v>1</v>
      </c>
    </row>
    <row r="1188" spans="1:8" x14ac:dyDescent="0.35">
      <c r="A1188" s="16" t="s">
        <v>3877</v>
      </c>
      <c r="B1188" s="19">
        <v>41.09</v>
      </c>
      <c r="G1188" s="16" t="s">
        <v>99</v>
      </c>
      <c r="H1188">
        <v>1</v>
      </c>
    </row>
    <row r="1189" spans="1:8" x14ac:dyDescent="0.35">
      <c r="A1189" s="16" t="s">
        <v>2817</v>
      </c>
      <c r="B1189" s="19">
        <v>39.56</v>
      </c>
      <c r="G1189" s="16" t="s">
        <v>244</v>
      </c>
      <c r="H1189">
        <v>1</v>
      </c>
    </row>
    <row r="1190" spans="1:8" x14ac:dyDescent="0.35">
      <c r="A1190" s="16" t="s">
        <v>3765</v>
      </c>
      <c r="B1190" s="19">
        <v>38.49</v>
      </c>
      <c r="G1190" s="16" t="s">
        <v>500</v>
      </c>
      <c r="H1190">
        <v>1</v>
      </c>
    </row>
    <row r="1191" spans="1:8" x14ac:dyDescent="0.35">
      <c r="A1191" s="16" t="s">
        <v>1878</v>
      </c>
      <c r="B1191" s="19">
        <v>36.65</v>
      </c>
      <c r="G1191" s="16" t="s">
        <v>657</v>
      </c>
      <c r="H1191">
        <v>1</v>
      </c>
    </row>
    <row r="1192" spans="1:8" x14ac:dyDescent="0.35">
      <c r="A1192" s="16" t="s">
        <v>1204</v>
      </c>
      <c r="B1192" s="19">
        <v>30.54</v>
      </c>
      <c r="G1192" s="16" t="s">
        <v>428</v>
      </c>
      <c r="H1192">
        <v>1</v>
      </c>
    </row>
    <row r="1193" spans="1:8" x14ac:dyDescent="0.35">
      <c r="A1193" s="16" t="s">
        <v>233</v>
      </c>
      <c r="B1193" s="19">
        <v>30.44</v>
      </c>
      <c r="G1193" s="16" t="s">
        <v>661</v>
      </c>
      <c r="H1193">
        <v>1</v>
      </c>
    </row>
    <row r="1194" spans="1:8" x14ac:dyDescent="0.35">
      <c r="A1194" s="16" t="s">
        <v>1825</v>
      </c>
      <c r="B1194" s="19">
        <v>29.86</v>
      </c>
      <c r="G1194" s="16" t="s">
        <v>1163</v>
      </c>
      <c r="H1194">
        <v>1</v>
      </c>
    </row>
    <row r="1195" spans="1:8" x14ac:dyDescent="0.35">
      <c r="A1195" s="16" t="s">
        <v>3385</v>
      </c>
      <c r="B1195" s="19">
        <v>26.95</v>
      </c>
      <c r="G1195" s="16" t="s">
        <v>555</v>
      </c>
      <c r="H1195">
        <v>1</v>
      </c>
    </row>
    <row r="1196" spans="1:8" x14ac:dyDescent="0.35">
      <c r="A1196" s="16" t="s">
        <v>2574</v>
      </c>
      <c r="B1196" s="19">
        <v>24.48</v>
      </c>
      <c r="G1196" s="16" t="s">
        <v>749</v>
      </c>
      <c r="H1196">
        <v>1</v>
      </c>
    </row>
    <row r="1197" spans="1:8" x14ac:dyDescent="0.35">
      <c r="A1197" s="16" t="s">
        <v>3701</v>
      </c>
      <c r="B1197" s="19">
        <v>23.53</v>
      </c>
      <c r="G1197" s="16" t="s">
        <v>669</v>
      </c>
      <c r="H1197">
        <v>1</v>
      </c>
    </row>
    <row r="1198" spans="1:8" x14ac:dyDescent="0.35">
      <c r="A1198" s="16" t="s">
        <v>2871</v>
      </c>
      <c r="B1198" s="19">
        <v>21.19</v>
      </c>
      <c r="G1198" s="16" t="s">
        <v>217</v>
      </c>
      <c r="H1198">
        <v>1</v>
      </c>
    </row>
    <row r="1199" spans="1:8" x14ac:dyDescent="0.35">
      <c r="A1199" s="16" t="s">
        <v>1326</v>
      </c>
      <c r="B1199" s="19">
        <v>18.2</v>
      </c>
      <c r="G1199" s="16" t="s">
        <v>1056</v>
      </c>
      <c r="H1199">
        <v>1</v>
      </c>
    </row>
    <row r="1200" spans="1:8" x14ac:dyDescent="0.35">
      <c r="A1200" s="16" t="s">
        <v>2068</v>
      </c>
      <c r="B1200" s="19">
        <v>17.98</v>
      </c>
      <c r="G1200" s="16" t="s">
        <v>761</v>
      </c>
      <c r="H1200">
        <v>1</v>
      </c>
    </row>
    <row r="1201" spans="1:8" x14ac:dyDescent="0.35">
      <c r="A1201" s="16" t="s">
        <v>966</v>
      </c>
      <c r="B1201" s="19">
        <v>17.239999999999998</v>
      </c>
      <c r="G1201" s="16" t="s">
        <v>1060</v>
      </c>
      <c r="H1201">
        <v>1</v>
      </c>
    </row>
    <row r="1202" spans="1:8" x14ac:dyDescent="0.35">
      <c r="A1202" s="16" t="s">
        <v>3171</v>
      </c>
      <c r="B1202" s="19">
        <v>14.06</v>
      </c>
      <c r="G1202" s="16" t="s">
        <v>710</v>
      </c>
      <c r="H1202">
        <v>1</v>
      </c>
    </row>
    <row r="1203" spans="1:8" x14ac:dyDescent="0.35">
      <c r="A1203" s="16" t="s">
        <v>4150</v>
      </c>
      <c r="B1203" s="19">
        <v>11.39</v>
      </c>
      <c r="G1203" s="16" t="s">
        <v>624</v>
      </c>
      <c r="H1203">
        <v>1</v>
      </c>
    </row>
    <row r="1204" spans="1:8" x14ac:dyDescent="0.35">
      <c r="A1204" s="16" t="s">
        <v>4288</v>
      </c>
      <c r="B1204" s="19">
        <v>1264761.9600000004</v>
      </c>
      <c r="G1204" s="16" t="s">
        <v>4288</v>
      </c>
      <c r="H1204">
        <v>3535</v>
      </c>
    </row>
  </sheetData>
  <mergeCells count="3">
    <mergeCell ref="A2:B2"/>
    <mergeCell ref="D2:E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Dataset</vt:lpstr>
      <vt:lpstr>clean_data</vt:lpstr>
      <vt:lpstr>Analysis</vt:lpstr>
      <vt:lpstr>Dashboard</vt:lpstr>
      <vt:lpstr>Outliner </vt:lpstr>
      <vt:lpstr>AOV</vt:lpstr>
      <vt:lpstr>quantity</vt:lpstr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2026-07-04T23:30:13Z</dcterms:created>
  <dcterms:modified xsi:type="dcterms:W3CDTF">2026-07-10T13:36:21Z</dcterms:modified>
</cp:coreProperties>
</file>